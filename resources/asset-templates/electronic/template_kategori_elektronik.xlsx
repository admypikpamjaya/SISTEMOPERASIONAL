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se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enyusutan" sheetId="3" state="visible" r:id="rId3"/>
    <sheet xmlns:r="http://schemas.openxmlformats.org/officeDocument/2006/relationships" name="Jurnal Penyusutan" sheetId="4" state="visible" r:id="rId4"/>
    <sheet xmlns:r="http://schemas.openxmlformats.org/officeDocument/2006/relationships" name="Referensi" sheetId="5" state="visible" r:id="rId5"/>
  </sheets>
  <definedNames>
    <definedName name="_xlnm._FilterDatabase" localSheetId="0" hidden="1">'Data Aset'!$A$3:$V$106</definedName>
    <definedName name="_xlnm._FilterDatabase" localSheetId="2" hidden="1">'Penyusutan'!$A$1:$Q$104</definedName>
    <definedName name="_xlnm._FilterDatabase" localSheetId="3" hidden="1">'Jurnal Penyusutan'!$A$1:$M$104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vertical="top"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Rekap Elektronik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</f>
            </numRef>
          </cat>
          <val>
            <numRef>
              <f>'Dashboard'!$B$7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Kategori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lektronik" displayName="Tbl_Elektronik" ref="A3:V106" headerRowCount="1">
  <autoFilter ref="A3:V106"/>
  <tableColumns count="22">
    <tableColumn id="1" name="No"/>
    <tableColumn id="2" name="Kode Aset"/>
    <tableColumn id="3" name="Unit"/>
    <tableColumn id="4" name="Lokasi"/>
    <tableColumn id="5" name="Jenis Elektronik"/>
    <tableColumn id="6" name="Nama Aset"/>
    <tableColumn id="7" name="Merk"/>
    <tableColumn id="8" name="Model/Tipe"/>
    <tableColumn id="9" name="Spesifikasi"/>
    <tableColumn id="10" name="Nomor Seri"/>
    <tableColumn id="11" name="Tanggal Perolehan"/>
    <tableColumn id="12" name="Tahun Perolehan"/>
    <tableColumn id="13" name="Harga Perolehan"/>
    <tableColumn id="14" name="Kode Akun Aset"/>
    <tableColumn id="15" name="Umur Manfaat"/>
    <tableColumn id="16" name="Akum. Penyusutan"/>
    <tableColumn id="17" name="Nilai Buku"/>
    <tableColumn id="18" name="Kondisi"/>
    <tableColumn id="19" name="Status"/>
    <tableColumn id="20" name="PIC/Pengguna"/>
    <tableColumn id="21" name="Keterangan"/>
    <tableColumn id="22" name="Sumber Dat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2" customWidth="1" min="4" max="4"/>
    <col width="18" customWidth="1" min="5" max="5"/>
    <col width="32" customWidth="1" min="6" max="6"/>
    <col width="12" customWidth="1" min="7" max="7"/>
    <col width="12" customWidth="1" min="8" max="8"/>
    <col width="32" customWidth="1" min="9" max="9"/>
    <col width="12" customWidth="1" min="10" max="10"/>
    <col width="19" customWidth="1" min="11" max="11"/>
    <col width="17" customWidth="1" min="12" max="12"/>
    <col width="17" customWidth="1" min="13" max="13"/>
    <col width="16" customWidth="1" min="14" max="14"/>
    <col width="14" customWidth="1" min="15" max="15"/>
    <col width="18" customWidth="1" min="16" max="16"/>
    <col width="12" customWidth="1" min="17" max="17"/>
    <col width="12" customWidth="1" min="18" max="18"/>
    <col width="12" customWidth="1" min="19" max="19"/>
    <col width="14" customWidth="1" min="20" max="20"/>
    <col width="32" customWidth="1" min="21" max="21"/>
    <col width="32" customWidth="1" min="22" max="22"/>
  </cols>
  <sheetData>
    <row r="1">
      <c r="A1" s="1" t="inlineStr">
        <is>
          <t>TEMPLATE DATA ASET - ELEKTRONIK</t>
        </is>
      </c>
    </row>
    <row r="3">
      <c r="A3" s="2" t="inlineStr">
        <is>
          <t>No</t>
        </is>
      </c>
      <c r="B3" s="2" t="inlineStr">
        <is>
          <t>Kode Aset</t>
        </is>
      </c>
      <c r="C3" s="2" t="inlineStr">
        <is>
          <t>Unit</t>
        </is>
      </c>
      <c r="D3" s="2" t="inlineStr">
        <is>
          <t>Lokasi</t>
        </is>
      </c>
      <c r="E3" s="2" t="inlineStr">
        <is>
          <t>Jenis Elektronik</t>
        </is>
      </c>
      <c r="F3" s="2" t="inlineStr">
        <is>
          <t>Nama Aset</t>
        </is>
      </c>
      <c r="G3" s="2" t="inlineStr">
        <is>
          <t>Merk</t>
        </is>
      </c>
      <c r="H3" s="2" t="inlineStr">
        <is>
          <t>Model/Tipe</t>
        </is>
      </c>
      <c r="I3" s="2" t="inlineStr">
        <is>
          <t>Spesifikasi</t>
        </is>
      </c>
      <c r="J3" s="2" t="inlineStr">
        <is>
          <t>Nomor Seri</t>
        </is>
      </c>
      <c r="K3" s="2" t="inlineStr">
        <is>
          <t>Tanggal Perolehan</t>
        </is>
      </c>
      <c r="L3" s="2" t="inlineStr">
        <is>
          <t>Tahun Perolehan</t>
        </is>
      </c>
      <c r="M3" s="2" t="inlineStr">
        <is>
          <t>Harga Perolehan</t>
        </is>
      </c>
      <c r="N3" s="2" t="inlineStr">
        <is>
          <t>Kode Akun Aset</t>
        </is>
      </c>
      <c r="O3" s="2" t="inlineStr">
        <is>
          <t>Umur Manfaat</t>
        </is>
      </c>
      <c r="P3" s="2" t="inlineStr">
        <is>
          <t>Akum. Penyusutan</t>
        </is>
      </c>
      <c r="Q3" s="2" t="inlineStr">
        <is>
          <t>Nilai Buku</t>
        </is>
      </c>
      <c r="R3" s="2" t="inlineStr">
        <is>
          <t>Kondisi</t>
        </is>
      </c>
      <c r="S3" s="2" t="inlineStr">
        <is>
          <t>Status</t>
        </is>
      </c>
      <c r="T3" s="2" t="inlineStr">
        <is>
          <t>PIC/Pengguna</t>
        </is>
      </c>
      <c r="U3" s="2" t="inlineStr">
        <is>
          <t>Keterangan</t>
        </is>
      </c>
      <c r="V3" s="2" t="inlineStr">
        <is>
          <t>Sumber Data</t>
        </is>
      </c>
    </row>
    <row r="4">
      <c r="A4" s="3" t="n">
        <v>1</v>
      </c>
      <c r="B4" s="3" t="n"/>
      <c r="C4" s="3" t="inlineStr">
        <is>
          <t>TKIA 24 JATIKRAMAT</t>
        </is>
      </c>
      <c r="D4" s="3" t="n"/>
      <c r="E4" s="3" t="inlineStr">
        <is>
          <t>Infocus</t>
        </is>
      </c>
      <c r="F4" s="3" t="inlineStr">
        <is>
          <t>Infocus</t>
        </is>
      </c>
      <c r="G4" s="3" t="n"/>
      <c r="H4" s="3" t="n"/>
      <c r="I4" s="3" t="inlineStr">
        <is>
          <t>Jumlah: 1 Unit</t>
        </is>
      </c>
      <c r="J4" s="3" t="n"/>
      <c r="K4" s="4" t="n"/>
      <c r="L4" s="3" t="n">
        <v>2018</v>
      </c>
      <c r="M4" s="5" t="n">
        <v>3000000</v>
      </c>
      <c r="N4" s="3" t="n"/>
      <c r="O4" s="3" t="n">
        <v>4</v>
      </c>
      <c r="P4" s="5" t="n">
        <v>3000000</v>
      </c>
      <c r="Q4" s="5" t="n">
        <v>0</v>
      </c>
      <c r="R4" s="3" t="n"/>
      <c r="S4" s="3" t="inlineStr">
        <is>
          <t>Aktif</t>
        </is>
      </c>
      <c r="T4" s="3" t="n"/>
      <c r="U4" s="3" t="n"/>
      <c r="V4" s="3" t="inlineStr">
        <is>
          <t>LIST ASSET YPIK 2025(1).xlsx | Inv. TKIA</t>
        </is>
      </c>
    </row>
    <row r="5">
      <c r="A5" s="3" t="n">
        <v>2</v>
      </c>
      <c r="B5" s="3" t="n"/>
      <c r="C5" s="3" t="inlineStr">
        <is>
          <t>TKIA 24 JATIKRAMAT</t>
        </is>
      </c>
      <c r="D5" s="3" t="n"/>
      <c r="E5" s="3" t="inlineStr">
        <is>
          <t>Sound System</t>
        </is>
      </c>
      <c r="F5" s="3" t="inlineStr">
        <is>
          <t>Sound System</t>
        </is>
      </c>
      <c r="G5" s="3" t="n"/>
      <c r="H5" s="3" t="n"/>
      <c r="I5" s="3" t="inlineStr">
        <is>
          <t>Jumlah: 1 Unit</t>
        </is>
      </c>
      <c r="J5" s="3" t="n"/>
      <c r="K5" s="4" t="n"/>
      <c r="L5" s="3" t="n">
        <v>2018</v>
      </c>
      <c r="M5" s="5" t="n">
        <v>500000</v>
      </c>
      <c r="N5" s="3" t="n"/>
      <c r="O5" s="3" t="n">
        <v>4</v>
      </c>
      <c r="P5" s="5" t="n">
        <v>500000</v>
      </c>
      <c r="Q5" s="5" t="n">
        <v>0</v>
      </c>
      <c r="R5" s="3" t="n"/>
      <c r="S5" s="3" t="inlineStr">
        <is>
          <t>Aktif</t>
        </is>
      </c>
      <c r="T5" s="3" t="n"/>
      <c r="U5" s="3" t="n"/>
      <c r="V5" s="3" t="inlineStr">
        <is>
          <t>LIST ASSET YPIK 2025(1).xlsx | Inv. TKIA</t>
        </is>
      </c>
    </row>
    <row r="6">
      <c r="A6" s="3" t="n">
        <v>3</v>
      </c>
      <c r="B6" s="3" t="n"/>
      <c r="C6" s="3" t="inlineStr">
        <is>
          <t>TKIA 24 JATIKRAMAT</t>
        </is>
      </c>
      <c r="D6" s="3" t="n"/>
      <c r="E6" s="3" t="inlineStr">
        <is>
          <t>CCTV</t>
        </is>
      </c>
      <c r="F6" s="3" t="inlineStr">
        <is>
          <t>CCTV</t>
        </is>
      </c>
      <c r="G6" s="3" t="n"/>
      <c r="H6" s="3" t="n"/>
      <c r="I6" s="3" t="inlineStr">
        <is>
          <t>Jumlah: 1 Unit</t>
        </is>
      </c>
      <c r="J6" s="3" t="n"/>
      <c r="K6" s="4" t="n"/>
      <c r="L6" s="3" t="n">
        <v>2018</v>
      </c>
      <c r="M6" s="5" t="n">
        <v>1250000</v>
      </c>
      <c r="N6" s="3" t="n"/>
      <c r="O6" s="3" t="n">
        <v>4</v>
      </c>
      <c r="P6" s="5" t="n">
        <v>1250000</v>
      </c>
      <c r="Q6" s="5" t="n">
        <v>0</v>
      </c>
      <c r="R6" s="3" t="n"/>
      <c r="S6" s="3" t="inlineStr">
        <is>
          <t>Aktif</t>
        </is>
      </c>
      <c r="T6" s="3" t="n"/>
      <c r="U6" s="3" t="n"/>
      <c r="V6" s="3" t="inlineStr">
        <is>
          <t>LIST ASSET YPIK 2025(1).xlsx | Inv. TKIA</t>
        </is>
      </c>
    </row>
    <row r="7">
      <c r="A7" s="3" t="n">
        <v>4</v>
      </c>
      <c r="B7" s="3" t="n"/>
      <c r="C7" s="3" t="inlineStr">
        <is>
          <t>TKIA 24 JATIKRAMAT</t>
        </is>
      </c>
      <c r="D7" s="3" t="n"/>
      <c r="E7" s="3" t="inlineStr">
        <is>
          <t>Dispenser</t>
        </is>
      </c>
      <c r="F7" s="3" t="inlineStr">
        <is>
          <t>Dispenser</t>
        </is>
      </c>
      <c r="G7" s="3" t="n"/>
      <c r="H7" s="3" t="n"/>
      <c r="I7" s="3" t="inlineStr">
        <is>
          <t>Jumlah: 1 Unit</t>
        </is>
      </c>
      <c r="J7" s="3" t="n"/>
      <c r="K7" s="4" t="n"/>
      <c r="L7" s="3" t="n">
        <v>2018</v>
      </c>
      <c r="M7" s="5" t="n">
        <v>200000</v>
      </c>
      <c r="N7" s="3" t="n"/>
      <c r="O7" s="3" t="n">
        <v>4</v>
      </c>
      <c r="P7" s="5" t="n">
        <v>200000</v>
      </c>
      <c r="Q7" s="5" t="n">
        <v>0</v>
      </c>
      <c r="R7" s="3" t="n"/>
      <c r="S7" s="3" t="inlineStr">
        <is>
          <t>Aktif</t>
        </is>
      </c>
      <c r="T7" s="3" t="n"/>
      <c r="U7" s="3" t="n"/>
      <c r="V7" s="3" t="inlineStr">
        <is>
          <t>LIST ASSET YPIK 2025(1).xlsx | Inv. TKIA</t>
        </is>
      </c>
    </row>
    <row r="8">
      <c r="A8" s="3" t="n">
        <v>5</v>
      </c>
      <c r="B8" s="3" t="n"/>
      <c r="C8" s="3" t="inlineStr">
        <is>
          <t>TKIA 24 JATIKRAMAT</t>
        </is>
      </c>
      <c r="D8" s="3" t="n"/>
      <c r="E8" s="3" t="inlineStr">
        <is>
          <t>Kipas Angin</t>
        </is>
      </c>
      <c r="F8" s="3" t="inlineStr">
        <is>
          <t>Kipas Angin</t>
        </is>
      </c>
      <c r="G8" s="3" t="n"/>
      <c r="H8" s="3" t="n"/>
      <c r="I8" s="3" t="inlineStr">
        <is>
          <t>Jumlah: 1 Unit</t>
        </is>
      </c>
      <c r="J8" s="3" t="n"/>
      <c r="K8" s="4" t="n"/>
      <c r="L8" s="3" t="n">
        <v>2018</v>
      </c>
      <c r="M8" s="5" t="n">
        <v>500000</v>
      </c>
      <c r="N8" s="3" t="n"/>
      <c r="O8" s="3" t="n">
        <v>4</v>
      </c>
      <c r="P8" s="5" t="n">
        <v>500000</v>
      </c>
      <c r="Q8" s="5" t="n">
        <v>0</v>
      </c>
      <c r="R8" s="3" t="n"/>
      <c r="S8" s="3" t="inlineStr">
        <is>
          <t>Aktif</t>
        </is>
      </c>
      <c r="T8" s="3" t="n"/>
      <c r="U8" s="3" t="n"/>
      <c r="V8" s="3" t="inlineStr">
        <is>
          <t>LIST ASSET YPIK 2025(1).xlsx | Inv. TKIA</t>
        </is>
      </c>
    </row>
    <row r="9">
      <c r="A9" s="3" t="n">
        <v>6</v>
      </c>
      <c r="B9" s="3" t="n"/>
      <c r="C9" s="3" t="inlineStr">
        <is>
          <t>TKIA 24 JATIKRAMAT</t>
        </is>
      </c>
      <c r="D9" s="3" t="n"/>
      <c r="E9" s="3" t="inlineStr">
        <is>
          <t>CCTV Central</t>
        </is>
      </c>
      <c r="F9" s="3" t="inlineStr">
        <is>
          <t>CCTV Central</t>
        </is>
      </c>
      <c r="G9" s="3" t="n"/>
      <c r="H9" s="3" t="n"/>
      <c r="I9" s="3" t="inlineStr">
        <is>
          <t>Jumlah: 1 Unit</t>
        </is>
      </c>
      <c r="J9" s="3" t="n"/>
      <c r="K9" s="4" t="n"/>
      <c r="L9" s="3" t="n">
        <v>2018</v>
      </c>
      <c r="M9" s="5" t="n">
        <v>3000000</v>
      </c>
      <c r="N9" s="3" t="n"/>
      <c r="O9" s="3" t="n">
        <v>4</v>
      </c>
      <c r="P9" s="5" t="n">
        <v>3000000</v>
      </c>
      <c r="Q9" s="5" t="n">
        <v>0</v>
      </c>
      <c r="R9" s="3" t="n"/>
      <c r="S9" s="3" t="inlineStr">
        <is>
          <t>Aktif</t>
        </is>
      </c>
      <c r="T9" s="3" t="n"/>
      <c r="U9" s="3" t="n"/>
      <c r="V9" s="3" t="inlineStr">
        <is>
          <t>LIST ASSET YPIK 2025(1).xlsx | Inv. TKIA</t>
        </is>
      </c>
    </row>
    <row r="10">
      <c r="A10" s="3" t="n">
        <v>7</v>
      </c>
      <c r="B10" s="3" t="n"/>
      <c r="C10" s="3" t="inlineStr">
        <is>
          <t>TKIA 24 JATIKRAMAT</t>
        </is>
      </c>
      <c r="D10" s="3" t="n"/>
      <c r="E10" s="3" t="inlineStr">
        <is>
          <t>Kulkas 2 Pintu</t>
        </is>
      </c>
      <c r="F10" s="3" t="inlineStr">
        <is>
          <t>Kulkas 2 Pintu</t>
        </is>
      </c>
      <c r="G10" s="3" t="n"/>
      <c r="H10" s="3" t="n"/>
      <c r="I10" s="3" t="inlineStr">
        <is>
          <t>Jumlah: 1 Unit</t>
        </is>
      </c>
      <c r="J10" s="3" t="n"/>
      <c r="K10" s="4" t="n"/>
      <c r="L10" s="3" t="n">
        <v>2018</v>
      </c>
      <c r="M10" s="5" t="n">
        <v>2000000</v>
      </c>
      <c r="N10" s="3" t="n"/>
      <c r="O10" s="3" t="n">
        <v>4</v>
      </c>
      <c r="P10" s="5" t="n">
        <v>2000000</v>
      </c>
      <c r="Q10" s="5" t="n">
        <v>0</v>
      </c>
      <c r="R10" s="3" t="n"/>
      <c r="S10" s="3" t="inlineStr">
        <is>
          <t>Aktif</t>
        </is>
      </c>
      <c r="T10" s="3" t="n"/>
      <c r="U10" s="3" t="n"/>
      <c r="V10" s="3" t="inlineStr">
        <is>
          <t>LIST ASSET YPIK 2025(1).xlsx | Inv. TKIA</t>
        </is>
      </c>
    </row>
    <row r="11">
      <c r="A11" s="3" t="n">
        <v>8</v>
      </c>
      <c r="B11" s="3" t="n"/>
      <c r="C11" s="3" t="inlineStr">
        <is>
          <t>TKIA 24 JATIKRAMAT</t>
        </is>
      </c>
      <c r="D11" s="3" t="n"/>
      <c r="E11" s="3" t="inlineStr">
        <is>
          <t>Kipas Angin</t>
        </is>
      </c>
      <c r="F11" s="3" t="inlineStr">
        <is>
          <t>Kipas Angin</t>
        </is>
      </c>
      <c r="G11" s="3" t="n"/>
      <c r="H11" s="3" t="n"/>
      <c r="I11" s="3" t="inlineStr">
        <is>
          <t>Jumlah: 1 Unit</t>
        </is>
      </c>
      <c r="J11" s="3" t="n"/>
      <c r="K11" s="4" t="n"/>
      <c r="L11" s="3" t="n">
        <v>2018</v>
      </c>
      <c r="M11" s="5" t="n">
        <v>500000</v>
      </c>
      <c r="N11" s="3" t="n"/>
      <c r="O11" s="3" t="n">
        <v>4</v>
      </c>
      <c r="P11" s="5" t="n">
        <v>500000</v>
      </c>
      <c r="Q11" s="5" t="n">
        <v>0</v>
      </c>
      <c r="R11" s="3" t="n"/>
      <c r="S11" s="3" t="inlineStr">
        <is>
          <t>Aktif</t>
        </is>
      </c>
      <c r="T11" s="3" t="n"/>
      <c r="U11" s="3" t="n"/>
      <c r="V11" s="3" t="inlineStr">
        <is>
          <t>LIST ASSET YPIK 2025(1).xlsx | Inv. TKIA</t>
        </is>
      </c>
    </row>
    <row r="12">
      <c r="A12" s="3" t="n">
        <v>9</v>
      </c>
      <c r="B12" s="3" t="n"/>
      <c r="C12" s="3" t="inlineStr">
        <is>
          <t>TKIA 24 JATIKRAMAT</t>
        </is>
      </c>
      <c r="D12" s="3" t="n"/>
      <c r="E12" s="3" t="inlineStr">
        <is>
          <t>Mic Wireless</t>
        </is>
      </c>
      <c r="F12" s="3" t="inlineStr">
        <is>
          <t>Mic Wireless</t>
        </is>
      </c>
      <c r="G12" s="3" t="n"/>
      <c r="H12" s="3" t="n"/>
      <c r="I12" s="3" t="inlineStr">
        <is>
          <t>Jumlah: 1 Unit</t>
        </is>
      </c>
      <c r="J12" s="3" t="n"/>
      <c r="K12" s="4" t="n"/>
      <c r="L12" s="3" t="n">
        <v>2018</v>
      </c>
      <c r="M12" s="5" t="n">
        <v>1000000</v>
      </c>
      <c r="N12" s="3" t="n"/>
      <c r="O12" s="3" t="n">
        <v>4</v>
      </c>
      <c r="P12" s="5" t="n">
        <v>1000000</v>
      </c>
      <c r="Q12" s="5" t="n">
        <v>0</v>
      </c>
      <c r="R12" s="3" t="n"/>
      <c r="S12" s="3" t="inlineStr">
        <is>
          <t>Aktif</t>
        </is>
      </c>
      <c r="T12" s="3" t="n"/>
      <c r="U12" s="3" t="n"/>
      <c r="V12" s="3" t="inlineStr">
        <is>
          <t>LIST ASSET YPIK 2025(1).xlsx | Inv. TKIA</t>
        </is>
      </c>
    </row>
    <row r="13">
      <c r="A13" s="3" t="n">
        <v>10</v>
      </c>
      <c r="B13" s="3" t="n"/>
      <c r="C13" s="3" t="inlineStr">
        <is>
          <t>TKIA 24 JATIKRAMAT</t>
        </is>
      </c>
      <c r="D13" s="3" t="n"/>
      <c r="E13" s="3" t="inlineStr">
        <is>
          <t>CCTV - Sensor</t>
        </is>
      </c>
      <c r="F13" s="3" t="inlineStr">
        <is>
          <t>CCTV - Sensor</t>
        </is>
      </c>
      <c r="G13" s="3" t="n"/>
      <c r="H13" s="3" t="n"/>
      <c r="I13" s="3" t="inlineStr">
        <is>
          <t>Jumlah: 1 Unit</t>
        </is>
      </c>
      <c r="J13" s="3" t="n"/>
      <c r="K13" s="4" t="n"/>
      <c r="L13" s="3" t="n">
        <v>2018</v>
      </c>
      <c r="M13" s="5" t="n">
        <v>1500000</v>
      </c>
      <c r="N13" s="3" t="n"/>
      <c r="O13" s="3" t="n">
        <v>4</v>
      </c>
      <c r="P13" s="5" t="n">
        <v>1500000</v>
      </c>
      <c r="Q13" s="5" t="n">
        <v>0</v>
      </c>
      <c r="R13" s="3" t="n"/>
      <c r="S13" s="3" t="inlineStr">
        <is>
          <t>Aktif</t>
        </is>
      </c>
      <c r="T13" s="3" t="n"/>
      <c r="U13" s="3" t="n"/>
      <c r="V13" s="3" t="inlineStr">
        <is>
          <t>LIST ASSET YPIK 2025(1).xlsx | Inv. TKIA</t>
        </is>
      </c>
    </row>
    <row r="14">
      <c r="A14" s="3" t="n">
        <v>11</v>
      </c>
      <c r="B14" s="3" t="n"/>
      <c r="C14" s="3" t="inlineStr">
        <is>
          <t>TKIA 24 JATIKRAMAT</t>
        </is>
      </c>
      <c r="D14" s="3" t="n"/>
      <c r="E14" s="3" t="inlineStr">
        <is>
          <t>Infocus</t>
        </is>
      </c>
      <c r="F14" s="3" t="inlineStr">
        <is>
          <t>Infocus</t>
        </is>
      </c>
      <c r="G14" s="3" t="n"/>
      <c r="H14" s="3" t="n"/>
      <c r="I14" s="3" t="inlineStr">
        <is>
          <t>Jumlah: 1 Unit</t>
        </is>
      </c>
      <c r="J14" s="3" t="n"/>
      <c r="K14" s="4" t="n"/>
      <c r="L14" s="3" t="n">
        <v>2018</v>
      </c>
      <c r="M14" s="5" t="n">
        <v>3000000</v>
      </c>
      <c r="N14" s="3" t="n"/>
      <c r="O14" s="3" t="n">
        <v>4</v>
      </c>
      <c r="P14" s="5" t="n">
        <v>3000000</v>
      </c>
      <c r="Q14" s="5" t="n">
        <v>0</v>
      </c>
      <c r="R14" s="3" t="n"/>
      <c r="S14" s="3" t="inlineStr">
        <is>
          <t>Aktif</t>
        </is>
      </c>
      <c r="T14" s="3" t="n"/>
      <c r="U14" s="3" t="n"/>
      <c r="V14" s="3" t="inlineStr">
        <is>
          <t>LIST ASSET YPIK 2025(1).xlsx | Inv. TKIA</t>
        </is>
      </c>
    </row>
    <row r="15">
      <c r="A15" s="3" t="n">
        <v>12</v>
      </c>
      <c r="B15" s="3" t="n"/>
      <c r="C15" s="3" t="inlineStr">
        <is>
          <t>TKIA 24 JATIKRAMAT</t>
        </is>
      </c>
      <c r="D15" s="3" t="n"/>
      <c r="E15" s="3" t="inlineStr">
        <is>
          <t>Layar Infocus</t>
        </is>
      </c>
      <c r="F15" s="3" t="inlineStr">
        <is>
          <t>Layar Infocus</t>
        </is>
      </c>
      <c r="G15" s="3" t="n"/>
      <c r="H15" s="3" t="n"/>
      <c r="I15" s="3" t="inlineStr">
        <is>
          <t>Jumlah: 1 Unit</t>
        </is>
      </c>
      <c r="J15" s="3" t="n"/>
      <c r="K15" s="4" t="n"/>
      <c r="L15" s="3" t="n">
        <v>2018</v>
      </c>
      <c r="M15" s="5" t="n">
        <v>1500000</v>
      </c>
      <c r="N15" s="3" t="n"/>
      <c r="O15" s="3" t="n">
        <v>4</v>
      </c>
      <c r="P15" s="5" t="n">
        <v>1500000</v>
      </c>
      <c r="Q15" s="5" t="n">
        <v>0</v>
      </c>
      <c r="R15" s="3" t="n"/>
      <c r="S15" s="3" t="inlineStr">
        <is>
          <t>Aktif</t>
        </is>
      </c>
      <c r="T15" s="3" t="n"/>
      <c r="U15" s="3" t="n"/>
      <c r="V15" s="3" t="inlineStr">
        <is>
          <t>LIST ASSET YPIK 2025(1).xlsx | Inv. TKIA</t>
        </is>
      </c>
    </row>
    <row r="16">
      <c r="A16" s="3" t="n">
        <v>13</v>
      </c>
      <c r="B16" s="3" t="n"/>
      <c r="C16" s="3" t="inlineStr">
        <is>
          <t>TKIA 24 JATIKRAMAT</t>
        </is>
      </c>
      <c r="D16" s="3" t="n"/>
      <c r="E16" s="3" t="inlineStr">
        <is>
          <t>Dispenser</t>
        </is>
      </c>
      <c r="F16" s="3" t="inlineStr">
        <is>
          <t>Dispenser</t>
        </is>
      </c>
      <c r="G16" s="3" t="n"/>
      <c r="H16" s="3" t="n"/>
      <c r="I16" s="3" t="inlineStr">
        <is>
          <t>Jumlah: 1 Unit</t>
        </is>
      </c>
      <c r="J16" s="3" t="n"/>
      <c r="K16" s="4" t="n"/>
      <c r="L16" s="3" t="n">
        <v>2018</v>
      </c>
      <c r="M16" s="5" t="n">
        <v>1500000</v>
      </c>
      <c r="N16" s="3" t="n"/>
      <c r="O16" s="3" t="n">
        <v>4</v>
      </c>
      <c r="P16" s="5" t="n">
        <v>1500000</v>
      </c>
      <c r="Q16" s="5" t="n">
        <v>0</v>
      </c>
      <c r="R16" s="3" t="n"/>
      <c r="S16" s="3" t="inlineStr">
        <is>
          <t>Aktif</t>
        </is>
      </c>
      <c r="T16" s="3" t="n"/>
      <c r="U16" s="3" t="n"/>
      <c r="V16" s="3" t="inlineStr">
        <is>
          <t>LIST ASSET YPIK 2025(1).xlsx | Inv. TKIA</t>
        </is>
      </c>
    </row>
    <row r="17">
      <c r="A17" s="3" t="n">
        <v>14</v>
      </c>
      <c r="B17" s="3" t="n"/>
      <c r="C17" s="3" t="inlineStr">
        <is>
          <t>TKIA 24 JATIKRAMAT</t>
        </is>
      </c>
      <c r="D17" s="3" t="n"/>
      <c r="E17" s="3" t="inlineStr">
        <is>
          <t>Infocus</t>
        </is>
      </c>
      <c r="F17" s="3" t="inlineStr">
        <is>
          <t>Infocus</t>
        </is>
      </c>
      <c r="G17" s="3" t="n"/>
      <c r="H17" s="3" t="n"/>
      <c r="I17" s="3" t="inlineStr">
        <is>
          <t>Jumlah: 1 Unit</t>
        </is>
      </c>
      <c r="J17" s="3" t="n"/>
      <c r="K17" s="4" t="n"/>
      <c r="L17" s="3" t="n">
        <v>2018</v>
      </c>
      <c r="M17" s="5" t="n">
        <v>2500000</v>
      </c>
      <c r="N17" s="3" t="n"/>
      <c r="O17" s="3" t="n">
        <v>4</v>
      </c>
      <c r="P17" s="5" t="n">
        <v>2500000</v>
      </c>
      <c r="Q17" s="5" t="n">
        <v>0</v>
      </c>
      <c r="R17" s="3" t="n"/>
      <c r="S17" s="3" t="inlineStr">
        <is>
          <t>Aktif</t>
        </is>
      </c>
      <c r="T17" s="3" t="n"/>
      <c r="U17" s="3" t="n"/>
      <c r="V17" s="3" t="inlineStr">
        <is>
          <t>LIST ASSET YPIK 2025(1).xlsx | Inv. TKIA</t>
        </is>
      </c>
    </row>
    <row r="18">
      <c r="A18" s="3" t="n">
        <v>15</v>
      </c>
      <c r="B18" s="3" t="n"/>
      <c r="C18" s="3" t="inlineStr">
        <is>
          <t>TKIA 24 JATIKRAMAT</t>
        </is>
      </c>
      <c r="D18" s="3" t="n"/>
      <c r="E18" s="3" t="inlineStr">
        <is>
          <t>Layar Infocus</t>
        </is>
      </c>
      <c r="F18" s="3" t="inlineStr">
        <is>
          <t>Layar Infocus</t>
        </is>
      </c>
      <c r="G18" s="3" t="n"/>
      <c r="H18" s="3" t="n"/>
      <c r="I18" s="3" t="inlineStr">
        <is>
          <t>Jumlah: 1 Unit</t>
        </is>
      </c>
      <c r="J18" s="3" t="n"/>
      <c r="K18" s="4" t="n"/>
      <c r="L18" s="3" t="n">
        <v>2018</v>
      </c>
      <c r="M18" s="5" t="n">
        <v>1500000</v>
      </c>
      <c r="N18" s="3" t="n"/>
      <c r="O18" s="3" t="n">
        <v>4</v>
      </c>
      <c r="P18" s="5" t="n">
        <v>1500000</v>
      </c>
      <c r="Q18" s="5" t="n">
        <v>0</v>
      </c>
      <c r="R18" s="3" t="n"/>
      <c r="S18" s="3" t="inlineStr">
        <is>
          <t>Aktif</t>
        </is>
      </c>
      <c r="T18" s="3" t="n"/>
      <c r="U18" s="3" t="n"/>
      <c r="V18" s="3" t="inlineStr">
        <is>
          <t>LIST ASSET YPIK 2025(1).xlsx | Inv. TKIA</t>
        </is>
      </c>
    </row>
    <row r="19">
      <c r="A19" s="3" t="n">
        <v>16</v>
      </c>
      <c r="B19" s="3" t="n"/>
      <c r="C19" s="3" t="inlineStr">
        <is>
          <t>TKIA 24 JATIKRAMAT</t>
        </is>
      </c>
      <c r="D19" s="3" t="n"/>
      <c r="E19" s="3" t="inlineStr">
        <is>
          <t>Dispenser</t>
        </is>
      </c>
      <c r="F19" s="3" t="inlineStr">
        <is>
          <t>Dispenser</t>
        </is>
      </c>
      <c r="G19" s="3" t="n"/>
      <c r="H19" s="3" t="n"/>
      <c r="I19" s="3" t="inlineStr">
        <is>
          <t>Jumlah: 1 Unit</t>
        </is>
      </c>
      <c r="J19" s="3" t="n"/>
      <c r="K19" s="4" t="n"/>
      <c r="L19" s="3" t="n">
        <v>2018</v>
      </c>
      <c r="M19" s="5" t="n">
        <v>1500000</v>
      </c>
      <c r="N19" s="3" t="n"/>
      <c r="O19" s="3" t="n">
        <v>4</v>
      </c>
      <c r="P19" s="5" t="n">
        <v>1500000</v>
      </c>
      <c r="Q19" s="5" t="n">
        <v>0</v>
      </c>
      <c r="R19" s="3" t="n"/>
      <c r="S19" s="3" t="inlineStr">
        <is>
          <t>Aktif</t>
        </is>
      </c>
      <c r="T19" s="3" t="n"/>
      <c r="U19" s="3" t="n"/>
      <c r="V19" s="3" t="inlineStr">
        <is>
          <t>LIST ASSET YPIK 2025(1).xlsx | Inv. TKIA</t>
        </is>
      </c>
    </row>
    <row r="20">
      <c r="A20" s="3" t="n">
        <v>17</v>
      </c>
      <c r="B20" s="3" t="n"/>
      <c r="C20" s="3" t="inlineStr">
        <is>
          <t>TKIA 24 JATIKRAMAT</t>
        </is>
      </c>
      <c r="D20" s="3" t="n"/>
      <c r="E20" s="3" t="inlineStr">
        <is>
          <t>CCTV- Camera</t>
        </is>
      </c>
      <c r="F20" s="3" t="inlineStr">
        <is>
          <t>CCTV- Camera</t>
        </is>
      </c>
      <c r="G20" s="3" t="n"/>
      <c r="H20" s="3" t="n"/>
      <c r="I20" s="3" t="inlineStr">
        <is>
          <t>Jumlah: 1 Unit</t>
        </is>
      </c>
      <c r="J20" s="3" t="n"/>
      <c r="K20" s="4" t="n"/>
      <c r="L20" s="3" t="n">
        <v>2018</v>
      </c>
      <c r="M20" s="5" t="n">
        <v>6250000</v>
      </c>
      <c r="N20" s="3" t="n"/>
      <c r="O20" s="3" t="n">
        <v>4</v>
      </c>
      <c r="P20" s="5" t="n">
        <v>6250000</v>
      </c>
      <c r="Q20" s="5" t="n">
        <v>0</v>
      </c>
      <c r="R20" s="3" t="n"/>
      <c r="S20" s="3" t="inlineStr">
        <is>
          <t>Aktif</t>
        </is>
      </c>
      <c r="T20" s="3" t="n"/>
      <c r="U20" s="3" t="n"/>
      <c r="V20" s="3" t="inlineStr">
        <is>
          <t>LIST ASSET YPIK 2025(1).xlsx | Inv. TKIA</t>
        </is>
      </c>
    </row>
    <row r="21">
      <c r="A21" s="3" t="n">
        <v>18</v>
      </c>
      <c r="B21" s="3" t="n"/>
      <c r="C21" s="3" t="inlineStr">
        <is>
          <t>TKIA 24 JATIKRAMAT</t>
        </is>
      </c>
      <c r="D21" s="3" t="n"/>
      <c r="E21" s="3" t="inlineStr">
        <is>
          <t>Kipas Angin</t>
        </is>
      </c>
      <c r="F21" s="3" t="inlineStr">
        <is>
          <t>Kipas Angin</t>
        </is>
      </c>
      <c r="G21" s="3" t="n"/>
      <c r="H21" s="3" t="n"/>
      <c r="I21" s="3" t="inlineStr">
        <is>
          <t>Jumlah: 1 Unit</t>
        </is>
      </c>
      <c r="J21" s="3" t="n"/>
      <c r="K21" s="4" t="n"/>
      <c r="L21" s="3" t="n">
        <v>2018</v>
      </c>
      <c r="M21" s="5" t="n">
        <v>300000</v>
      </c>
      <c r="N21" s="3" t="n"/>
      <c r="O21" s="3" t="n">
        <v>4</v>
      </c>
      <c r="P21" s="5" t="n">
        <v>300000</v>
      </c>
      <c r="Q21" s="5" t="n">
        <v>0</v>
      </c>
      <c r="R21" s="3" t="n"/>
      <c r="S21" s="3" t="inlineStr">
        <is>
          <t>Aktif</t>
        </is>
      </c>
      <c r="T21" s="3" t="n"/>
      <c r="U21" s="3" t="n"/>
      <c r="V21" s="3" t="inlineStr">
        <is>
          <t>LIST ASSET YPIK 2025(1).xlsx | Inv. TKIA</t>
        </is>
      </c>
    </row>
    <row r="22">
      <c r="A22" s="3" t="n">
        <v>19</v>
      </c>
      <c r="B22" s="3" t="n"/>
      <c r="C22" s="3" t="inlineStr">
        <is>
          <t>TKIA 24 JATIKRAMAT</t>
        </is>
      </c>
      <c r="D22" s="3" t="n"/>
      <c r="E22" s="3" t="inlineStr">
        <is>
          <t>Kipas Angin</t>
        </is>
      </c>
      <c r="F22" s="3" t="inlineStr">
        <is>
          <t>Kipas Angin</t>
        </is>
      </c>
      <c r="G22" s="3" t="n"/>
      <c r="H22" s="3" t="n"/>
      <c r="I22" s="3" t="inlineStr">
        <is>
          <t>Jumlah: 1 Unit</t>
        </is>
      </c>
      <c r="J22" s="3" t="n"/>
      <c r="K22" s="4" t="n"/>
      <c r="L22" s="3" t="n">
        <v>2018</v>
      </c>
      <c r="M22" s="5" t="n">
        <v>300000</v>
      </c>
      <c r="N22" s="3" t="n"/>
      <c r="O22" s="3" t="n">
        <v>4</v>
      </c>
      <c r="P22" s="5" t="n">
        <v>300000</v>
      </c>
      <c r="Q22" s="5" t="n">
        <v>0</v>
      </c>
      <c r="R22" s="3" t="n"/>
      <c r="S22" s="3" t="inlineStr">
        <is>
          <t>Aktif</t>
        </is>
      </c>
      <c r="T22" s="3" t="n"/>
      <c r="U22" s="3" t="n"/>
      <c r="V22" s="3" t="inlineStr">
        <is>
          <t>LIST ASSET YPIK 2025(1).xlsx | Inv. TKIA</t>
        </is>
      </c>
    </row>
    <row r="23">
      <c r="A23" s="3" t="n">
        <v>20</v>
      </c>
      <c r="B23" s="3" t="n"/>
      <c r="C23" s="3" t="inlineStr">
        <is>
          <t>TKIA 24 JATIKRAMAT</t>
        </is>
      </c>
      <c r="D23" s="3" t="n"/>
      <c r="E23" s="3" t="inlineStr">
        <is>
          <t>Kipas Angin</t>
        </is>
      </c>
      <c r="F23" s="3" t="inlineStr">
        <is>
          <t>Kipas Angin</t>
        </is>
      </c>
      <c r="G23" s="3" t="n"/>
      <c r="H23" s="3" t="n"/>
      <c r="I23" s="3" t="inlineStr">
        <is>
          <t>Jumlah: 1 Unit</t>
        </is>
      </c>
      <c r="J23" s="3" t="n"/>
      <c r="K23" s="4" t="n"/>
      <c r="L23" s="3" t="n">
        <v>2018</v>
      </c>
      <c r="M23" s="5" t="n">
        <v>300000</v>
      </c>
      <c r="N23" s="3" t="n"/>
      <c r="O23" s="3" t="n">
        <v>4</v>
      </c>
      <c r="P23" s="5" t="n">
        <v>300000</v>
      </c>
      <c r="Q23" s="5" t="n">
        <v>0</v>
      </c>
      <c r="R23" s="3" t="n"/>
      <c r="S23" s="3" t="inlineStr">
        <is>
          <t>Aktif</t>
        </is>
      </c>
      <c r="T23" s="3" t="n"/>
      <c r="U23" s="3" t="n"/>
      <c r="V23" s="3" t="inlineStr">
        <is>
          <t>LIST ASSET YPIK 2025(1).xlsx | Inv. TKIA</t>
        </is>
      </c>
    </row>
    <row r="24">
      <c r="A24" s="3" t="n">
        <v>21</v>
      </c>
      <c r="B24" s="3" t="n"/>
      <c r="C24" s="3" t="inlineStr">
        <is>
          <t>TKIA 24 JATIKRAMAT</t>
        </is>
      </c>
      <c r="D24" s="3" t="n"/>
      <c r="E24" s="3" t="inlineStr">
        <is>
          <t>Maintenance CCTV TKIA</t>
        </is>
      </c>
      <c r="F24" s="3" t="inlineStr">
        <is>
          <t>Maintenance CCTV TKIA</t>
        </is>
      </c>
      <c r="G24" s="3" t="n"/>
      <c r="H24" s="3" t="n"/>
      <c r="I24" s="3" t="n"/>
      <c r="J24" s="3" t="n"/>
      <c r="K24" s="4" t="n"/>
      <c r="L24" s="3" t="n">
        <v>2023</v>
      </c>
      <c r="M24" s="5" t="n">
        <v>370000</v>
      </c>
      <c r="N24" s="3" t="n"/>
      <c r="O24" s="3" t="n">
        <v>4</v>
      </c>
      <c r="P24" s="5" t="n">
        <v>185000</v>
      </c>
      <c r="Q24" s="5" t="n">
        <v>185000</v>
      </c>
      <c r="R24" s="3" t="n"/>
      <c r="S24" s="3" t="inlineStr">
        <is>
          <t>Aktif</t>
        </is>
      </c>
      <c r="T24" s="3" t="n"/>
      <c r="U24" s="3" t="n"/>
      <c r="V24" s="3" t="inlineStr">
        <is>
          <t>LIST ASSET YPIK 2025(1).xlsx | Inv. TKIA</t>
        </is>
      </c>
    </row>
    <row r="25">
      <c r="A25" s="3" t="n">
        <v>22</v>
      </c>
      <c r="B25" s="3" t="n"/>
      <c r="C25" s="3" t="inlineStr">
        <is>
          <t>TKIA 24 JATIKRAMAT</t>
        </is>
      </c>
      <c r="D25" s="3" t="n"/>
      <c r="E25" s="3" t="inlineStr">
        <is>
          <t>Pembelian Lampu Panasonic Untuk TKIA (Mitra 10)</t>
        </is>
      </c>
      <c r="F25" s="3" t="inlineStr">
        <is>
          <t>Pembelian Lampu Panasonic Untuk TKIA (Mitra 10)</t>
        </is>
      </c>
      <c r="G25" s="3" t="n"/>
      <c r="H25" s="3" t="n"/>
      <c r="I25" s="3" t="n"/>
      <c r="J25" s="3" t="n"/>
      <c r="K25" s="4" t="n"/>
      <c r="L25" s="3" t="n">
        <v>2023</v>
      </c>
      <c r="M25" s="5" t="n">
        <v>1359500</v>
      </c>
      <c r="N25" s="3" t="n"/>
      <c r="O25" s="3" t="n">
        <v>4</v>
      </c>
      <c r="P25" s="5" t="n">
        <v>634433</v>
      </c>
      <c r="Q25" s="5" t="n">
        <v>725067</v>
      </c>
      <c r="R25" s="3" t="n"/>
      <c r="S25" s="3" t="inlineStr">
        <is>
          <t>Aktif</t>
        </is>
      </c>
      <c r="T25" s="3" t="n"/>
      <c r="U25" s="3" t="n"/>
      <c r="V25" s="3" t="inlineStr">
        <is>
          <t>LIST ASSET YPIK 2025(1).xlsx | Inv. TKIA</t>
        </is>
      </c>
    </row>
    <row r="26">
      <c r="A26" s="3" t="n">
        <v>23</v>
      </c>
      <c r="B26" s="3" t="n"/>
      <c r="C26" s="3" t="inlineStr">
        <is>
          <t>TKIA 24 JATIKRAMAT</t>
        </is>
      </c>
      <c r="D26" s="3" t="n"/>
      <c r="E26" s="3" t="inlineStr">
        <is>
          <t>Pembelian Kipas Angin/Blower Lantai 1 TA 2023/2024 TKIA</t>
        </is>
      </c>
      <c r="F26" s="3" t="inlineStr">
        <is>
          <t>Pembelian Kipas Angin/Blower Lantai 1 TA 2023/2024 TKIA</t>
        </is>
      </c>
      <c r="G26" s="3" t="n"/>
      <c r="H26" s="3" t="n"/>
      <c r="I26" s="3" t="inlineStr">
        <is>
          <t>Jumlah: 1 Unit</t>
        </is>
      </c>
      <c r="J26" s="3" t="n"/>
      <c r="K26" s="4" t="n"/>
      <c r="L26" s="3" t="n">
        <v>2023</v>
      </c>
      <c r="M26" s="5" t="n">
        <v>1000000</v>
      </c>
      <c r="N26" s="3" t="n"/>
      <c r="O26" s="3" t="n">
        <v>4</v>
      </c>
      <c r="P26" s="5" t="n">
        <v>433333</v>
      </c>
      <c r="Q26" s="5" t="n">
        <v>566667</v>
      </c>
      <c r="R26" s="3" t="n"/>
      <c r="S26" s="3" t="inlineStr">
        <is>
          <t>Aktif</t>
        </is>
      </c>
      <c r="T26" s="3" t="n"/>
      <c r="U26" s="3" t="n"/>
      <c r="V26" s="3" t="inlineStr">
        <is>
          <t>LIST ASSET YPIK 2025(1).xlsx | Inv. TKIA</t>
        </is>
      </c>
    </row>
    <row r="27">
      <c r="A27" s="3" t="n">
        <v>24</v>
      </c>
      <c r="B27" s="3" t="n"/>
      <c r="C27" s="3" t="inlineStr">
        <is>
          <t>TKIA 24 JATIKRAMAT</t>
        </is>
      </c>
      <c r="D27" s="3" t="n"/>
      <c r="E27" s="3" t="inlineStr">
        <is>
          <t>Penambahan CCTV TKIA</t>
        </is>
      </c>
      <c r="F27" s="3" t="inlineStr">
        <is>
          <t>Penambahan CCTV TKIA</t>
        </is>
      </c>
      <c r="G27" s="3" t="n"/>
      <c r="H27" s="3" t="n"/>
      <c r="I27" s="3" t="inlineStr">
        <is>
          <t>Jumlah: 5 U nit</t>
        </is>
      </c>
      <c r="J27" s="3" t="n"/>
      <c r="K27" s="4" t="n"/>
      <c r="L27" s="3" t="n">
        <v>2023</v>
      </c>
      <c r="M27" s="5" t="n">
        <v>9690000</v>
      </c>
      <c r="N27" s="3" t="n"/>
      <c r="O27" s="3" t="n">
        <v>4</v>
      </c>
      <c r="P27" s="5" t="n">
        <v>4037500</v>
      </c>
      <c r="Q27" s="5" t="n">
        <v>5652500</v>
      </c>
      <c r="R27" s="3" t="n"/>
      <c r="S27" s="3" t="inlineStr">
        <is>
          <t>Aktif</t>
        </is>
      </c>
      <c r="T27" s="3" t="n"/>
      <c r="U27" s="3" t="n"/>
      <c r="V27" s="3" t="inlineStr">
        <is>
          <t>LIST ASSET YPIK 2025(1).xlsx | Inv. TKIA</t>
        </is>
      </c>
    </row>
    <row r="28">
      <c r="A28" s="3" t="n">
        <v>25</v>
      </c>
      <c r="B28" s="3" t="n"/>
      <c r="C28" s="3" t="inlineStr">
        <is>
          <t>SDIA 23 JATIKRAMAT</t>
        </is>
      </c>
      <c r="D28" s="3" t="n"/>
      <c r="E28" s="3" t="inlineStr">
        <is>
          <t>Kulkas</t>
        </is>
      </c>
      <c r="F28" s="3" t="inlineStr">
        <is>
          <t>Kulkas</t>
        </is>
      </c>
      <c r="G28" s="3" t="n"/>
      <c r="H28" s="3" t="n"/>
      <c r="I28" s="3" t="inlineStr">
        <is>
          <t>Jumlah: 1</t>
        </is>
      </c>
      <c r="J28" s="3" t="n"/>
      <c r="K28" s="4" t="n"/>
      <c r="L28" s="3" t="n">
        <v>2018</v>
      </c>
      <c r="M28" s="5" t="n">
        <v>1500000</v>
      </c>
      <c r="N28" s="3" t="n"/>
      <c r="O28" s="3" t="n">
        <v>4</v>
      </c>
      <c r="P28" s="5" t="n">
        <v>1500000</v>
      </c>
      <c r="Q28" s="5" t="n">
        <v>0</v>
      </c>
      <c r="R28" s="3" t="n"/>
      <c r="S28" s="3" t="inlineStr">
        <is>
          <t>Aktif</t>
        </is>
      </c>
      <c r="T28" s="3" t="n"/>
      <c r="U28" s="3" t="n"/>
      <c r="V28" s="3" t="inlineStr">
        <is>
          <t>LIST ASSET YPIK 2025(1).xlsx | Inv. SDIA</t>
        </is>
      </c>
    </row>
    <row r="29">
      <c r="A29" s="3" t="n">
        <v>26</v>
      </c>
      <c r="B29" s="3" t="n"/>
      <c r="C29" s="3" t="inlineStr">
        <is>
          <t>SDIA 23 JATIKRAMAT</t>
        </is>
      </c>
      <c r="D29" s="3" t="n"/>
      <c r="E29" s="3" t="inlineStr">
        <is>
          <t>CCTV SDIA 23</t>
        </is>
      </c>
      <c r="F29" s="3" t="inlineStr">
        <is>
          <t>CCTV SDIA 23</t>
        </is>
      </c>
      <c r="G29" s="3" t="n"/>
      <c r="H29" s="3" t="n"/>
      <c r="I29" s="3" t="inlineStr">
        <is>
          <t>Jumlah: 14 Unit</t>
        </is>
      </c>
      <c r="J29" s="3" t="n"/>
      <c r="K29" s="4" t="n"/>
      <c r="L29" s="3" t="n">
        <v>2019</v>
      </c>
      <c r="M29" s="5" t="n">
        <v>28000000</v>
      </c>
      <c r="N29" s="3" t="n"/>
      <c r="O29" s="3" t="n">
        <v>4</v>
      </c>
      <c r="P29" s="5" t="n">
        <v>28000000</v>
      </c>
      <c r="Q29" s="5" t="n">
        <v>0</v>
      </c>
      <c r="R29" s="3" t="n"/>
      <c r="S29" s="3" t="inlineStr">
        <is>
          <t>Aktif</t>
        </is>
      </c>
      <c r="T29" s="3" t="n"/>
      <c r="U29" s="3" t="n"/>
      <c r="V29" s="3" t="inlineStr">
        <is>
          <t>LIST ASSET YPIK 2025(1).xlsx | Inv. SDIA</t>
        </is>
      </c>
    </row>
    <row r="30">
      <c r="A30" s="3" t="n">
        <v>27</v>
      </c>
      <c r="B30" s="3" t="n"/>
      <c r="C30" s="3" t="inlineStr">
        <is>
          <t>SDIA 23 JATIKRAMAT</t>
        </is>
      </c>
      <c r="D30" s="3" t="n"/>
      <c r="E30" s="3" t="inlineStr">
        <is>
          <t>CCTV SDIA</t>
        </is>
      </c>
      <c r="F30" s="3" t="inlineStr">
        <is>
          <t>CCTV SDIA</t>
        </is>
      </c>
      <c r="G30" s="3" t="n"/>
      <c r="H30" s="3" t="n"/>
      <c r="I30" s="3" t="n"/>
      <c r="J30" s="3" t="n"/>
      <c r="K30" s="4" t="n"/>
      <c r="L30" s="3" t="n">
        <v>2023</v>
      </c>
      <c r="M30" s="5" t="n">
        <v>2500000</v>
      </c>
      <c r="N30" s="3" t="n"/>
      <c r="O30" s="3" t="n">
        <v>4</v>
      </c>
      <c r="P30" s="5" t="n">
        <v>1250000</v>
      </c>
      <c r="Q30" s="5" t="n">
        <v>1250000</v>
      </c>
      <c r="R30" s="3" t="n"/>
      <c r="S30" s="3" t="inlineStr">
        <is>
          <t>Aktif</t>
        </is>
      </c>
      <c r="T30" s="3" t="n"/>
      <c r="U30" s="3" t="n"/>
      <c r="V30" s="3" t="inlineStr">
        <is>
          <t>LIST ASSET YPIK 2025(1).xlsx | Inv. SDIA</t>
        </is>
      </c>
    </row>
    <row r="31">
      <c r="A31" s="3" t="n">
        <v>28</v>
      </c>
      <c r="B31" s="3" t="n"/>
      <c r="C31" s="3" t="inlineStr">
        <is>
          <t>SDIA 23 JATIKRAMAT</t>
        </is>
      </c>
      <c r="D31" s="3" t="n"/>
      <c r="E31" s="3" t="inlineStr">
        <is>
          <t>Pembelian Mic Wireless (1 Pasang)</t>
        </is>
      </c>
      <c r="F31" s="3" t="inlineStr">
        <is>
          <t>Pembelian Mic Wireless (1 Pasang)</t>
        </is>
      </c>
      <c r="G31" s="3" t="n"/>
      <c r="H31" s="3" t="n"/>
      <c r="I31" s="3" t="inlineStr">
        <is>
          <t>Jumlah: 1 Unit</t>
        </is>
      </c>
      <c r="J31" s="3" t="n"/>
      <c r="K31" s="4" t="n"/>
      <c r="L31" s="3" t="n">
        <v>2023</v>
      </c>
      <c r="M31" s="5" t="n">
        <v>664000</v>
      </c>
      <c r="N31" s="3" t="n"/>
      <c r="O31" s="3" t="n">
        <v>4</v>
      </c>
      <c r="P31" s="5" t="n">
        <v>376267</v>
      </c>
      <c r="Q31" s="5" t="n">
        <v>287733</v>
      </c>
      <c r="R31" s="3" t="n"/>
      <c r="S31" s="3" t="inlineStr">
        <is>
          <t>Aktif</t>
        </is>
      </c>
      <c r="T31" s="3" t="n"/>
      <c r="U31" s="3" t="n"/>
      <c r="V31" s="3" t="inlineStr">
        <is>
          <t>LIST ASSET YPIK 2025(1).xlsx | Inv. SDIA</t>
        </is>
      </c>
    </row>
    <row r="32">
      <c r="A32" s="3" t="n">
        <v>29</v>
      </c>
      <c r="B32" s="3" t="n"/>
      <c r="C32" s="3" t="inlineStr">
        <is>
          <t>SDIA 23 JATIKRAMAT</t>
        </is>
      </c>
      <c r="D32" s="3" t="n"/>
      <c r="E32" s="3" t="inlineStr">
        <is>
          <t>Pembelian Bracket TV Standing 2 Unit untuk SDIA</t>
        </is>
      </c>
      <c r="F32" s="3" t="inlineStr">
        <is>
          <t>Pembelian Bracket TV Standing 2 Unit untuk SDIA</t>
        </is>
      </c>
      <c r="G32" s="3" t="n"/>
      <c r="H32" s="3" t="n"/>
      <c r="I32" s="3" t="inlineStr">
        <is>
          <t>Jumlah: 2 Unit</t>
        </is>
      </c>
      <c r="J32" s="3" t="n"/>
      <c r="K32" s="4" t="n"/>
      <c r="L32" s="3" t="n">
        <v>2023</v>
      </c>
      <c r="M32" s="5" t="n">
        <v>1700000</v>
      </c>
      <c r="N32" s="3" t="n"/>
      <c r="O32" s="3" t="n">
        <v>4</v>
      </c>
      <c r="P32" s="5" t="n">
        <v>850000</v>
      </c>
      <c r="Q32" s="5" t="n">
        <v>850000</v>
      </c>
      <c r="R32" s="3" t="n"/>
      <c r="S32" s="3" t="inlineStr">
        <is>
          <t>Aktif</t>
        </is>
      </c>
      <c r="T32" s="3" t="n"/>
      <c r="U32" s="3" t="n"/>
      <c r="V32" s="3" t="inlineStr">
        <is>
          <t>LIST ASSET YPIK 2025(1).xlsx | Inv. SDIA</t>
        </is>
      </c>
    </row>
    <row r="33">
      <c r="A33" s="3" t="n">
        <v>30</v>
      </c>
      <c r="B33" s="3" t="n"/>
      <c r="C33" s="3" t="inlineStr">
        <is>
          <t>SDIA 23 JATIKRAMAT</t>
        </is>
      </c>
      <c r="D33" s="3" t="n"/>
      <c r="E33" s="3" t="inlineStr">
        <is>
          <t>DP Pembelian Sound System SDIA</t>
        </is>
      </c>
      <c r="F33" s="3" t="inlineStr">
        <is>
          <t>DP Pembelian Sound System SDIA</t>
        </is>
      </c>
      <c r="G33" s="3" t="n"/>
      <c r="H33" s="3" t="n"/>
      <c r="I33" s="3" t="inlineStr">
        <is>
          <t>Jumlah: 1 Set</t>
        </is>
      </c>
      <c r="J33" s="3" t="n"/>
      <c r="K33" s="4" t="n"/>
      <c r="L33" s="3" t="n">
        <v>2023</v>
      </c>
      <c r="M33" s="5" t="n">
        <v>30000000</v>
      </c>
      <c r="N33" s="3" t="n"/>
      <c r="O33" s="3" t="n">
        <v>4</v>
      </c>
      <c r="P33" s="5" t="n">
        <v>14500000</v>
      </c>
      <c r="Q33" s="5" t="n">
        <v>15500000</v>
      </c>
      <c r="R33" s="3" t="n"/>
      <c r="S33" s="3" t="inlineStr">
        <is>
          <t>Aktif</t>
        </is>
      </c>
      <c r="T33" s="3" t="n"/>
      <c r="U33" s="3" t="n"/>
      <c r="V33" s="3" t="inlineStr">
        <is>
          <t>LIST ASSET YPIK 2025(1).xlsx | Inv. SDIA</t>
        </is>
      </c>
    </row>
    <row r="34">
      <c r="A34" s="3" t="n">
        <v>31</v>
      </c>
      <c r="B34" s="3" t="n"/>
      <c r="C34" s="3" t="inlineStr">
        <is>
          <t>SDIA 23 JATIKRAMAT</t>
        </is>
      </c>
      <c r="D34" s="3" t="n"/>
      <c r="E34" s="3" t="inlineStr">
        <is>
          <t>Pelunasan Pembelian Sound System/Speaker untuk SDIA</t>
        </is>
      </c>
      <c r="F34" s="3" t="inlineStr">
        <is>
          <t>Pelunasan Pembelian Sound System/Speaker untuk SDIA</t>
        </is>
      </c>
      <c r="G34" s="3" t="n"/>
      <c r="H34" s="3" t="n"/>
      <c r="I34" s="3" t="inlineStr">
        <is>
          <t>Jumlah: 1 Set</t>
        </is>
      </c>
      <c r="J34" s="3" t="n"/>
      <c r="K34" s="4" t="n"/>
      <c r="L34" s="3" t="n">
        <v>2023</v>
      </c>
      <c r="M34" s="5" t="n">
        <v>26000000</v>
      </c>
      <c r="N34" s="3" t="n"/>
      <c r="O34" s="3" t="n">
        <v>4</v>
      </c>
      <c r="P34" s="5" t="n">
        <v>12566667</v>
      </c>
      <c r="Q34" s="5" t="n">
        <v>13433333</v>
      </c>
      <c r="R34" s="3" t="n"/>
      <c r="S34" s="3" t="inlineStr">
        <is>
          <t>Aktif</t>
        </is>
      </c>
      <c r="T34" s="3" t="n"/>
      <c r="U34" s="3" t="n"/>
      <c r="V34" s="3" t="inlineStr">
        <is>
          <t>LIST ASSET YPIK 2025(1).xlsx | Inv. SDIA</t>
        </is>
      </c>
    </row>
    <row r="35">
      <c r="A35" s="3" t="n">
        <v>32</v>
      </c>
      <c r="B35" s="3" t="n"/>
      <c r="C35" s="3" t="inlineStr">
        <is>
          <t>SDIA 23 JATIKRAMAT</t>
        </is>
      </c>
      <c r="D35" s="3" t="n"/>
      <c r="E35" s="3" t="inlineStr">
        <is>
          <t>Pembelian Lampu Panasonic di Mitra 10 Tgl 23 Sept 2023</t>
        </is>
      </c>
      <c r="F35" s="3" t="inlineStr">
        <is>
          <t>Pembelian Lampu Panasonic di Mitra 10 Tgl 23 Sept 2023</t>
        </is>
      </c>
      <c r="G35" s="3" t="n"/>
      <c r="H35" s="3" t="n"/>
      <c r="I35" s="3" t="n"/>
      <c r="J35" s="3" t="n"/>
      <c r="K35" s="4" t="n"/>
      <c r="L35" s="3" t="n">
        <v>2023</v>
      </c>
      <c r="M35" s="5" t="n">
        <v>974700</v>
      </c>
      <c r="N35" s="3" t="n"/>
      <c r="O35" s="3" t="n">
        <v>4</v>
      </c>
      <c r="P35" s="5" t="n">
        <v>454860</v>
      </c>
      <c r="Q35" s="5" t="n">
        <v>519840</v>
      </c>
      <c r="R35" s="3" t="n"/>
      <c r="S35" s="3" t="inlineStr">
        <is>
          <t>Aktif</t>
        </is>
      </c>
      <c r="T35" s="3" t="n"/>
      <c r="U35" s="3" t="n"/>
      <c r="V35" s="3" t="inlineStr">
        <is>
          <t>LIST ASSET YPIK 2025(1).xlsx | Inv. SDIA</t>
        </is>
      </c>
    </row>
    <row r="36">
      <c r="A36" s="3" t="n">
        <v>33</v>
      </c>
      <c r="B36" s="3" t="n"/>
      <c r="C36" s="3" t="inlineStr">
        <is>
          <t>SDIA 23 JATIKRAMAT</t>
        </is>
      </c>
      <c r="D36" s="3" t="n"/>
      <c r="E36" s="3" t="inlineStr">
        <is>
          <t>Pembelian Lampu Philips (Mitra 10) Tgl 24 Okt 2023</t>
        </is>
      </c>
      <c r="F36" s="3" t="inlineStr">
        <is>
          <t>Pembelian Lampu Philips (Mitra 10) Tgl 24 Okt 2023</t>
        </is>
      </c>
      <c r="G36" s="3" t="n"/>
      <c r="H36" s="3" t="n"/>
      <c r="I36" s="3" t="n"/>
      <c r="J36" s="3" t="n"/>
      <c r="K36" s="4" t="n"/>
      <c r="L36" s="3" t="n">
        <v>2023</v>
      </c>
      <c r="M36" s="5" t="n">
        <v>3828200</v>
      </c>
      <c r="N36" s="3" t="n"/>
      <c r="O36" s="3" t="n">
        <v>4</v>
      </c>
      <c r="P36" s="5" t="n">
        <v>1722690</v>
      </c>
      <c r="Q36" s="5" t="n">
        <v>2105510</v>
      </c>
      <c r="R36" s="3" t="n"/>
      <c r="S36" s="3" t="inlineStr">
        <is>
          <t>Aktif</t>
        </is>
      </c>
      <c r="T36" s="3" t="n"/>
      <c r="U36" s="3" t="n"/>
      <c r="V36" s="3" t="inlineStr">
        <is>
          <t>LIST ASSET YPIK 2025(1).xlsx | Inv. SDIA</t>
        </is>
      </c>
    </row>
    <row r="37">
      <c r="A37" s="3" t="n">
        <v>34</v>
      </c>
      <c r="B37" s="3" t="n"/>
      <c r="C37" s="3" t="inlineStr">
        <is>
          <t>SDIA 23 JATIKRAMAT</t>
        </is>
      </c>
      <c r="D37" s="3" t="n"/>
      <c r="E37" s="3" t="inlineStr">
        <is>
          <t>Pembelian Lampu dan Operasional Tgl 31 Okt 2023</t>
        </is>
      </c>
      <c r="F37" s="3" t="inlineStr">
        <is>
          <t>Pembelian Lampu dan Operasional Tgl 31 Okt 2023</t>
        </is>
      </c>
      <c r="G37" s="3" t="n"/>
      <c r="H37" s="3" t="n"/>
      <c r="I37" s="3" t="n"/>
      <c r="J37" s="3" t="n"/>
      <c r="K37" s="4" t="n"/>
      <c r="L37" s="3" t="n">
        <v>2023</v>
      </c>
      <c r="M37" s="5" t="n">
        <v>905500</v>
      </c>
      <c r="N37" s="3" t="n"/>
      <c r="O37" s="3" t="n">
        <v>4</v>
      </c>
      <c r="P37" s="5" t="n">
        <v>392383</v>
      </c>
      <c r="Q37" s="5" t="n">
        <v>513117</v>
      </c>
      <c r="R37" s="3" t="n"/>
      <c r="S37" s="3" t="inlineStr">
        <is>
          <t>Aktif</t>
        </is>
      </c>
      <c r="T37" s="3" t="n"/>
      <c r="U37" s="3" t="n"/>
      <c r="V37" s="3" t="inlineStr">
        <is>
          <t>LIST ASSET YPIK 2025(1).xlsx | Inv. SDIA</t>
        </is>
      </c>
    </row>
    <row r="38">
      <c r="A38" s="3" t="n">
        <v>35</v>
      </c>
      <c r="B38" s="3" t="n"/>
      <c r="C38" s="3" t="inlineStr">
        <is>
          <t>SDIA 23 JATIKRAMAT</t>
        </is>
      </c>
      <c r="D38" s="3" t="n"/>
      <c r="E38" s="3" t="inlineStr">
        <is>
          <t>Pembelian Dispenser &amp; Jam Dinding SD</t>
        </is>
      </c>
      <c r="F38" s="3" t="inlineStr">
        <is>
          <t>Pembelian Dispenser &amp; Jam Dinding SD</t>
        </is>
      </c>
      <c r="G38" s="3" t="n"/>
      <c r="H38" s="3" t="n"/>
      <c r="I38" s="3" t="n"/>
      <c r="J38" s="3" t="n"/>
      <c r="K38" s="4" t="n"/>
      <c r="L38" s="3" t="n">
        <v>2024</v>
      </c>
      <c r="M38" s="5" t="n">
        <v>355400</v>
      </c>
      <c r="N38" s="3" t="n"/>
      <c r="O38" s="3" t="n">
        <v>4</v>
      </c>
      <c r="P38" s="5" t="n">
        <v>112543</v>
      </c>
      <c r="Q38" s="5" t="n">
        <v>242857</v>
      </c>
      <c r="R38" s="3" t="n"/>
      <c r="S38" s="3" t="inlineStr">
        <is>
          <t>Aktif</t>
        </is>
      </c>
      <c r="T38" s="3" t="n"/>
      <c r="U38" s="3" t="n"/>
      <c r="V38" s="3" t="inlineStr">
        <is>
          <t>LIST ASSET YPIK 2025(1).xlsx | Inv. SDIA</t>
        </is>
      </c>
    </row>
    <row r="39">
      <c r="A39" s="3" t="n">
        <v>36</v>
      </c>
      <c r="B39" s="3" t="n"/>
      <c r="C39" s="3" t="inlineStr">
        <is>
          <t>SDIA 23 JATIKRAMAT</t>
        </is>
      </c>
      <c r="D39" s="3" t="n"/>
      <c r="E39" s="3" t="inlineStr">
        <is>
          <t>Pembelian Kipas Angin Satpam SDIA</t>
        </is>
      </c>
      <c r="F39" s="3" t="inlineStr">
        <is>
          <t>Pembelian Kipas Angin Satpam SDIA</t>
        </is>
      </c>
      <c r="G39" s="3" t="n"/>
      <c r="H39" s="3" t="n"/>
      <c r="I39" s="3" t="n"/>
      <c r="J39" s="3" t="n"/>
      <c r="K39" s="4" t="n"/>
      <c r="L39" s="3" t="n">
        <v>2024</v>
      </c>
      <c r="M39" s="5" t="n">
        <v>350000</v>
      </c>
      <c r="N39" s="3" t="n"/>
      <c r="O39" s="3" t="n">
        <v>4</v>
      </c>
      <c r="P39" s="5" t="n">
        <v>99167</v>
      </c>
      <c r="Q39" s="5" t="n">
        <v>250833</v>
      </c>
      <c r="R39" s="3" t="n"/>
      <c r="S39" s="3" t="inlineStr">
        <is>
          <t>Aktif</t>
        </is>
      </c>
      <c r="T39" s="3" t="n"/>
      <c r="U39" s="3" t="n"/>
      <c r="V39" s="3" t="inlineStr">
        <is>
          <t>LIST ASSET YPIK 2025(1).xlsx | Inv. SDIA</t>
        </is>
      </c>
    </row>
    <row r="40">
      <c r="A40" s="3" t="n">
        <v>37</v>
      </c>
      <c r="B40" s="3" t="n"/>
      <c r="C40" s="3" t="inlineStr">
        <is>
          <t>SDIA 23 JATIKRAMAT</t>
        </is>
      </c>
      <c r="D40" s="3" t="n"/>
      <c r="E40" s="3" t="inlineStr">
        <is>
          <t>Pembelian Microphone SDIA</t>
        </is>
      </c>
      <c r="F40" s="3" t="inlineStr">
        <is>
          <t>Pembelian Microphone SDIA</t>
        </is>
      </c>
      <c r="G40" s="3" t="n"/>
      <c r="H40" s="3" t="n"/>
      <c r="I40" s="3" t="n"/>
      <c r="J40" s="3" t="n"/>
      <c r="K40" s="4" t="n"/>
      <c r="L40" s="3" t="n">
        <v>2024</v>
      </c>
      <c r="M40" s="5" t="n">
        <v>458300</v>
      </c>
      <c r="N40" s="3" t="n"/>
      <c r="O40" s="3" t="n">
        <v>4</v>
      </c>
      <c r="P40" s="5" t="n">
        <v>122213</v>
      </c>
      <c r="Q40" s="5" t="n">
        <v>336087</v>
      </c>
      <c r="R40" s="3" t="n"/>
      <c r="S40" s="3" t="inlineStr">
        <is>
          <t>Aktif</t>
        </is>
      </c>
      <c r="T40" s="3" t="n"/>
      <c r="U40" s="3" t="n"/>
      <c r="V40" s="3" t="inlineStr">
        <is>
          <t>LIST ASSET YPIK 2025(1).xlsx | Inv. SDIA</t>
        </is>
      </c>
    </row>
    <row r="41">
      <c r="A41" s="3" t="n">
        <v>38</v>
      </c>
      <c r="B41" s="3" t="n"/>
      <c r="C41" s="3" t="inlineStr">
        <is>
          <t>SDIA 23 JATIKRAMAT</t>
        </is>
      </c>
      <c r="D41" s="3" t="n"/>
      <c r="E41" s="3" t="inlineStr">
        <is>
          <t>Pembelian Mic &amp; Kabel SDIA</t>
        </is>
      </c>
      <c r="F41" s="3" t="inlineStr">
        <is>
          <t>Pembelian Mic &amp; Kabel SDIA</t>
        </is>
      </c>
      <c r="G41" s="3" t="n"/>
      <c r="H41" s="3" t="n"/>
      <c r="I41" s="3" t="n"/>
      <c r="J41" s="3" t="n"/>
      <c r="K41" s="4" t="n"/>
      <c r="L41" s="3" t="n">
        <v>2024</v>
      </c>
      <c r="M41" s="5" t="n">
        <v>218000</v>
      </c>
      <c r="N41" s="3" t="n"/>
      <c r="O41" s="3" t="n">
        <v>4</v>
      </c>
      <c r="P41" s="5" t="n">
        <v>58133</v>
      </c>
      <c r="Q41" s="5" t="n">
        <v>159867</v>
      </c>
      <c r="R41" s="3" t="n"/>
      <c r="S41" s="3" t="inlineStr">
        <is>
          <t>Aktif</t>
        </is>
      </c>
      <c r="T41" s="3" t="n"/>
      <c r="U41" s="3" t="n"/>
      <c r="V41" s="3" t="inlineStr">
        <is>
          <t>LIST ASSET YPIK 2025(1).xlsx | Inv. SDIA</t>
        </is>
      </c>
    </row>
    <row r="42">
      <c r="A42" s="3" t="n">
        <v>39</v>
      </c>
      <c r="B42" s="3" t="n"/>
      <c r="C42" s="3" t="inlineStr">
        <is>
          <t>SDIA 23 JATIKRAMAT</t>
        </is>
      </c>
      <c r="D42" s="3" t="n"/>
      <c r="E42" s="3" t="inlineStr">
        <is>
          <t>Pembelian TV Plasma Aqua 58 Inch 2 Unit</t>
        </is>
      </c>
      <c r="F42" s="3" t="inlineStr">
        <is>
          <t>Pembelian TV Plasma Aqua 58 Inch 2 Unit</t>
        </is>
      </c>
      <c r="G42" s="3" t="n"/>
      <c r="H42" s="3" t="n"/>
      <c r="I42" s="3" t="n"/>
      <c r="J42" s="3" t="n"/>
      <c r="K42" s="4" t="n"/>
      <c r="L42" s="3" t="n">
        <v>2025</v>
      </c>
      <c r="M42" s="5" t="n">
        <v>14789500</v>
      </c>
      <c r="N42" s="3" t="n"/>
      <c r="O42" s="3" t="n">
        <v>4</v>
      </c>
      <c r="P42" s="5" t="n">
        <v>1725441.666666667</v>
      </c>
      <c r="Q42" s="5" t="n">
        <v>13064058.33333333</v>
      </c>
      <c r="R42" s="3" t="n"/>
      <c r="S42" s="3" t="inlineStr">
        <is>
          <t>Aktif</t>
        </is>
      </c>
      <c r="T42" s="3" t="n"/>
      <c r="U42" s="3" t="n"/>
      <c r="V42" s="3" t="inlineStr">
        <is>
          <t>LIST ASSET YPIK 2025(1).xlsx | Inv. SDIA</t>
        </is>
      </c>
    </row>
    <row r="43">
      <c r="A43" s="3" t="n">
        <v>40</v>
      </c>
      <c r="B43" s="3" t="n"/>
      <c r="C43" s="3" t="inlineStr">
        <is>
          <t>SDIA 23 JATIKRAMAT</t>
        </is>
      </c>
      <c r="D43" s="3" t="n"/>
      <c r="E43" s="3" t="inlineStr">
        <is>
          <t>Pembelian 5 Unit TV Plasma Aqua 58 Inch untuk SDIA &amp; TKIA</t>
        </is>
      </c>
      <c r="F43" s="3" t="inlineStr">
        <is>
          <t>Pembelian 5 Unit TV Plasma Aqua 58 Inch untuk SDIA &amp; TKIA</t>
        </is>
      </c>
      <c r="G43" s="3" t="n"/>
      <c r="H43" s="3" t="n"/>
      <c r="I43" s="3" t="n"/>
      <c r="J43" s="3" t="n"/>
      <c r="K43" s="4" t="n"/>
      <c r="L43" s="3" t="n">
        <v>2025</v>
      </c>
      <c r="M43" s="5" t="n">
        <v>31495000</v>
      </c>
      <c r="N43" s="3" t="n"/>
      <c r="O43" s="3" t="n">
        <v>4</v>
      </c>
      <c r="P43" s="5" t="n">
        <v>3149500</v>
      </c>
      <c r="Q43" s="5" t="n">
        <v>28345500</v>
      </c>
      <c r="R43" s="3" t="n"/>
      <c r="S43" s="3" t="inlineStr">
        <is>
          <t>Aktif</t>
        </is>
      </c>
      <c r="T43" s="3" t="n"/>
      <c r="U43" s="3" t="n"/>
      <c r="V43" s="3" t="inlineStr">
        <is>
          <t>LIST ASSET YPIK 2025(1).xlsx | Inv. SDIA</t>
        </is>
      </c>
    </row>
    <row r="44">
      <c r="A44" s="3" t="n">
        <v>41</v>
      </c>
      <c r="B44" s="3" t="n"/>
      <c r="C44" s="3" t="inlineStr">
        <is>
          <t>SDIA 23 JATIKRAMAT</t>
        </is>
      </c>
      <c r="D44" s="3" t="n"/>
      <c r="E44" s="3" t="inlineStr">
        <is>
          <t>Pembelian 5 Unit Bracket Standing TV Plasma</t>
        </is>
      </c>
      <c r="F44" s="3" t="inlineStr">
        <is>
          <t>Pembelian 5 Unit Bracket Standing TV Plasma</t>
        </is>
      </c>
      <c r="G44" s="3" t="n"/>
      <c r="H44" s="3" t="n"/>
      <c r="I44" s="3" t="n"/>
      <c r="J44" s="3" t="n"/>
      <c r="K44" s="4" t="n"/>
      <c r="L44" s="3" t="n">
        <v>2025</v>
      </c>
      <c r="M44" s="5" t="n">
        <v>6262500</v>
      </c>
      <c r="N44" s="3" t="n"/>
      <c r="O44" s="3" t="n">
        <v>4</v>
      </c>
      <c r="P44" s="5" t="n">
        <v>626250</v>
      </c>
      <c r="Q44" s="5" t="n">
        <v>5636250</v>
      </c>
      <c r="R44" s="3" t="n"/>
      <c r="S44" s="3" t="inlineStr">
        <is>
          <t>Aktif</t>
        </is>
      </c>
      <c r="T44" s="3" t="n"/>
      <c r="U44" s="3" t="n"/>
      <c r="V44" s="3" t="inlineStr">
        <is>
          <t>LIST ASSET YPIK 2025(1).xlsx | Inv. SDIA</t>
        </is>
      </c>
    </row>
    <row r="45">
      <c r="A45" s="3" t="n">
        <v>42</v>
      </c>
      <c r="B45" s="3" t="n"/>
      <c r="C45" s="3" t="inlineStr">
        <is>
          <t>SDIA 23 JATIKRAMAT</t>
        </is>
      </c>
      <c r="D45" s="3" t="n"/>
      <c r="E45" s="3" t="inlineStr">
        <is>
          <t>Pembelian 3 Unit Dispenser untuk Kelas Baru SDIA</t>
        </is>
      </c>
      <c r="F45" s="3" t="inlineStr">
        <is>
          <t>Pembelian 3 Unit Dispenser untuk Kelas Baru SDIA</t>
        </is>
      </c>
      <c r="G45" s="3" t="n"/>
      <c r="H45" s="3" t="n"/>
      <c r="I45" s="3" t="n"/>
      <c r="J45" s="3" t="n"/>
      <c r="K45" s="4" t="n"/>
      <c r="L45" s="3" t="n">
        <v>2025</v>
      </c>
      <c r="M45" s="5" t="n">
        <v>674200</v>
      </c>
      <c r="N45" s="3" t="n"/>
      <c r="O45" s="3" t="n">
        <v>4</v>
      </c>
      <c r="P45" s="5" t="n">
        <v>67420</v>
      </c>
      <c r="Q45" s="5" t="n">
        <v>606780</v>
      </c>
      <c r="R45" s="3" t="n"/>
      <c r="S45" s="3" t="inlineStr">
        <is>
          <t>Aktif</t>
        </is>
      </c>
      <c r="T45" s="3" t="n"/>
      <c r="U45" s="3" t="n"/>
      <c r="V45" s="3" t="inlineStr">
        <is>
          <t>LIST ASSET YPIK 2025(1).xlsx | Inv. SDIA</t>
        </is>
      </c>
    </row>
    <row r="46">
      <c r="A46" s="3" t="n">
        <v>43</v>
      </c>
      <c r="B46" s="3" t="n"/>
      <c r="C46" s="3" t="inlineStr">
        <is>
          <t>YPIK PAM JAYA</t>
        </is>
      </c>
      <c r="D46" s="3" t="n"/>
      <c r="E46" s="3" t="inlineStr">
        <is>
          <t>Proyektor &amp; Sreeen Shoot</t>
        </is>
      </c>
      <c r="F46" s="3" t="inlineStr">
        <is>
          <t>Proyektor &amp; Sreeen Shoot</t>
        </is>
      </c>
      <c r="G46" s="3" t="n"/>
      <c r="H46" s="3" t="n"/>
      <c r="I46" s="3" t="inlineStr">
        <is>
          <t>Jumlah: 1 Unit</t>
        </is>
      </c>
      <c r="J46" s="3" t="n"/>
      <c r="K46" s="4" t="n"/>
      <c r="L46" s="3" t="n">
        <v>2018</v>
      </c>
      <c r="M46" s="5" t="n">
        <v>4000000</v>
      </c>
      <c r="N46" s="3" t="n"/>
      <c r="O46" s="3" t="n">
        <v>4</v>
      </c>
      <c r="P46" s="5" t="n">
        <v>4000000</v>
      </c>
      <c r="Q46" s="5" t="n">
        <v>0</v>
      </c>
      <c r="R46" s="3" t="n"/>
      <c r="S46" s="3" t="inlineStr">
        <is>
          <t>Aktif</t>
        </is>
      </c>
      <c r="T46" s="3" t="n"/>
      <c r="U46" s="3" t="n"/>
      <c r="V46" s="3" t="inlineStr">
        <is>
          <t>LIST ASSET YPIK 2025(1).xlsx | Inv. YPIK</t>
        </is>
      </c>
    </row>
    <row r="47">
      <c r="A47" s="3" t="n">
        <v>44</v>
      </c>
      <c r="B47" s="3" t="n"/>
      <c r="C47" s="3" t="inlineStr">
        <is>
          <t>YPIK PAM JAYA</t>
        </is>
      </c>
      <c r="D47" s="3" t="n"/>
      <c r="E47" s="3" t="inlineStr">
        <is>
          <t>CCTV - 4 Camera, Recorder dll</t>
        </is>
      </c>
      <c r="F47" s="3" t="inlineStr">
        <is>
          <t>CCTV - 4 Camera, Recorder dll</t>
        </is>
      </c>
      <c r="G47" s="3" t="n"/>
      <c r="H47" s="3" t="n"/>
      <c r="I47" s="3" t="inlineStr">
        <is>
          <t>Jumlah: 1 Set</t>
        </is>
      </c>
      <c r="J47" s="3" t="n"/>
      <c r="K47" s="4" t="n"/>
      <c r="L47" s="3" t="n">
        <v>2018</v>
      </c>
      <c r="M47" s="5" t="n">
        <v>18036000</v>
      </c>
      <c r="N47" s="3" t="n"/>
      <c r="O47" s="3" t="n">
        <v>4</v>
      </c>
      <c r="P47" s="5" t="n">
        <v>18036000</v>
      </c>
      <c r="Q47" s="5" t="n">
        <v>0</v>
      </c>
      <c r="R47" s="3" t="n"/>
      <c r="S47" s="3" t="inlineStr">
        <is>
          <t>Aktif</t>
        </is>
      </c>
      <c r="T47" s="3" t="n"/>
      <c r="U47" s="3" t="n"/>
      <c r="V47" s="3" t="inlineStr">
        <is>
          <t>LIST ASSET YPIK 2025(1).xlsx | Inv. YPIK</t>
        </is>
      </c>
    </row>
    <row r="48">
      <c r="A48" s="3" t="n">
        <v>45</v>
      </c>
      <c r="B48" s="3" t="n"/>
      <c r="C48" s="3" t="inlineStr">
        <is>
          <t>YPIK PAM JAYA</t>
        </is>
      </c>
      <c r="D48" s="3" t="n"/>
      <c r="E48" s="3" t="inlineStr">
        <is>
          <t>Pembelian Lampu Panasonic Podcast</t>
        </is>
      </c>
      <c r="F48" s="3" t="inlineStr">
        <is>
          <t>Pembelian Lampu Panasonic Podcast</t>
        </is>
      </c>
      <c r="G48" s="3" t="n"/>
      <c r="H48" s="3" t="n"/>
      <c r="I48" s="3" t="n"/>
      <c r="J48" s="3" t="n"/>
      <c r="K48" s="4" t="n"/>
      <c r="L48" s="3" t="n">
        <v>2024</v>
      </c>
      <c r="M48" s="5" t="n">
        <v>1060000</v>
      </c>
      <c r="N48" s="3" t="n"/>
      <c r="O48" s="3" t="n">
        <v>4</v>
      </c>
      <c r="P48" s="5" t="n">
        <v>388667</v>
      </c>
      <c r="Q48" s="5" t="n">
        <v>671333</v>
      </c>
      <c r="R48" s="3" t="n"/>
      <c r="S48" s="3" t="inlineStr">
        <is>
          <t>Aktif</t>
        </is>
      </c>
      <c r="T48" s="3" t="n"/>
      <c r="U48" s="3" t="n"/>
      <c r="V48" s="3" t="inlineStr">
        <is>
          <t>LIST ASSET YPIK 2025(1).xlsx | Inv. YPIK</t>
        </is>
      </c>
    </row>
    <row r="49">
      <c r="A49" s="3" t="n">
        <v>46</v>
      </c>
      <c r="B49" s="3" t="n"/>
      <c r="C49" s="3" t="inlineStr">
        <is>
          <t>YPIK PAM JAYA</t>
        </is>
      </c>
      <c r="D49" s="3" t="n"/>
      <c r="E49" s="3" t="inlineStr">
        <is>
          <t>Pembelian Asset TV untuk Podcast</t>
        </is>
      </c>
      <c r="F49" s="3" t="inlineStr">
        <is>
          <t>Pembelian Asset TV untuk Podcast</t>
        </is>
      </c>
      <c r="G49" s="3" t="n"/>
      <c r="H49" s="3" t="n"/>
      <c r="I49" s="3" t="n"/>
      <c r="J49" s="3" t="n"/>
      <c r="K49" s="4" t="n"/>
      <c r="L49" s="3" t="n">
        <v>2024</v>
      </c>
      <c r="M49" s="5" t="n">
        <v>3650000</v>
      </c>
      <c r="N49" s="3" t="n"/>
      <c r="O49" s="3" t="n">
        <v>4</v>
      </c>
      <c r="P49" s="5" t="n">
        <v>1338333</v>
      </c>
      <c r="Q49" s="5" t="n">
        <v>2311667</v>
      </c>
      <c r="R49" s="3" t="n"/>
      <c r="S49" s="3" t="inlineStr">
        <is>
          <t>Aktif</t>
        </is>
      </c>
      <c r="T49" s="3" t="n"/>
      <c r="U49" s="3" t="n"/>
      <c r="V49" s="3" t="inlineStr">
        <is>
          <t>LIST ASSET YPIK 2025(1).xlsx | Inv. YPIK</t>
        </is>
      </c>
    </row>
    <row r="50">
      <c r="A50" s="3" t="n">
        <v>47</v>
      </c>
      <c r="B50" s="3" t="n"/>
      <c r="C50" s="3" t="inlineStr">
        <is>
          <t>YPIK PAM JAYA</t>
        </is>
      </c>
      <c r="D50" s="3" t="n"/>
      <c r="E50" s="3" t="inlineStr">
        <is>
          <t>Pembelian 1 Unit TV dan Breket Dis CCTV</t>
        </is>
      </c>
      <c r="F50" s="3" t="inlineStr">
        <is>
          <t>Pembelian 1 Unit TV dan Breket Dis CCTV</t>
        </is>
      </c>
      <c r="G50" s="3" t="n"/>
      <c r="H50" s="3" t="n"/>
      <c r="I50" s="3" t="inlineStr">
        <is>
          <t>Jumlah: I Unit</t>
        </is>
      </c>
      <c r="J50" s="3" t="n"/>
      <c r="K50" s="4" t="n"/>
      <c r="L50" s="3" t="n">
        <v>2024</v>
      </c>
      <c r="M50" s="5" t="n">
        <v>2665000</v>
      </c>
      <c r="N50" s="3" t="n"/>
      <c r="O50" s="3" t="n">
        <v>4</v>
      </c>
      <c r="P50" s="5" t="n">
        <v>977167</v>
      </c>
      <c r="Q50" s="5" t="n">
        <v>1687833</v>
      </c>
      <c r="R50" s="3" t="n"/>
      <c r="S50" s="3" t="inlineStr">
        <is>
          <t>Aktif</t>
        </is>
      </c>
      <c r="T50" s="3" t="n"/>
      <c r="U50" s="3" t="n"/>
      <c r="V50" s="3" t="inlineStr">
        <is>
          <t>LIST ASSET YPIK 2025(1).xlsx | Inv. YPIK</t>
        </is>
      </c>
    </row>
    <row r="51">
      <c r="A51" s="3" t="n">
        <v>48</v>
      </c>
      <c r="B51" s="3" t="n"/>
      <c r="C51" s="3" t="inlineStr">
        <is>
          <t>YPIK PAM JAYA</t>
        </is>
      </c>
      <c r="D51" s="3" t="n"/>
      <c r="E51" s="3" t="inlineStr">
        <is>
          <t>Beban Pasang TV, Kabel CCTV Lt 2 YPIK</t>
        </is>
      </c>
      <c r="F51" s="3" t="inlineStr">
        <is>
          <t>Beban Pasang TV, Kabel CCTV Lt 2 YPIK</t>
        </is>
      </c>
      <c r="G51" s="3" t="n"/>
      <c r="H51" s="3" t="n"/>
      <c r="I51" s="3" t="n"/>
      <c r="J51" s="3" t="n"/>
      <c r="K51" s="4" t="n"/>
      <c r="L51" s="3" t="n">
        <v>2024</v>
      </c>
      <c r="M51" s="5" t="n">
        <v>1850000</v>
      </c>
      <c r="N51" s="3" t="n"/>
      <c r="O51" s="3" t="n">
        <v>4</v>
      </c>
      <c r="P51" s="5" t="n">
        <v>678333</v>
      </c>
      <c r="Q51" s="5" t="n">
        <v>1171667</v>
      </c>
      <c r="R51" s="3" t="n"/>
      <c r="S51" s="3" t="inlineStr">
        <is>
          <t>Aktif</t>
        </is>
      </c>
      <c r="T51" s="3" t="n"/>
      <c r="U51" s="3" t="n"/>
      <c r="V51" s="3" t="inlineStr">
        <is>
          <t>LIST ASSET YPIK 2025(1).xlsx | Inv. YPIK</t>
        </is>
      </c>
    </row>
    <row r="52">
      <c r="A52" s="3" t="n">
        <v>49</v>
      </c>
      <c r="B52" s="3" t="n"/>
      <c r="C52" s="3" t="inlineStr">
        <is>
          <t>YPIK PAM JAYA</t>
        </is>
      </c>
      <c r="D52" s="3" t="n"/>
      <c r="E52" s="3" t="inlineStr">
        <is>
          <t>Pembelian Assecories Kamera Podcast</t>
        </is>
      </c>
      <c r="F52" s="3" t="inlineStr">
        <is>
          <t>Pembelian Assecories Kamera Podcast</t>
        </is>
      </c>
      <c r="G52" s="3" t="n"/>
      <c r="H52" s="3" t="n"/>
      <c r="I52" s="3" t="n"/>
      <c r="J52" s="3" t="n"/>
      <c r="K52" s="4" t="n"/>
      <c r="L52" s="3" t="n">
        <v>2024</v>
      </c>
      <c r="M52" s="5" t="n">
        <v>1183500</v>
      </c>
      <c r="N52" s="3" t="n"/>
      <c r="O52" s="3" t="n">
        <v>4</v>
      </c>
      <c r="P52" s="5" t="n">
        <v>414225</v>
      </c>
      <c r="Q52" s="5" t="n">
        <v>769275</v>
      </c>
      <c r="R52" s="3" t="n"/>
      <c r="S52" s="3" t="inlineStr">
        <is>
          <t>Aktif</t>
        </is>
      </c>
      <c r="T52" s="3" t="n"/>
      <c r="U52" s="3" t="n"/>
      <c r="V52" s="3" t="inlineStr">
        <is>
          <t>LIST ASSET YPIK 2025(1).xlsx | Inv. YPIK</t>
        </is>
      </c>
    </row>
    <row r="53">
      <c r="A53" s="3" t="n">
        <v>50</v>
      </c>
      <c r="B53" s="3" t="n"/>
      <c r="C53" s="3" t="inlineStr">
        <is>
          <t>YPIK PAM JAYA</t>
        </is>
      </c>
      <c r="D53" s="3" t="n"/>
      <c r="E53" s="3" t="inlineStr">
        <is>
          <t>Pembelian Kamera Podcast</t>
        </is>
      </c>
      <c r="F53" s="3" t="inlineStr">
        <is>
          <t>Pembelian Kamera Podcast</t>
        </is>
      </c>
      <c r="G53" s="3" t="n"/>
      <c r="H53" s="3" t="n"/>
      <c r="I53" s="3" t="n"/>
      <c r="J53" s="3" t="n"/>
      <c r="K53" s="4" t="n"/>
      <c r="L53" s="3" t="n">
        <v>2024</v>
      </c>
      <c r="M53" s="5" t="n">
        <v>27740000</v>
      </c>
      <c r="N53" s="3" t="n"/>
      <c r="O53" s="3" t="n">
        <v>4</v>
      </c>
      <c r="P53" s="5" t="n">
        <v>9246667</v>
      </c>
      <c r="Q53" s="5" t="n">
        <v>18493333</v>
      </c>
      <c r="R53" s="3" t="n"/>
      <c r="S53" s="3" t="inlineStr">
        <is>
          <t>Aktif</t>
        </is>
      </c>
      <c r="T53" s="3" t="n"/>
      <c r="U53" s="3" t="n"/>
      <c r="V53" s="3" t="inlineStr">
        <is>
          <t>LIST ASSET YPIK 2025(1).xlsx | Inv. YPIK</t>
        </is>
      </c>
    </row>
    <row r="54">
      <c r="A54" s="3" t="n">
        <v>51</v>
      </c>
      <c r="B54" s="3" t="n"/>
      <c r="C54" s="3" t="inlineStr">
        <is>
          <t>YPIK PAM JAYA</t>
        </is>
      </c>
      <c r="D54" s="3" t="n"/>
      <c r="E54" s="3" t="inlineStr">
        <is>
          <t>Pasang 2 Unit CCTV Sekretariat</t>
        </is>
      </c>
      <c r="F54" s="3" t="inlineStr">
        <is>
          <t>Pasang 2 Unit CCTV Sekretariat</t>
        </is>
      </c>
      <c r="G54" s="3" t="n"/>
      <c r="H54" s="3" t="n"/>
      <c r="I54" s="3" t="n"/>
      <c r="J54" s="3" t="n"/>
      <c r="K54" s="4" t="n"/>
      <c r="L54" s="3" t="n">
        <v>2024</v>
      </c>
      <c r="M54" s="5" t="n">
        <v>2690000</v>
      </c>
      <c r="N54" s="3" t="n"/>
      <c r="O54" s="3" t="n">
        <v>4</v>
      </c>
      <c r="P54" s="5" t="n">
        <v>807000</v>
      </c>
      <c r="Q54" s="5" t="n">
        <v>1883000</v>
      </c>
      <c r="R54" s="3" t="n"/>
      <c r="S54" s="3" t="inlineStr">
        <is>
          <t>Aktif</t>
        </is>
      </c>
      <c r="T54" s="3" t="n"/>
      <c r="U54" s="3" t="n"/>
      <c r="V54" s="3" t="inlineStr">
        <is>
          <t>LIST ASSET YPIK 2025(1).xlsx | Inv. YPIK</t>
        </is>
      </c>
    </row>
    <row r="55">
      <c r="A55" s="3" t="n">
        <v>52</v>
      </c>
      <c r="B55" s="3" t="n"/>
      <c r="C55" s="3" t="inlineStr">
        <is>
          <t>YPIK PAM JAYA</t>
        </is>
      </c>
      <c r="D55" s="3" t="n"/>
      <c r="E55" s="3" t="inlineStr">
        <is>
          <t>Pembelian Lampu Panasonic Kelas Lt 3</t>
        </is>
      </c>
      <c r="F55" s="3" t="inlineStr">
        <is>
          <t>Pembelian Lampu Panasonic Kelas Lt 3</t>
        </is>
      </c>
      <c r="G55" s="3" t="n"/>
      <c r="H55" s="3" t="n"/>
      <c r="I55" s="3" t="inlineStr">
        <is>
          <t>Jumlah: 12 Unit</t>
        </is>
      </c>
      <c r="J55" s="3" t="n"/>
      <c r="K55" s="4" t="n"/>
      <c r="L55" s="3" t="n">
        <v>2024</v>
      </c>
      <c r="M55" s="5" t="n">
        <v>1607400</v>
      </c>
      <c r="N55" s="3" t="n"/>
      <c r="O55" s="3" t="n">
        <v>4</v>
      </c>
      <c r="P55" s="5" t="n">
        <v>482220</v>
      </c>
      <c r="Q55" s="5" t="n">
        <v>1125180</v>
      </c>
      <c r="R55" s="3" t="n"/>
      <c r="S55" s="3" t="inlineStr">
        <is>
          <t>Aktif</t>
        </is>
      </c>
      <c r="T55" s="3" t="n"/>
      <c r="U55" s="3" t="n"/>
      <c r="V55" s="3" t="inlineStr">
        <is>
          <t>LIST ASSET YPIK 2025(1).xlsx | Inv. YPIK</t>
        </is>
      </c>
    </row>
    <row r="56">
      <c r="A56" s="3" t="n">
        <v>53</v>
      </c>
      <c r="B56" s="3" t="n"/>
      <c r="C56" s="3" t="inlineStr">
        <is>
          <t>YPIK PAM JAYA</t>
        </is>
      </c>
      <c r="D56" s="3" t="n"/>
      <c r="E56" s="3" t="inlineStr">
        <is>
          <t>Pembelian Proyektor Portabel dan Speaker</t>
        </is>
      </c>
      <c r="F56" s="3" t="inlineStr">
        <is>
          <t>Pembelian Proyektor Portabel dan Speaker</t>
        </is>
      </c>
      <c r="G56" s="3" t="n"/>
      <c r="H56" s="3" t="n"/>
      <c r="I56" s="3" t="n"/>
      <c r="J56" s="3" t="n"/>
      <c r="K56" s="4" t="n"/>
      <c r="L56" s="3" t="n">
        <v>2024</v>
      </c>
      <c r="M56" s="5" t="n">
        <v>6002500</v>
      </c>
      <c r="N56" s="3" t="n"/>
      <c r="O56" s="3" t="n">
        <v>4</v>
      </c>
      <c r="P56" s="5" t="n">
        <v>1800750</v>
      </c>
      <c r="Q56" s="5" t="n">
        <v>4201750</v>
      </c>
      <c r="R56" s="3" t="n"/>
      <c r="S56" s="3" t="inlineStr">
        <is>
          <t>Aktif</t>
        </is>
      </c>
      <c r="T56" s="3" t="n"/>
      <c r="U56" s="3" t="n"/>
      <c r="V56" s="3" t="inlineStr">
        <is>
          <t>LIST ASSET YPIK 2025(1).xlsx | Inv. YPIK</t>
        </is>
      </c>
    </row>
    <row r="57">
      <c r="A57" s="3" t="n">
        <v>54</v>
      </c>
      <c r="B57" s="3" t="n"/>
      <c r="C57" s="3" t="inlineStr">
        <is>
          <t>YPIK PAM JAYA</t>
        </is>
      </c>
      <c r="D57" s="3" t="n"/>
      <c r="E57" s="3" t="inlineStr">
        <is>
          <t>Pembelian Bracket TV YPIK</t>
        </is>
      </c>
      <c r="F57" s="3" t="inlineStr">
        <is>
          <t>Pembelian Bracket TV YPIK</t>
        </is>
      </c>
      <c r="G57" s="3" t="n"/>
      <c r="H57" s="3" t="n"/>
      <c r="I57" s="3" t="n"/>
      <c r="J57" s="3" t="n"/>
      <c r="K57" s="4" t="n"/>
      <c r="L57" s="3" t="n">
        <v>2024</v>
      </c>
      <c r="M57" s="5" t="n">
        <v>1230000</v>
      </c>
      <c r="N57" s="3" t="n"/>
      <c r="O57" s="3" t="n">
        <v>4</v>
      </c>
      <c r="P57" s="5" t="n">
        <v>287000</v>
      </c>
      <c r="Q57" s="5" t="n">
        <v>943000</v>
      </c>
      <c r="R57" s="3" t="n"/>
      <c r="S57" s="3" t="inlineStr">
        <is>
          <t>Aktif</t>
        </is>
      </c>
      <c r="T57" s="3" t="n"/>
      <c r="U57" s="3" t="n"/>
      <c r="V57" s="3" t="inlineStr">
        <is>
          <t>LIST ASSET YPIK 2025(1).xlsx | Inv. YPIK</t>
        </is>
      </c>
    </row>
    <row r="58">
      <c r="A58" s="3" t="n">
        <v>55</v>
      </c>
      <c r="B58" s="3" t="n"/>
      <c r="C58" s="3" t="inlineStr">
        <is>
          <t>YPIK PAM JAYA</t>
        </is>
      </c>
      <c r="D58" s="3" t="n"/>
      <c r="E58" s="3" t="inlineStr">
        <is>
          <t>Pembelian 1 Unit TV LED Aqua YPIK</t>
        </is>
      </c>
      <c r="F58" s="3" t="inlineStr">
        <is>
          <t>Pembelian 1 Unit TV LED Aqua YPIK</t>
        </is>
      </c>
      <c r="G58" s="3" t="n"/>
      <c r="H58" s="3" t="n"/>
      <c r="I58" s="3" t="inlineStr">
        <is>
          <t>Jumlah: 1 Unit</t>
        </is>
      </c>
      <c r="J58" s="3" t="n"/>
      <c r="K58" s="4" t="n"/>
      <c r="L58" s="3" t="n">
        <v>2024</v>
      </c>
      <c r="M58" s="5" t="n">
        <v>7450000</v>
      </c>
      <c r="N58" s="3" t="n"/>
      <c r="O58" s="3" t="n">
        <v>4</v>
      </c>
      <c r="P58" s="5" t="n">
        <v>1738333</v>
      </c>
      <c r="Q58" s="5" t="n">
        <v>5711667</v>
      </c>
      <c r="R58" s="3" t="n"/>
      <c r="S58" s="3" t="inlineStr">
        <is>
          <t>Aktif</t>
        </is>
      </c>
      <c r="T58" s="3" t="n"/>
      <c r="U58" s="3" t="n"/>
      <c r="V58" s="3" t="inlineStr">
        <is>
          <t>LIST ASSET YPIK 2025(1).xlsx | Inv. YPIK</t>
        </is>
      </c>
    </row>
    <row r="59">
      <c r="A59" s="3" t="n">
        <v>56</v>
      </c>
      <c r="B59" s="3" t="n"/>
      <c r="C59" s="3" t="inlineStr">
        <is>
          <t>YPIK PAM JAYA</t>
        </is>
      </c>
      <c r="D59" s="3" t="n"/>
      <c r="E59" s="3" t="inlineStr">
        <is>
          <t>Pembelian TV 58 Inch Untuk Lt 3 YPIK</t>
        </is>
      </c>
      <c r="F59" s="3" t="inlineStr">
        <is>
          <t>Pembelian TV 58 Inch Untuk Lt 3 YPIK</t>
        </is>
      </c>
      <c r="G59" s="3" t="n"/>
      <c r="H59" s="3" t="n"/>
      <c r="I59" s="3" t="n"/>
      <c r="J59" s="3" t="n"/>
      <c r="K59" s="4" t="n"/>
      <c r="L59" s="3" t="n">
        <v>2024</v>
      </c>
      <c r="M59" s="5" t="n">
        <v>7450000</v>
      </c>
      <c r="N59" s="3" t="n"/>
      <c r="O59" s="3" t="n">
        <v>4</v>
      </c>
      <c r="P59" s="5" t="n">
        <v>1614167</v>
      </c>
      <c r="Q59" s="5" t="n">
        <v>5835833</v>
      </c>
      <c r="R59" s="3" t="n"/>
      <c r="S59" s="3" t="inlineStr">
        <is>
          <t>Aktif</t>
        </is>
      </c>
      <c r="T59" s="3" t="n"/>
      <c r="U59" s="3" t="n"/>
      <c r="V59" s="3" t="inlineStr">
        <is>
          <t>LIST ASSET YPIK 2025(1).xlsx | Inv. YPIK</t>
        </is>
      </c>
    </row>
    <row r="60">
      <c r="A60" s="3" t="n">
        <v>57</v>
      </c>
      <c r="B60" s="3" t="n"/>
      <c r="C60" s="3" t="inlineStr">
        <is>
          <t>YPIK PAM JAYA</t>
        </is>
      </c>
      <c r="D60" s="3" t="n"/>
      <c r="E60" s="3" t="inlineStr">
        <is>
          <t>Pembelian Bracket Stand TV</t>
        </is>
      </c>
      <c r="F60" s="3" t="inlineStr">
        <is>
          <t>Pembelian Bracket Stand TV</t>
        </is>
      </c>
      <c r="G60" s="3" t="n"/>
      <c r="H60" s="3" t="n"/>
      <c r="I60" s="3" t="n"/>
      <c r="J60" s="3" t="n"/>
      <c r="K60" s="4" t="n"/>
      <c r="L60" s="3" t="n">
        <v>2024</v>
      </c>
      <c r="M60" s="5" t="n">
        <v>1230000</v>
      </c>
      <c r="N60" s="3" t="n"/>
      <c r="O60" s="3" t="n">
        <v>4</v>
      </c>
      <c r="P60" s="5" t="n">
        <v>266500</v>
      </c>
      <c r="Q60" s="5" t="n">
        <v>963500</v>
      </c>
      <c r="R60" s="3" t="n"/>
      <c r="S60" s="3" t="inlineStr">
        <is>
          <t>Aktif</t>
        </is>
      </c>
      <c r="T60" s="3" t="n"/>
      <c r="U60" s="3" t="n"/>
      <c r="V60" s="3" t="inlineStr">
        <is>
          <t>LIST ASSET YPIK 2025(1).xlsx | Inv. YPIK</t>
        </is>
      </c>
    </row>
    <row r="61">
      <c r="A61" s="3" t="n">
        <v>58</v>
      </c>
      <c r="B61" s="3" t="n"/>
      <c r="C61" s="3" t="inlineStr">
        <is>
          <t>YPIK PAM JAYA</t>
        </is>
      </c>
      <c r="D61" s="3" t="n"/>
      <c r="E61" s="3" t="inlineStr">
        <is>
          <t>Pembelian Lampu Panasonic</t>
        </is>
      </c>
      <c r="F61" s="3" t="inlineStr">
        <is>
          <t>Pembelian Lampu Panasonic</t>
        </is>
      </c>
      <c r="G61" s="3" t="n"/>
      <c r="H61" s="3" t="n"/>
      <c r="I61" s="3" t="n"/>
      <c r="J61" s="3" t="n"/>
      <c r="K61" s="4" t="n"/>
      <c r="L61" s="3" t="n">
        <v>2025</v>
      </c>
      <c r="M61" s="5" t="n">
        <v>1527975</v>
      </c>
      <c r="N61" s="3" t="n"/>
      <c r="O61" s="3" t="n">
        <v>4</v>
      </c>
      <c r="P61" s="5" t="n">
        <v>305595</v>
      </c>
      <c r="Q61" s="5" t="n">
        <v>1222380</v>
      </c>
      <c r="R61" s="3" t="n"/>
      <c r="S61" s="3" t="inlineStr">
        <is>
          <t>Aktif</t>
        </is>
      </c>
      <c r="T61" s="3" t="n"/>
      <c r="U61" s="3" t="n"/>
      <c r="V61" s="3" t="inlineStr">
        <is>
          <t>LIST ASSET YPIK 2025(1).xlsx | Inv. YPIK</t>
        </is>
      </c>
    </row>
    <row r="62">
      <c r="A62" s="3" t="n">
        <v>59</v>
      </c>
      <c r="B62" s="3" t="n"/>
      <c r="C62" s="3" t="inlineStr">
        <is>
          <t>YPIK PAM JAYA</t>
        </is>
      </c>
      <c r="D62" s="3" t="n"/>
      <c r="E62" s="3" t="inlineStr">
        <is>
          <t>Pembelian Speaker Set YPIK Lt 3</t>
        </is>
      </c>
      <c r="F62" s="3" t="inlineStr">
        <is>
          <t>Pembelian Speaker Set YPIK Lt 3</t>
        </is>
      </c>
      <c r="G62" s="3" t="n"/>
      <c r="H62" s="3" t="n"/>
      <c r="I62" s="3" t="n"/>
      <c r="J62" s="3" t="n"/>
      <c r="K62" s="4" t="n"/>
      <c r="L62" s="3" t="n">
        <v>2025</v>
      </c>
      <c r="M62" s="5" t="n">
        <v>13825000</v>
      </c>
      <c r="N62" s="3" t="n"/>
      <c r="O62" s="3" t="n">
        <v>4</v>
      </c>
      <c r="P62" s="5" t="n">
        <v>2765000</v>
      </c>
      <c r="Q62" s="5" t="n">
        <v>11060000</v>
      </c>
      <c r="R62" s="3" t="n"/>
      <c r="S62" s="3" t="inlineStr">
        <is>
          <t>Aktif</t>
        </is>
      </c>
      <c r="T62" s="3" t="n"/>
      <c r="U62" s="3" t="n"/>
      <c r="V62" s="3" t="inlineStr">
        <is>
          <t>LIST ASSET YPIK 2025(1).xlsx | Inv. YPIK</t>
        </is>
      </c>
    </row>
    <row r="63">
      <c r="A63" s="3" t="n">
        <v>60</v>
      </c>
      <c r="B63" s="3" t="n"/>
      <c r="C63" s="3" t="inlineStr">
        <is>
          <t>YPIK PAM JAYA</t>
        </is>
      </c>
      <c r="D63" s="3" t="n"/>
      <c r="E63" s="3" t="inlineStr">
        <is>
          <t>Bracket Stand TV 2 Unit</t>
        </is>
      </c>
      <c r="F63" s="3" t="inlineStr">
        <is>
          <t>Bracket Stand TV 2 Unit</t>
        </is>
      </c>
      <c r="G63" s="3" t="n"/>
      <c r="H63" s="3" t="n"/>
      <c r="I63" s="3" t="n"/>
      <c r="J63" s="3" t="n"/>
      <c r="K63" s="4" t="n"/>
      <c r="L63" s="3" t="n">
        <v>2025</v>
      </c>
      <c r="M63" s="5" t="n">
        <v>2479900</v>
      </c>
      <c r="N63" s="3" t="n"/>
      <c r="O63" s="3" t="n">
        <v>4</v>
      </c>
      <c r="P63" s="5" t="n">
        <v>289321.6666666667</v>
      </c>
      <c r="Q63" s="5" t="n">
        <v>2190578.333333333</v>
      </c>
      <c r="R63" s="3" t="n"/>
      <c r="S63" s="3" t="inlineStr">
        <is>
          <t>Aktif</t>
        </is>
      </c>
      <c r="T63" s="3" t="n"/>
      <c r="U63" s="3" t="n"/>
      <c r="V63" s="3" t="inlineStr">
        <is>
          <t>LIST ASSET YPIK 2025(1).xlsx | Inv. YPIK</t>
        </is>
      </c>
    </row>
    <row r="64">
      <c r="A64" s="3" t="n">
        <v>61</v>
      </c>
      <c r="B64" s="3" t="n"/>
      <c r="C64" s="3" t="inlineStr">
        <is>
          <t>YPIK PAM JAYA</t>
        </is>
      </c>
      <c r="D64" s="3" t="n"/>
      <c r="E64" s="3" t="inlineStr">
        <is>
          <t>Pembelian Dispenser untuk YPIK Lt 2</t>
        </is>
      </c>
      <c r="F64" s="3" t="inlineStr">
        <is>
          <t>Pembelian Dispenser untuk YPIK Lt 2</t>
        </is>
      </c>
      <c r="G64" s="3" t="n"/>
      <c r="H64" s="3" t="n"/>
      <c r="I64" s="3" t="n"/>
      <c r="J64" s="3" t="n"/>
      <c r="K64" s="4" t="n"/>
      <c r="L64" s="3" t="n">
        <v>2025</v>
      </c>
      <c r="M64" s="5" t="n">
        <v>2300000</v>
      </c>
      <c r="N64" s="3" t="n"/>
      <c r="O64" s="3" t="n">
        <v>4</v>
      </c>
      <c r="P64" s="5" t="n">
        <v>191666.6666666667</v>
      </c>
      <c r="Q64" s="5" t="n">
        <v>2108333.333333333</v>
      </c>
      <c r="R64" s="3" t="n"/>
      <c r="S64" s="3" t="inlineStr">
        <is>
          <t>Aktif</t>
        </is>
      </c>
      <c r="T64" s="3" t="n"/>
      <c r="U64" s="3" t="n"/>
      <c r="V64" s="3" t="inlineStr">
        <is>
          <t>LIST ASSET YPIK 2025(1).xlsx | Inv. YPIK</t>
        </is>
      </c>
    </row>
    <row r="65">
      <c r="A65" s="3" t="n">
        <v>62</v>
      </c>
      <c r="B65" s="3" t="inlineStr">
        <is>
          <t>171-03-03-24</t>
        </is>
      </c>
      <c r="C65" s="3" t="inlineStr">
        <is>
          <t>TKIA 24 JATIKRAMAT</t>
        </is>
      </c>
      <c r="D65" s="3" t="inlineStr">
        <is>
          <t>I / 1 / RUANG TUNGGU</t>
        </is>
      </c>
      <c r="E65" s="3" t="inlineStr">
        <is>
          <t>Kipas Angin</t>
        </is>
      </c>
      <c r="F65" s="3" t="inlineStr">
        <is>
          <t>Kipas Angin</t>
        </is>
      </c>
      <c r="G65" s="3" t="inlineStr">
        <is>
          <t>Maspion</t>
        </is>
      </c>
      <c r="H65" s="3" t="n"/>
      <c r="I65" s="3" t="inlineStr">
        <is>
          <t>Ukuran: 14" inchi; Bahan: Plastik; Jumlah: None</t>
        </is>
      </c>
      <c r="J65" s="3" t="n"/>
      <c r="K65" s="4" t="n"/>
      <c r="L65" s="3" t="n"/>
      <c r="M65" s="5" t="n"/>
      <c r="N65" s="3" t="inlineStr">
        <is>
          <t>171-03-03-24</t>
        </is>
      </c>
      <c r="O65" s="3" t="n">
        <v>4</v>
      </c>
      <c r="P65" s="5" t="n"/>
      <c r="Q65" s="5" t="n"/>
      <c r="R65" s="3" t="inlineStr">
        <is>
          <t>Baik</t>
        </is>
      </c>
      <c r="S65" s="3" t="inlineStr">
        <is>
          <t>Aktif</t>
        </is>
      </c>
      <c r="T65" s="3" t="n"/>
      <c r="U65" s="3" t="n"/>
      <c r="V65" s="3" t="inlineStr">
        <is>
          <t>ASSET TKIA-24 2025(1).xlsx | ASET TKIA 24</t>
        </is>
      </c>
    </row>
    <row r="66">
      <c r="A66" s="3" t="n">
        <v>63</v>
      </c>
      <c r="B66" s="3" t="inlineStr">
        <is>
          <t>171-03-03-24</t>
        </is>
      </c>
      <c r="C66" s="3" t="inlineStr">
        <is>
          <t>TKIA 24 JATIKRAMAT</t>
        </is>
      </c>
      <c r="D66" s="3" t="inlineStr">
        <is>
          <t>I / 4 / DAPUR</t>
        </is>
      </c>
      <c r="E66" s="3" t="inlineStr">
        <is>
          <t>Dispenser</t>
        </is>
      </c>
      <c r="F66" s="3" t="inlineStr">
        <is>
          <t>Dispenser</t>
        </is>
      </c>
      <c r="G66" s="3" t="inlineStr">
        <is>
          <t>Cosmos</t>
        </is>
      </c>
      <c r="H66" s="3" t="n"/>
      <c r="I66" s="3" t="inlineStr">
        <is>
          <t>Ukuran: 40 x 110 cm; Bahan: Plastik; Jumlah: None</t>
        </is>
      </c>
      <c r="J66" s="3" t="n"/>
      <c r="K66" s="4" t="n"/>
      <c r="L66" s="3" t="n"/>
      <c r="M66" s="5" t="n"/>
      <c r="N66" s="3" t="inlineStr">
        <is>
          <t>171-03-03-24</t>
        </is>
      </c>
      <c r="O66" s="3" t="n">
        <v>4</v>
      </c>
      <c r="P66" s="5" t="n"/>
      <c r="Q66" s="5" t="n"/>
      <c r="R66" s="3" t="inlineStr">
        <is>
          <t>Baik</t>
        </is>
      </c>
      <c r="S66" s="3" t="inlineStr">
        <is>
          <t>Aktif</t>
        </is>
      </c>
      <c r="T66" s="3" t="n"/>
      <c r="U66" s="3" t="n"/>
      <c r="V66" s="3" t="inlineStr">
        <is>
          <t>ASSET TKIA-24 2025(1).xlsx | ASET TKIA 24</t>
        </is>
      </c>
    </row>
    <row r="67">
      <c r="A67" s="3" t="n">
        <v>64</v>
      </c>
      <c r="B67" s="3" t="inlineStr">
        <is>
          <t>171-03-03-24</t>
        </is>
      </c>
      <c r="C67" s="3" t="inlineStr">
        <is>
          <t>TKIA 24 JATIKRAMAT</t>
        </is>
      </c>
      <c r="D67" s="3" t="inlineStr">
        <is>
          <t>I / 5 / PSB</t>
        </is>
      </c>
      <c r="E67" s="3" t="inlineStr">
        <is>
          <t>SoundSistem</t>
        </is>
      </c>
      <c r="F67" s="3" t="inlineStr">
        <is>
          <t>SoundSistem</t>
        </is>
      </c>
      <c r="G67" s="3" t="inlineStr">
        <is>
          <t>LG</t>
        </is>
      </c>
      <c r="H67" s="3" t="n"/>
      <c r="I67" s="3" t="inlineStr">
        <is>
          <t>Ukuran: None; Bahan: Besi; Jumlah: None</t>
        </is>
      </c>
      <c r="J67" s="3" t="inlineStr">
        <is>
          <t>Hanrul</t>
        </is>
      </c>
      <c r="K67" s="4" t="n"/>
      <c r="L67" s="3" t="n"/>
      <c r="M67" s="5" t="n"/>
      <c r="N67" s="3" t="inlineStr">
        <is>
          <t>171-03-03-24</t>
        </is>
      </c>
      <c r="O67" s="3" t="n">
        <v>4</v>
      </c>
      <c r="P67" s="5" t="n"/>
      <c r="Q67" s="5" t="n"/>
      <c r="R67" s="3" t="inlineStr">
        <is>
          <t>Baik</t>
        </is>
      </c>
      <c r="S67" s="3" t="inlineStr">
        <is>
          <t>Aktif</t>
        </is>
      </c>
      <c r="T67" s="3" t="n"/>
      <c r="U67" s="3" t="n"/>
      <c r="V67" s="3" t="inlineStr">
        <is>
          <t>ASSET TKIA-24 2025(1).xlsx | ASET TKIA 24</t>
        </is>
      </c>
    </row>
    <row r="68">
      <c r="A68" s="3" t="n">
        <v>65</v>
      </c>
      <c r="B68" s="3" t="inlineStr">
        <is>
          <t>171-03-03-24</t>
        </is>
      </c>
      <c r="C68" s="3" t="inlineStr">
        <is>
          <t>TKIA 24 JATIKRAMAT</t>
        </is>
      </c>
      <c r="D68" s="3" t="inlineStr">
        <is>
          <t>I / 6 / KB</t>
        </is>
      </c>
      <c r="E68" s="3" t="inlineStr">
        <is>
          <t>Dispenser</t>
        </is>
      </c>
      <c r="F68" s="3" t="inlineStr">
        <is>
          <t>Dispenser</t>
        </is>
      </c>
      <c r="G68" s="3" t="inlineStr">
        <is>
          <t>Miyaku</t>
        </is>
      </c>
      <c r="H68" s="3" t="n"/>
      <c r="I68" s="3" t="inlineStr">
        <is>
          <t>Ukuran: 30 x 125 cm; Bahan: None; Jumlah: None</t>
        </is>
      </c>
      <c r="J68" s="3" t="n"/>
      <c r="K68" s="4" t="n"/>
      <c r="L68" s="3" t="n"/>
      <c r="M68" s="5" t="n"/>
      <c r="N68" s="3" t="inlineStr">
        <is>
          <t>171-03-03-24</t>
        </is>
      </c>
      <c r="O68" s="3" t="n">
        <v>4</v>
      </c>
      <c r="P68" s="5" t="n"/>
      <c r="Q68" s="5" t="n"/>
      <c r="R68" s="3" t="inlineStr">
        <is>
          <t>Baik</t>
        </is>
      </c>
      <c r="S68" s="3" t="inlineStr">
        <is>
          <t>Aktif</t>
        </is>
      </c>
      <c r="T68" s="3" t="n"/>
      <c r="U68" s="3" t="n"/>
      <c r="V68" s="3" t="inlineStr">
        <is>
          <t>ASSET TKIA-24 2025(1).xlsx | ASET TKIA 24</t>
        </is>
      </c>
    </row>
    <row r="69">
      <c r="A69" s="3" t="n">
        <v>66</v>
      </c>
      <c r="B69" s="3" t="inlineStr">
        <is>
          <t>171-03-03-24</t>
        </is>
      </c>
      <c r="C69" s="3" t="inlineStr">
        <is>
          <t>TKIA 24 JATIKRAMAT</t>
        </is>
      </c>
      <c r="D69" s="3" t="inlineStr">
        <is>
          <t>I / 6 / KB</t>
        </is>
      </c>
      <c r="E69" s="3" t="inlineStr">
        <is>
          <t>Kipas Angin</t>
        </is>
      </c>
      <c r="F69" s="3" t="inlineStr">
        <is>
          <t>Kipas Angin</t>
        </is>
      </c>
      <c r="G69" s="3" t="inlineStr">
        <is>
          <t>Nasional</t>
        </is>
      </c>
      <c r="H69" s="3" t="n"/>
      <c r="I69" s="3" t="inlineStr">
        <is>
          <t>Ukuran: 50 cm; Bahan: Besi; Jumlah: None</t>
        </is>
      </c>
      <c r="J69" s="3" t="n"/>
      <c r="K69" s="4" t="n"/>
      <c r="L69" s="3" t="n"/>
      <c r="M69" s="5" t="n"/>
      <c r="N69" s="3" t="inlineStr">
        <is>
          <t>171-03-03-24</t>
        </is>
      </c>
      <c r="O69" s="3" t="n">
        <v>4</v>
      </c>
      <c r="P69" s="5" t="n"/>
      <c r="Q69" s="5" t="n"/>
      <c r="R69" s="3" t="inlineStr">
        <is>
          <t>Baik</t>
        </is>
      </c>
      <c r="S69" s="3" t="inlineStr">
        <is>
          <t>Aktif</t>
        </is>
      </c>
      <c r="T69" s="3" t="n"/>
      <c r="U69" s="3" t="n"/>
      <c r="V69" s="3" t="inlineStr">
        <is>
          <t>ASSET TKIA-24 2025(1).xlsx | ASET TKIA 24</t>
        </is>
      </c>
    </row>
    <row r="70">
      <c r="A70" s="3" t="n">
        <v>67</v>
      </c>
      <c r="B70" s="3" t="inlineStr">
        <is>
          <t>171 - 03 - 03 - 24</t>
        </is>
      </c>
      <c r="C70" s="3" t="inlineStr">
        <is>
          <t>TKIA 24 JATIKRAMAT</t>
        </is>
      </c>
      <c r="D70" s="3" t="inlineStr">
        <is>
          <t>I / 10/ UKS</t>
        </is>
      </c>
      <c r="E70" s="3" t="inlineStr">
        <is>
          <t>Kipas Angin</t>
        </is>
      </c>
      <c r="F70" s="3" t="inlineStr">
        <is>
          <t>Kipas Angin</t>
        </is>
      </c>
      <c r="G70" s="3" t="inlineStr">
        <is>
          <t>Bulet</t>
        </is>
      </c>
      <c r="H70" s="3" t="n"/>
      <c r="I70" s="3" t="inlineStr">
        <is>
          <t>Ukuran: 16 "; Bahan: Plastik; Jumlah: 1 Unit</t>
        </is>
      </c>
      <c r="J70" s="3" t="n"/>
      <c r="K70" s="4" t="n"/>
      <c r="L70" s="3" t="n">
        <v>2018</v>
      </c>
      <c r="M70" s="5" t="n"/>
      <c r="N70" s="3" t="inlineStr">
        <is>
          <t>171 - 03 - 03 - 24</t>
        </is>
      </c>
      <c r="O70" s="3" t="n">
        <v>4</v>
      </c>
      <c r="P70" s="5" t="n"/>
      <c r="Q70" s="5" t="n"/>
      <c r="R70" s="3" t="inlineStr">
        <is>
          <t>Baik</t>
        </is>
      </c>
      <c r="S70" s="3" t="inlineStr">
        <is>
          <t>Aktif</t>
        </is>
      </c>
      <c r="T70" s="3" t="n"/>
      <c r="U70" s="3" t="n"/>
      <c r="V70" s="3" t="inlineStr">
        <is>
          <t>ASSET TKIA-24 2025(1).xlsx | ASET TKIA 24</t>
        </is>
      </c>
    </row>
    <row r="71">
      <c r="A71" s="3" t="n">
        <v>68</v>
      </c>
      <c r="B71" s="3" t="inlineStr">
        <is>
          <t>171 - 03 - 01 - 24</t>
        </is>
      </c>
      <c r="C71" s="3" t="inlineStr">
        <is>
          <t>TKIA 24 JATIKRAMAT</t>
        </is>
      </c>
      <c r="D71" s="3" t="inlineStr">
        <is>
          <t>II / 13/ SULAIMAN / B</t>
        </is>
      </c>
      <c r="E71" s="3" t="inlineStr">
        <is>
          <t>Dispenser</t>
        </is>
      </c>
      <c r="F71" s="3" t="inlineStr">
        <is>
          <t>Dispenser</t>
        </is>
      </c>
      <c r="G71" s="3" t="inlineStr">
        <is>
          <t>Miyako</t>
        </is>
      </c>
      <c r="H71" s="3" t="n"/>
      <c r="I71" s="3" t="inlineStr">
        <is>
          <t>Ukuran: None; Bahan: Plastik; Jumlah: None</t>
        </is>
      </c>
      <c r="J71" s="3" t="n"/>
      <c r="K71" s="4" t="n"/>
      <c r="L71" s="3" t="n"/>
      <c r="M71" s="5" t="n"/>
      <c r="N71" s="3" t="inlineStr">
        <is>
          <t>171 - 03 - 01 - 24</t>
        </is>
      </c>
      <c r="O71" s="3" t="n">
        <v>4</v>
      </c>
      <c r="P71" s="5" t="n"/>
      <c r="Q71" s="5" t="n"/>
      <c r="R71" s="3" t="inlineStr">
        <is>
          <t>Baik</t>
        </is>
      </c>
      <c r="S71" s="3" t="inlineStr">
        <is>
          <t>Aktif</t>
        </is>
      </c>
      <c r="T71" s="3" t="n"/>
      <c r="U71" s="3" t="n"/>
      <c r="V71" s="3" t="inlineStr">
        <is>
          <t>ASSET TKIA-24 2025(1).xlsx | ASET TKIA 24</t>
        </is>
      </c>
    </row>
    <row r="72">
      <c r="A72" s="3" t="n">
        <v>69</v>
      </c>
      <c r="B72" s="3" t="inlineStr">
        <is>
          <t>171 - 03 - 03 - 24</t>
        </is>
      </c>
      <c r="C72" s="3" t="inlineStr">
        <is>
          <t>TKIA 24 JATIKRAMAT</t>
        </is>
      </c>
      <c r="D72" s="3" t="inlineStr">
        <is>
          <t>II / 15/ IBRAHIM / A</t>
        </is>
      </c>
      <c r="E72" s="3" t="inlineStr">
        <is>
          <t>Dispenser</t>
        </is>
      </c>
      <c r="F72" s="3" t="inlineStr">
        <is>
          <t>Dispenser</t>
        </is>
      </c>
      <c r="G72" s="3" t="inlineStr">
        <is>
          <t>Miyako</t>
        </is>
      </c>
      <c r="H72" s="3" t="n"/>
      <c r="I72" s="3" t="inlineStr">
        <is>
          <t>Ukuran: 35x 120 x 40 cm; Bahan: Campur; Jumlah: None</t>
        </is>
      </c>
      <c r="J72" s="3" t="n"/>
      <c r="K72" s="4" t="n"/>
      <c r="L72" s="3" t="n"/>
      <c r="M72" s="5" t="n"/>
      <c r="N72" s="3" t="inlineStr">
        <is>
          <t>171 - 03 - 03 - 24</t>
        </is>
      </c>
      <c r="O72" s="3" t="n">
        <v>4</v>
      </c>
      <c r="P72" s="5" t="n"/>
      <c r="Q72" s="5" t="n"/>
      <c r="R72" s="3" t="n"/>
      <c r="S72" s="3" t="inlineStr">
        <is>
          <t>Aktif</t>
        </is>
      </c>
      <c r="T72" s="3" t="n"/>
      <c r="U72" s="3" t="n"/>
      <c r="V72" s="3" t="inlineStr">
        <is>
          <t>ASSET TKIA-24 2025(1).xlsx | ASET TKIA 24</t>
        </is>
      </c>
    </row>
    <row r="73">
      <c r="A73" s="3" t="n">
        <v>70</v>
      </c>
      <c r="B73" s="3" t="inlineStr">
        <is>
          <t>171 - 03 - 03 - 24</t>
        </is>
      </c>
      <c r="C73" s="3" t="inlineStr">
        <is>
          <t>TKIA 24 JATIKRAMAT</t>
        </is>
      </c>
      <c r="D73" s="3" t="inlineStr">
        <is>
          <t>II / 15/ IBRAHIM / A</t>
        </is>
      </c>
      <c r="E73" s="3" t="inlineStr">
        <is>
          <t>Screen Projector</t>
        </is>
      </c>
      <c r="F73" s="3" t="inlineStr">
        <is>
          <t>Screen Projector</t>
        </is>
      </c>
      <c r="G73" s="3" t="n"/>
      <c r="H73" s="3" t="n"/>
      <c r="I73" s="3" t="inlineStr">
        <is>
          <t>Ukuran: None; Bahan: Mika; Jumlah: None</t>
        </is>
      </c>
      <c r="J73" s="3" t="n"/>
      <c r="K73" s="4" t="n"/>
      <c r="L73" s="3" t="n"/>
      <c r="M73" s="5" t="n"/>
      <c r="N73" s="3" t="inlineStr">
        <is>
          <t>171 - 03 - 03 - 24</t>
        </is>
      </c>
      <c r="O73" s="3" t="n">
        <v>4</v>
      </c>
      <c r="P73" s="5" t="n"/>
      <c r="Q73" s="5" t="n"/>
      <c r="R73" s="3" t="inlineStr">
        <is>
          <t>Baik</t>
        </is>
      </c>
      <c r="S73" s="3" t="inlineStr">
        <is>
          <t>Aktif</t>
        </is>
      </c>
      <c r="T73" s="3" t="n"/>
      <c r="U73" s="3" t="n"/>
      <c r="V73" s="3" t="inlineStr">
        <is>
          <t>ASSET TKIA-24 2025(1).xlsx | ASET TKIA 24</t>
        </is>
      </c>
    </row>
    <row r="74">
      <c r="A74" s="3" t="n">
        <v>71</v>
      </c>
      <c r="B74" s="3" t="inlineStr">
        <is>
          <t>171 - 03 - 03 - 24</t>
        </is>
      </c>
      <c r="C74" s="3" t="inlineStr">
        <is>
          <t>TKIA 24 JATIKRAMAT</t>
        </is>
      </c>
      <c r="D74" s="3" t="inlineStr">
        <is>
          <t>II / 18/ AULA SERBAGUNA</t>
        </is>
      </c>
      <c r="E74" s="3" t="inlineStr">
        <is>
          <t>Kipas Angin</t>
        </is>
      </c>
      <c r="F74" s="3" t="inlineStr">
        <is>
          <t>Kipas Angin</t>
        </is>
      </c>
      <c r="G74" s="3" t="inlineStr">
        <is>
          <t>Sekai</t>
        </is>
      </c>
      <c r="H74" s="3" t="n"/>
      <c r="I74" s="3" t="inlineStr">
        <is>
          <t>Ukuran: None; Bahan: Besi; Jumlah: 1 Unit</t>
        </is>
      </c>
      <c r="J74" s="3" t="inlineStr">
        <is>
          <t>STN1808</t>
        </is>
      </c>
      <c r="K74" s="4" t="n"/>
      <c r="L74" s="3" t="n">
        <v>2018</v>
      </c>
      <c r="M74" s="5" t="n"/>
      <c r="N74" s="3" t="inlineStr">
        <is>
          <t>171 - 03 - 03 - 24</t>
        </is>
      </c>
      <c r="O74" s="3" t="n">
        <v>4</v>
      </c>
      <c r="P74" s="5" t="n"/>
      <c r="Q74" s="5" t="n"/>
      <c r="R74" s="3" t="inlineStr">
        <is>
          <t>Baik</t>
        </is>
      </c>
      <c r="S74" s="3" t="inlineStr">
        <is>
          <t>Aktif</t>
        </is>
      </c>
      <c r="T74" s="3" t="n"/>
      <c r="U74" s="3" t="n"/>
      <c r="V74" s="3" t="inlineStr">
        <is>
          <t>ASSET TKIA-24 2025(1).xlsx | ASET TKIA 24</t>
        </is>
      </c>
    </row>
    <row r="75">
      <c r="A75" s="3" t="n">
        <v>72</v>
      </c>
      <c r="B75" s="3" t="inlineStr">
        <is>
          <t>171 - 03 - 03 - 24</t>
        </is>
      </c>
      <c r="C75" s="3" t="inlineStr">
        <is>
          <t>TKIA 24 JATIKRAMAT</t>
        </is>
      </c>
      <c r="D75" s="3" t="inlineStr">
        <is>
          <t>II / 18/ AULA SERBAGUNA</t>
        </is>
      </c>
      <c r="E75" s="3" t="inlineStr">
        <is>
          <t>Kipas Angin</t>
        </is>
      </c>
      <c r="F75" s="3" t="inlineStr">
        <is>
          <t>Kipas Angin</t>
        </is>
      </c>
      <c r="G75" s="3" t="inlineStr">
        <is>
          <t>Cosmos</t>
        </is>
      </c>
      <c r="H75" s="3" t="n"/>
      <c r="I75" s="3" t="inlineStr">
        <is>
          <t>Ukuran: None; Bahan: Besi; Jumlah: 1 Unit</t>
        </is>
      </c>
      <c r="J75" s="3" t="inlineStr">
        <is>
          <t>YLSN</t>
        </is>
      </c>
      <c r="K75" s="4" t="n"/>
      <c r="L75" s="3" t="n">
        <v>2018</v>
      </c>
      <c r="M75" s="5" t="n"/>
      <c r="N75" s="3" t="inlineStr">
        <is>
          <t>171 - 03 - 03 - 24</t>
        </is>
      </c>
      <c r="O75" s="3" t="n">
        <v>4</v>
      </c>
      <c r="P75" s="5" t="n"/>
      <c r="Q75" s="5" t="n"/>
      <c r="R75" s="3" t="inlineStr">
        <is>
          <t>Baik</t>
        </is>
      </c>
      <c r="S75" s="3" t="inlineStr">
        <is>
          <t>Aktif</t>
        </is>
      </c>
      <c r="T75" s="3" t="n"/>
      <c r="U75" s="3" t="n"/>
      <c r="V75" s="3" t="inlineStr">
        <is>
          <t>ASSET TKIA-24 2025(1).xlsx | ASET TKIA 24</t>
        </is>
      </c>
    </row>
    <row r="76">
      <c r="A76" s="3" t="n">
        <v>73</v>
      </c>
      <c r="B76" s="3" t="inlineStr">
        <is>
          <t>171 - 03 - 03 - 24</t>
        </is>
      </c>
      <c r="C76" s="3" t="inlineStr">
        <is>
          <t>TKIA 24 JATIKRAMAT</t>
        </is>
      </c>
      <c r="D76" s="3" t="inlineStr">
        <is>
          <t>II / 18/ AULA SERBAGUNA</t>
        </is>
      </c>
      <c r="E76" s="3" t="inlineStr">
        <is>
          <t>Kipas Angin</t>
        </is>
      </c>
      <c r="F76" s="3" t="inlineStr">
        <is>
          <t>Kipas Angin</t>
        </is>
      </c>
      <c r="G76" s="3" t="inlineStr">
        <is>
          <t>Kris</t>
        </is>
      </c>
      <c r="H76" s="3" t="n"/>
      <c r="I76" s="3" t="inlineStr">
        <is>
          <t>Ukuran: None; Bahan: Besi; Jumlah: 1 Unit</t>
        </is>
      </c>
      <c r="J76" s="3" t="n">
        <v>15635</v>
      </c>
      <c r="K76" s="4" t="n"/>
      <c r="L76" s="3" t="n">
        <v>2018</v>
      </c>
      <c r="M76" s="5" t="n"/>
      <c r="N76" s="3" t="inlineStr">
        <is>
          <t>171 - 03 - 03 - 24</t>
        </is>
      </c>
      <c r="O76" s="3" t="n">
        <v>4</v>
      </c>
      <c r="P76" s="5" t="n"/>
      <c r="Q76" s="5" t="n"/>
      <c r="R76" s="3" t="inlineStr">
        <is>
          <t>Baik</t>
        </is>
      </c>
      <c r="S76" s="3" t="inlineStr">
        <is>
          <t>Aktif</t>
        </is>
      </c>
      <c r="T76" s="3" t="n"/>
      <c r="U76" s="3" t="n"/>
      <c r="V76" s="3" t="inlineStr">
        <is>
          <t>ASSET TKIA-24 2025(1).xlsx | ASET TKIA 24</t>
        </is>
      </c>
    </row>
    <row r="77">
      <c r="A77" s="3" t="n">
        <v>74</v>
      </c>
      <c r="B77" s="3" t="n"/>
      <c r="C77" s="3" t="inlineStr">
        <is>
          <t>TKIA 24 JATIKRAMAT</t>
        </is>
      </c>
      <c r="D77" s="3" t="inlineStr">
        <is>
          <t>I / 22/ RUANG GURU</t>
        </is>
      </c>
      <c r="E77" s="3" t="inlineStr">
        <is>
          <t>Kulkas</t>
        </is>
      </c>
      <c r="F77" s="3" t="inlineStr">
        <is>
          <t>Kulkas</t>
        </is>
      </c>
      <c r="G77" s="3" t="inlineStr">
        <is>
          <t>Polytron</t>
        </is>
      </c>
      <c r="H77" s="3" t="n"/>
      <c r="I77" s="3" t="inlineStr">
        <is>
          <t>Ukuran: 2 Pintu; Bahan: Besi; Jumlah: None</t>
        </is>
      </c>
      <c r="J77" s="3" t="n"/>
      <c r="K77" s="4" t="n"/>
      <c r="L77" s="3" t="n"/>
      <c r="M77" s="5" t="n"/>
      <c r="N77" s="3" t="n"/>
      <c r="O77" s="3" t="n">
        <v>4</v>
      </c>
      <c r="P77" s="5" t="n"/>
      <c r="Q77" s="5" t="n"/>
      <c r="R77" s="3" t="inlineStr">
        <is>
          <t>Baik</t>
        </is>
      </c>
      <c r="S77" s="3" t="inlineStr">
        <is>
          <t>Aktif</t>
        </is>
      </c>
      <c r="T77" s="3" t="n"/>
      <c r="U77" s="3" t="n"/>
      <c r="V77" s="3" t="inlineStr">
        <is>
          <t>ASSET TKIA-24 2025(1).xlsx | ASET TKIA 24</t>
        </is>
      </c>
    </row>
    <row r="78">
      <c r="A78" s="3" t="n">
        <v>75</v>
      </c>
      <c r="B78" s="3" t="n"/>
      <c r="C78" s="3" t="inlineStr">
        <is>
          <t>TKIA 24 JATIKRAMAT</t>
        </is>
      </c>
      <c r="D78" s="3" t="inlineStr">
        <is>
          <t>I / 22/ RUANG GURU</t>
        </is>
      </c>
      <c r="E78" s="3" t="inlineStr">
        <is>
          <t>Mic Wirelles shurle</t>
        </is>
      </c>
      <c r="F78" s="3" t="inlineStr">
        <is>
          <t>Mic Wirelles shurle</t>
        </is>
      </c>
      <c r="G78" s="3" t="n"/>
      <c r="H78" s="3" t="n"/>
      <c r="I78" s="3" t="inlineStr">
        <is>
          <t>Ukuran: None; Bahan: Besi; Jumlah: None</t>
        </is>
      </c>
      <c r="J78" s="3" t="n"/>
      <c r="K78" s="4" t="n"/>
      <c r="L78" s="3" t="n"/>
      <c r="M78" s="5" t="n"/>
      <c r="N78" s="3" t="n"/>
      <c r="O78" s="3" t="n">
        <v>4</v>
      </c>
      <c r="P78" s="5" t="n"/>
      <c r="Q78" s="5" t="n"/>
      <c r="R78" s="3" t="inlineStr">
        <is>
          <t>Baik</t>
        </is>
      </c>
      <c r="S78" s="3" t="inlineStr">
        <is>
          <t>Aktif</t>
        </is>
      </c>
      <c r="T78" s="3" t="n"/>
      <c r="U78" s="3" t="n"/>
      <c r="V78" s="3" t="inlineStr">
        <is>
          <t>ASSET TKIA-24 2025(1).xlsx | ASET TKIA 24</t>
        </is>
      </c>
    </row>
    <row r="79">
      <c r="A79" s="3" t="n">
        <v>76</v>
      </c>
      <c r="B79" s="3" t="inlineStr">
        <is>
          <t>171 - 03 - 01 - 24</t>
        </is>
      </c>
      <c r="C79" s="3" t="inlineStr">
        <is>
          <t>TKIA 24 JATIKRAMAT</t>
        </is>
      </c>
      <c r="D79" s="3" t="inlineStr">
        <is>
          <t>I / 1 / RUANG TUNGGU</t>
        </is>
      </c>
      <c r="E79" s="3" t="inlineStr">
        <is>
          <t>Kipas Angin</t>
        </is>
      </c>
      <c r="F79" s="3" t="inlineStr">
        <is>
          <t>Kipas Angin</t>
        </is>
      </c>
      <c r="G79" s="3" t="n"/>
      <c r="H79" s="3" t="n"/>
      <c r="I79" s="3" t="inlineStr">
        <is>
          <t>Ukuran: 16 "; Bahan: Campur; Jumlah: 5 Unit</t>
        </is>
      </c>
      <c r="J79" s="3" t="n"/>
      <c r="K79" s="4" t="n"/>
      <c r="L79" s="3" t="n"/>
      <c r="M79" s="5" t="n"/>
      <c r="N79" s="3" t="inlineStr">
        <is>
          <t>171 - 03 - 01 - 24</t>
        </is>
      </c>
      <c r="O79" s="3" t="n">
        <v>4</v>
      </c>
      <c r="P79" s="5" t="n"/>
      <c r="Q79" s="5" t="n"/>
      <c r="R79" s="3" t="n"/>
      <c r="S79" s="3" t="inlineStr">
        <is>
          <t>Aktif</t>
        </is>
      </c>
      <c r="T79" s="3" t="n"/>
      <c r="U79" s="3" t="n"/>
      <c r="V79" s="3" t="inlineStr">
        <is>
          <t>ASSET TKIA-24 2025(1).xlsx | ASET TKIA (3)</t>
        </is>
      </c>
    </row>
    <row r="80">
      <c r="A80" s="3" t="n">
        <v>77</v>
      </c>
      <c r="B80" s="3" t="inlineStr">
        <is>
          <t>171 - 03 - 01 - 24</t>
        </is>
      </c>
      <c r="C80" s="3" t="inlineStr">
        <is>
          <t>TKIA 24 JATIKRAMAT</t>
        </is>
      </c>
      <c r="D80" s="3" t="inlineStr">
        <is>
          <t>I / 3 / TATA USAHA (TU)</t>
        </is>
      </c>
      <c r="E80" s="3" t="inlineStr">
        <is>
          <t>Kipas Angin</t>
        </is>
      </c>
      <c r="F80" s="3" t="inlineStr">
        <is>
          <t>Kipas Angin</t>
        </is>
      </c>
      <c r="G80" s="3" t="inlineStr">
        <is>
          <t>Sekai</t>
        </is>
      </c>
      <c r="H80" s="3" t="n"/>
      <c r="I80" s="3" t="inlineStr">
        <is>
          <t>Ukuran: None; Bahan: Besi; Jumlah: 1 Unit</t>
        </is>
      </c>
      <c r="J80" s="3" t="n"/>
      <c r="K80" s="4" t="n"/>
      <c r="L80" s="3" t="n"/>
      <c r="M80" s="5" t="n"/>
      <c r="N80" s="3" t="inlineStr">
        <is>
          <t>171 - 03 - 01 - 24</t>
        </is>
      </c>
      <c r="O80" s="3" t="n">
        <v>4</v>
      </c>
      <c r="P80" s="5" t="n"/>
      <c r="Q80" s="5" t="n"/>
      <c r="R80" s="3" t="n"/>
      <c r="S80" s="3" t="inlineStr">
        <is>
          <t>Aktif</t>
        </is>
      </c>
      <c r="T80" s="3" t="n"/>
      <c r="U80" s="3" t="n"/>
      <c r="V80" s="3" t="inlineStr">
        <is>
          <t>ASSET TKIA-24 2025(1).xlsx | ASET TKIA (3)</t>
        </is>
      </c>
    </row>
    <row r="81">
      <c r="A81" s="3" t="n">
        <v>78</v>
      </c>
      <c r="B81" s="3" t="inlineStr">
        <is>
          <t>171 - 03 - 01 - 24</t>
        </is>
      </c>
      <c r="C81" s="3" t="inlineStr">
        <is>
          <t>TKIA 24 JATIKRAMAT</t>
        </is>
      </c>
      <c r="D81" s="3" t="inlineStr">
        <is>
          <t>I / 3 / TATA USAHA (TU)</t>
        </is>
      </c>
      <c r="E81" s="3" t="inlineStr">
        <is>
          <t>Sentral CCTV</t>
        </is>
      </c>
      <c r="F81" s="3" t="inlineStr">
        <is>
          <t>Sentral CCTV</t>
        </is>
      </c>
      <c r="G81" s="3" t="n"/>
      <c r="H81" s="3" t="n"/>
      <c r="I81" s="3" t="inlineStr">
        <is>
          <t>Ukuran: None; Bahan: Besi; Jumlah: 1 Unit</t>
        </is>
      </c>
      <c r="J81" s="3" t="n"/>
      <c r="K81" s="4" t="n"/>
      <c r="L81" s="3" t="n"/>
      <c r="M81" s="5" t="n"/>
      <c r="N81" s="3" t="inlineStr">
        <is>
          <t>171 - 03 - 01 - 24</t>
        </is>
      </c>
      <c r="O81" s="3" t="n">
        <v>4</v>
      </c>
      <c r="P81" s="5" t="n"/>
      <c r="Q81" s="5" t="n"/>
      <c r="R81" s="3" t="inlineStr">
        <is>
          <t>Baik</t>
        </is>
      </c>
      <c r="S81" s="3" t="inlineStr">
        <is>
          <t>Aktif</t>
        </is>
      </c>
      <c r="T81" s="3" t="n"/>
      <c r="U81" s="3" t="n"/>
      <c r="V81" s="3" t="inlineStr">
        <is>
          <t>ASSET TKIA-24 2025(1).xlsx | ASET TKIA (3)</t>
        </is>
      </c>
    </row>
    <row r="82">
      <c r="A82" s="3" t="n">
        <v>79</v>
      </c>
      <c r="B82" s="3" t="inlineStr">
        <is>
          <t>171 - 03 - 01 - 24</t>
        </is>
      </c>
      <c r="C82" s="3" t="inlineStr">
        <is>
          <t>TKIA 24 JATIKRAMAT</t>
        </is>
      </c>
      <c r="D82" s="3" t="inlineStr">
        <is>
          <t>I / 4 / DAPUR</t>
        </is>
      </c>
      <c r="E82" s="3" t="inlineStr">
        <is>
          <t>Dispenser</t>
        </is>
      </c>
      <c r="F82" s="3" t="inlineStr">
        <is>
          <t>Dispenser</t>
        </is>
      </c>
      <c r="G82" s="3" t="inlineStr">
        <is>
          <t>Cosmos</t>
        </is>
      </c>
      <c r="H82" s="3" t="n"/>
      <c r="I82" s="3" t="inlineStr">
        <is>
          <t>Ukuran: None; Bahan: Plastik; Jumlah: 1 Unit</t>
        </is>
      </c>
      <c r="J82" s="3" t="n"/>
      <c r="K82" s="4" t="n"/>
      <c r="L82" s="3" t="n"/>
      <c r="M82" s="5" t="n"/>
      <c r="N82" s="3" t="inlineStr">
        <is>
          <t>171 - 03 - 01 - 24</t>
        </is>
      </c>
      <c r="O82" s="3" t="n">
        <v>4</v>
      </c>
      <c r="P82" s="5" t="n"/>
      <c r="Q82" s="5" t="n"/>
      <c r="R82" s="3" t="inlineStr">
        <is>
          <t>Baik</t>
        </is>
      </c>
      <c r="S82" s="3" t="inlineStr">
        <is>
          <t>Aktif</t>
        </is>
      </c>
      <c r="T82" s="3" t="n"/>
      <c r="U82" s="3" t="n"/>
      <c r="V82" s="3" t="inlineStr">
        <is>
          <t>ASSET TKIA-24 2025(1).xlsx | ASET TKIA (3)</t>
        </is>
      </c>
    </row>
    <row r="83">
      <c r="A83" s="3" t="n">
        <v>80</v>
      </c>
      <c r="B83" s="3" t="inlineStr">
        <is>
          <t>171 - 03 - 01 - 24</t>
        </is>
      </c>
      <c r="C83" s="3" t="inlineStr">
        <is>
          <t>TKIA 24 JATIKRAMAT</t>
        </is>
      </c>
      <c r="D83" s="3" t="inlineStr">
        <is>
          <t>I / 5 / PSB</t>
        </is>
      </c>
      <c r="E83" s="3" t="inlineStr">
        <is>
          <t>SoundSistem</t>
        </is>
      </c>
      <c r="F83" s="3" t="inlineStr">
        <is>
          <t>SoundSistem</t>
        </is>
      </c>
      <c r="G83" s="3" t="inlineStr">
        <is>
          <t>LG</t>
        </is>
      </c>
      <c r="H83" s="3" t="n"/>
      <c r="I83" s="3" t="inlineStr">
        <is>
          <t>Ukuran: None; Bahan: Campur; Jumlah: 1 Unit</t>
        </is>
      </c>
      <c r="J83" s="3" t="inlineStr">
        <is>
          <t>MDD72 Mini home</t>
        </is>
      </c>
      <c r="K83" s="4" t="n"/>
      <c r="L83" s="3" t="n"/>
      <c r="M83" s="5" t="n"/>
      <c r="N83" s="3" t="inlineStr">
        <is>
          <t>171 - 03 - 01 - 24</t>
        </is>
      </c>
      <c r="O83" s="3" t="n">
        <v>4</v>
      </c>
      <c r="P83" s="5" t="n"/>
      <c r="Q83" s="5" t="n"/>
      <c r="R83" s="3" t="inlineStr">
        <is>
          <t>Baik</t>
        </is>
      </c>
      <c r="S83" s="3" t="inlineStr">
        <is>
          <t>Aktif</t>
        </is>
      </c>
      <c r="T83" s="3" t="n"/>
      <c r="U83" s="3" t="n"/>
      <c r="V83" s="3" t="inlineStr">
        <is>
          <t>ASSET TKIA-24 2025(1).xlsx | ASET TKIA (3)</t>
        </is>
      </c>
    </row>
    <row r="84">
      <c r="A84" s="3" t="n">
        <v>81</v>
      </c>
      <c r="B84" s="3" t="inlineStr">
        <is>
          <t>171 - 03 - 01 - 24</t>
        </is>
      </c>
      <c r="C84" s="3" t="inlineStr">
        <is>
          <t>TKIA 24 JATIKRAMAT</t>
        </is>
      </c>
      <c r="D84" s="3" t="inlineStr">
        <is>
          <t>I / 5 / PSB</t>
        </is>
      </c>
      <c r="E84" s="3" t="inlineStr">
        <is>
          <t>CCTV - Camera</t>
        </is>
      </c>
      <c r="F84" s="3" t="inlineStr">
        <is>
          <t>CCTV - Camera</t>
        </is>
      </c>
      <c r="G84" s="3" t="n"/>
      <c r="H84" s="3" t="n"/>
      <c r="I84" s="3" t="inlineStr">
        <is>
          <t>Ukuran: None; Bahan: Besi; Jumlah: 1 Unit</t>
        </is>
      </c>
      <c r="J84" s="3" t="n"/>
      <c r="K84" s="4" t="n"/>
      <c r="L84" s="3" t="n"/>
      <c r="M84" s="5" t="n"/>
      <c r="N84" s="3" t="inlineStr">
        <is>
          <t>171 - 03 - 01 - 24</t>
        </is>
      </c>
      <c r="O84" s="3" t="n">
        <v>4</v>
      </c>
      <c r="P84" s="5" t="n"/>
      <c r="Q84" s="5" t="n"/>
      <c r="R84" s="3" t="inlineStr">
        <is>
          <t>Baik</t>
        </is>
      </c>
      <c r="S84" s="3" t="inlineStr">
        <is>
          <t>Aktif</t>
        </is>
      </c>
      <c r="T84" s="3" t="n"/>
      <c r="U84" s="3" t="n"/>
      <c r="V84" s="3" t="inlineStr">
        <is>
          <t>ASSET TKIA-24 2025(1).xlsx | ASET TKIA (3)</t>
        </is>
      </c>
    </row>
    <row r="85">
      <c r="A85" s="3" t="n">
        <v>82</v>
      </c>
      <c r="B85" s="3" t="inlineStr">
        <is>
          <t>171 - 03 - 01 - 24</t>
        </is>
      </c>
      <c r="C85" s="3" t="inlineStr">
        <is>
          <t>TKIA 24 JATIKRAMAT</t>
        </is>
      </c>
      <c r="D85" s="3" t="inlineStr">
        <is>
          <t>I / 6 / MEKAH/ MADINAH/ KB</t>
        </is>
      </c>
      <c r="E85" s="3" t="inlineStr">
        <is>
          <t>Kipas Gantung</t>
        </is>
      </c>
      <c r="F85" s="3" t="inlineStr">
        <is>
          <t>Kipas Gantung</t>
        </is>
      </c>
      <c r="G85" s="3" t="inlineStr">
        <is>
          <t>Nasional</t>
        </is>
      </c>
      <c r="H85" s="3" t="n"/>
      <c r="I85" s="3" t="inlineStr">
        <is>
          <t>Ukuran: None; Bahan: Besi; Jumlah: 1 Unit</t>
        </is>
      </c>
      <c r="J85" s="3" t="n"/>
      <c r="K85" s="4" t="n"/>
      <c r="L85" s="3" t="n"/>
      <c r="M85" s="5" t="n"/>
      <c r="N85" s="3" t="inlineStr">
        <is>
          <t>171 - 03 - 01 - 24</t>
        </is>
      </c>
      <c r="O85" s="3" t="n">
        <v>4</v>
      </c>
      <c r="P85" s="5" t="n"/>
      <c r="Q85" s="5" t="n"/>
      <c r="R85" s="3" t="inlineStr">
        <is>
          <t>Baik</t>
        </is>
      </c>
      <c r="S85" s="3" t="inlineStr">
        <is>
          <t>Aktif</t>
        </is>
      </c>
      <c r="T85" s="3" t="n"/>
      <c r="U85" s="3" t="n"/>
      <c r="V85" s="3" t="inlineStr">
        <is>
          <t>ASSET TKIA-24 2025(1).xlsx | ASET TKIA (3)</t>
        </is>
      </c>
    </row>
    <row r="86">
      <c r="A86" s="3" t="n">
        <v>83</v>
      </c>
      <c r="B86" s="3" t="inlineStr">
        <is>
          <t>171 - 03 - 01 - 24</t>
        </is>
      </c>
      <c r="C86" s="3" t="inlineStr">
        <is>
          <t>TKIA 24 JATIKRAMAT</t>
        </is>
      </c>
      <c r="D86" s="3" t="inlineStr">
        <is>
          <t>I / 6 / MEKAH/ MADINAH/ KB</t>
        </is>
      </c>
      <c r="E86" s="3" t="inlineStr">
        <is>
          <t>Dispenser</t>
        </is>
      </c>
      <c r="F86" s="3" t="inlineStr">
        <is>
          <t>Dispenser</t>
        </is>
      </c>
      <c r="G86" s="3" t="inlineStr">
        <is>
          <t>Miyako</t>
        </is>
      </c>
      <c r="H86" s="3" t="n"/>
      <c r="I86" s="3" t="inlineStr">
        <is>
          <t>Ukuran: None; Bahan: Plastik; Jumlah: 1 Unit</t>
        </is>
      </c>
      <c r="J86" s="3" t="n"/>
      <c r="K86" s="4" t="n"/>
      <c r="L86" s="3" t="n"/>
      <c r="M86" s="5" t="n"/>
      <c r="N86" s="3" t="inlineStr">
        <is>
          <t>171 - 03 - 01 - 24</t>
        </is>
      </c>
      <c r="O86" s="3" t="n">
        <v>4</v>
      </c>
      <c r="P86" s="5" t="n"/>
      <c r="Q86" s="5" t="n"/>
      <c r="R86" s="3" t="inlineStr">
        <is>
          <t>Baik</t>
        </is>
      </c>
      <c r="S86" s="3" t="inlineStr">
        <is>
          <t>Aktif</t>
        </is>
      </c>
      <c r="T86" s="3" t="n"/>
      <c r="U86" s="3" t="n"/>
      <c r="V86" s="3" t="inlineStr">
        <is>
          <t>ASSET TKIA-24 2025(1).xlsx | ASET TKIA (3)</t>
        </is>
      </c>
    </row>
    <row r="87">
      <c r="A87" s="3" t="n">
        <v>84</v>
      </c>
      <c r="B87" s="3" t="inlineStr">
        <is>
          <t>171 - 03 - 01 - 24</t>
        </is>
      </c>
      <c r="C87" s="3" t="inlineStr">
        <is>
          <t>TKIA 24 JATIKRAMAT</t>
        </is>
      </c>
      <c r="D87" s="3" t="inlineStr">
        <is>
          <t>I / 10/ GEDUNG EKSKUL - BELAKANG</t>
        </is>
      </c>
      <c r="E87" s="3" t="inlineStr">
        <is>
          <t>Kipas Angin</t>
        </is>
      </c>
      <c r="F87" s="3" t="inlineStr">
        <is>
          <t>Kipas Angin</t>
        </is>
      </c>
      <c r="G87" s="3" t="n"/>
      <c r="H87" s="3" t="n"/>
      <c r="I87" s="3" t="inlineStr">
        <is>
          <t>Ukuran: 16 "; Bahan: Plastik; Jumlah: 1 Unit</t>
        </is>
      </c>
      <c r="J87" s="3" t="n"/>
      <c r="K87" s="4" t="n"/>
      <c r="L87" s="3" t="n"/>
      <c r="M87" s="5" t="n"/>
      <c r="N87" s="3" t="inlineStr">
        <is>
          <t>171 - 03 - 01 - 24</t>
        </is>
      </c>
      <c r="O87" s="3" t="n">
        <v>4</v>
      </c>
      <c r="P87" s="5" t="n"/>
      <c r="Q87" s="5" t="n"/>
      <c r="R87" s="3" t="inlineStr">
        <is>
          <t>Baik</t>
        </is>
      </c>
      <c r="S87" s="3" t="inlineStr">
        <is>
          <t>Aktif</t>
        </is>
      </c>
      <c r="T87" s="3" t="n"/>
      <c r="U87" s="3" t="n"/>
      <c r="V87" s="3" t="inlineStr">
        <is>
          <t>ASSET TKIA-24 2025(1).xlsx | ASET TKIA (3)</t>
        </is>
      </c>
    </row>
    <row r="88">
      <c r="A88" s="3" t="n">
        <v>85</v>
      </c>
      <c r="B88" s="3" t="inlineStr">
        <is>
          <t>171 - 02 - 02</t>
        </is>
      </c>
      <c r="C88" s="3" t="inlineStr">
        <is>
          <t>TKIA 24 JATIKRAMAT</t>
        </is>
      </c>
      <c r="D88" s="3" t="inlineStr">
        <is>
          <t>II / SULAIMAN / B</t>
        </is>
      </c>
      <c r="E88" s="3" t="inlineStr">
        <is>
          <t>Dispenser</t>
        </is>
      </c>
      <c r="F88" s="3" t="inlineStr">
        <is>
          <t>Dispenser</t>
        </is>
      </c>
      <c r="G88" s="3" t="inlineStr">
        <is>
          <t>Miyako</t>
        </is>
      </c>
      <c r="H88" s="3" t="n"/>
      <c r="I88" s="3" t="inlineStr">
        <is>
          <t>Ukuran: None; Bahan: Plastik; Jumlah: 1 Unit</t>
        </is>
      </c>
      <c r="J88" s="3" t="n"/>
      <c r="K88" s="4" t="n"/>
      <c r="L88" s="3" t="n"/>
      <c r="M88" s="5" t="n"/>
      <c r="N88" s="3" t="inlineStr">
        <is>
          <t>171 - 02 - 02</t>
        </is>
      </c>
      <c r="O88" s="3" t="n">
        <v>4</v>
      </c>
      <c r="P88" s="5" t="n"/>
      <c r="Q88" s="5" t="n"/>
      <c r="R88" s="3" t="inlineStr">
        <is>
          <t>Baik</t>
        </is>
      </c>
      <c r="S88" s="3" t="inlineStr">
        <is>
          <t>Aktif</t>
        </is>
      </c>
      <c r="T88" s="3" t="n"/>
      <c r="U88" s="3" t="n"/>
      <c r="V88" s="3" t="inlineStr">
        <is>
          <t>ASSET TKIA-24 2025(1).xlsx | ASET TKIA</t>
        </is>
      </c>
    </row>
    <row r="89">
      <c r="A89" s="3" t="n">
        <v>86</v>
      </c>
      <c r="B89" s="3" t="inlineStr">
        <is>
          <t>171 - 02 - 02</t>
        </is>
      </c>
      <c r="C89" s="3" t="inlineStr">
        <is>
          <t>TKIA 24 JATIKRAMAT</t>
        </is>
      </c>
      <c r="D89" s="3" t="inlineStr">
        <is>
          <t>II / IBRAHIM / A</t>
        </is>
      </c>
      <c r="E89" s="3" t="inlineStr">
        <is>
          <t>Dispenser</t>
        </is>
      </c>
      <c r="F89" s="3" t="inlineStr">
        <is>
          <t>Dispenser</t>
        </is>
      </c>
      <c r="G89" s="3" t="inlineStr">
        <is>
          <t>Miyako</t>
        </is>
      </c>
      <c r="H89" s="3" t="n"/>
      <c r="I89" s="3" t="inlineStr">
        <is>
          <t>Ukuran: None; Bahan: Campur; Jumlah: 1 Unit</t>
        </is>
      </c>
      <c r="J89" s="3" t="n"/>
      <c r="K89" s="4" t="n"/>
      <c r="L89" s="3" t="n"/>
      <c r="M89" s="5" t="n"/>
      <c r="N89" s="3" t="inlineStr">
        <is>
          <t>171 - 02 - 02</t>
        </is>
      </c>
      <c r="O89" s="3" t="n">
        <v>4</v>
      </c>
      <c r="P89" s="5" t="n"/>
      <c r="Q89" s="5" t="n"/>
      <c r="R89" s="3" t="inlineStr">
        <is>
          <t>Baik</t>
        </is>
      </c>
      <c r="S89" s="3" t="inlineStr">
        <is>
          <t>Aktif</t>
        </is>
      </c>
      <c r="T89" s="3" t="n"/>
      <c r="U89" s="3" t="n"/>
      <c r="V89" s="3" t="inlineStr">
        <is>
          <t>ASSET TKIA-24 2025(1).xlsx | ASET TKIA</t>
        </is>
      </c>
    </row>
    <row r="90">
      <c r="A90" s="3" t="n">
        <v>87</v>
      </c>
      <c r="B90" s="3" t="inlineStr">
        <is>
          <t>171 - 02 - 02</t>
        </is>
      </c>
      <c r="C90" s="3" t="inlineStr">
        <is>
          <t>TKIA 24 JATIKRAMAT</t>
        </is>
      </c>
      <c r="D90" s="3" t="inlineStr">
        <is>
          <t>II / IBRAHIM / A</t>
        </is>
      </c>
      <c r="E90" s="3" t="inlineStr">
        <is>
          <t>CCTV - Camera</t>
        </is>
      </c>
      <c r="F90" s="3" t="inlineStr">
        <is>
          <t>CCTV - Camera</t>
        </is>
      </c>
      <c r="G90" s="3" t="n"/>
      <c r="H90" s="3" t="n"/>
      <c r="I90" s="3" t="inlineStr">
        <is>
          <t>Ukuran: None; Bahan: Elektronik; Jumlah: 1 Unit</t>
        </is>
      </c>
      <c r="J90" s="3" t="n"/>
      <c r="K90" s="4" t="n"/>
      <c r="L90" s="3" t="n"/>
      <c r="M90" s="5" t="n"/>
      <c r="N90" s="3" t="inlineStr">
        <is>
          <t>171 - 02 - 02</t>
        </is>
      </c>
      <c r="O90" s="3" t="n">
        <v>4</v>
      </c>
      <c r="P90" s="5" t="n"/>
      <c r="Q90" s="5" t="n"/>
      <c r="R90" s="3" t="inlineStr">
        <is>
          <t>Baik</t>
        </is>
      </c>
      <c r="S90" s="3" t="inlineStr">
        <is>
          <t>Aktif</t>
        </is>
      </c>
      <c r="T90" s="3" t="n"/>
      <c r="U90" s="3" t="n"/>
      <c r="V90" s="3" t="inlineStr">
        <is>
          <t>ASSET TKIA-24 2025(1).xlsx | ASET TKIA</t>
        </is>
      </c>
    </row>
    <row r="91">
      <c r="A91" s="3" t="n">
        <v>88</v>
      </c>
      <c r="B91" s="3" t="inlineStr">
        <is>
          <t>171 - 02 - 02</t>
        </is>
      </c>
      <c r="C91" s="3" t="inlineStr">
        <is>
          <t>TKIA 24 JATIKRAMAT</t>
        </is>
      </c>
      <c r="D91" s="3" t="inlineStr">
        <is>
          <t>I / PSB</t>
        </is>
      </c>
      <c r="E91" s="3" t="inlineStr">
        <is>
          <t>SoundSistem</t>
        </is>
      </c>
      <c r="F91" s="3" t="inlineStr">
        <is>
          <t>SoundSistem</t>
        </is>
      </c>
      <c r="G91" s="3" t="inlineStr">
        <is>
          <t>LG</t>
        </is>
      </c>
      <c r="H91" s="3" t="n"/>
      <c r="I91" s="3" t="inlineStr">
        <is>
          <t>Ukuran: None; Bahan: Campur; Jumlah: 1 Unit</t>
        </is>
      </c>
      <c r="J91" s="3" t="inlineStr">
        <is>
          <t>MDD72 Mini home</t>
        </is>
      </c>
      <c r="K91" s="4" t="n"/>
      <c r="L91" s="3" t="n"/>
      <c r="M91" s="5" t="n"/>
      <c r="N91" s="3" t="inlineStr">
        <is>
          <t>171 - 02 - 02</t>
        </is>
      </c>
      <c r="O91" s="3" t="n">
        <v>4</v>
      </c>
      <c r="P91" s="5" t="n"/>
      <c r="Q91" s="5" t="n"/>
      <c r="R91" s="3" t="inlineStr">
        <is>
          <t>Baik</t>
        </is>
      </c>
      <c r="S91" s="3" t="inlineStr">
        <is>
          <t>Aktif</t>
        </is>
      </c>
      <c r="T91" s="3" t="n"/>
      <c r="U91" s="3" t="n"/>
      <c r="V91" s="3" t="inlineStr">
        <is>
          <t>ASSET TKIA-24 2025(1).xlsx | ASET TKIA</t>
        </is>
      </c>
    </row>
    <row r="92">
      <c r="A92" s="3" t="n">
        <v>89</v>
      </c>
      <c r="B92" s="3" t="inlineStr">
        <is>
          <t>171 - 02 - 02</t>
        </is>
      </c>
      <c r="C92" s="3" t="inlineStr">
        <is>
          <t>TKIA 24 JATIKRAMAT</t>
        </is>
      </c>
      <c r="D92" s="3" t="inlineStr">
        <is>
          <t>I / PSB</t>
        </is>
      </c>
      <c r="E92" s="3" t="inlineStr">
        <is>
          <t>CCTV - Camera</t>
        </is>
      </c>
      <c r="F92" s="3" t="inlineStr">
        <is>
          <t>CCTV - Camera</t>
        </is>
      </c>
      <c r="G92" s="3" t="n"/>
      <c r="H92" s="3" t="n"/>
      <c r="I92" s="3" t="inlineStr">
        <is>
          <t>Ukuran: None; Bahan: Besi; Jumlah: 1 Unit</t>
        </is>
      </c>
      <c r="J92" s="3" t="n"/>
      <c r="K92" s="4" t="n"/>
      <c r="L92" s="3" t="n"/>
      <c r="M92" s="5" t="n"/>
      <c r="N92" s="3" t="inlineStr">
        <is>
          <t>171 - 02 - 02</t>
        </is>
      </c>
      <c r="O92" s="3" t="n">
        <v>4</v>
      </c>
      <c r="P92" s="5" t="n"/>
      <c r="Q92" s="5" t="n"/>
      <c r="R92" s="3" t="inlineStr">
        <is>
          <t>Baik</t>
        </is>
      </c>
      <c r="S92" s="3" t="inlineStr">
        <is>
          <t>Aktif</t>
        </is>
      </c>
      <c r="T92" s="3" t="n"/>
      <c r="U92" s="3" t="n"/>
      <c r="V92" s="3" t="inlineStr">
        <is>
          <t>ASSET TKIA-24 2025(1).xlsx | ASET TKIA</t>
        </is>
      </c>
    </row>
    <row r="93">
      <c r="A93" s="3" t="n">
        <v>90</v>
      </c>
      <c r="B93" s="3" t="inlineStr">
        <is>
          <t>171 - 02 - 02</t>
        </is>
      </c>
      <c r="C93" s="3" t="inlineStr">
        <is>
          <t>TKIA 24 JATIKRAMAT</t>
        </is>
      </c>
      <c r="D93" s="3" t="inlineStr">
        <is>
          <t>I / MEKAH/ MADINAH / KB</t>
        </is>
      </c>
      <c r="E93" s="3" t="inlineStr">
        <is>
          <t>Kipas Gantung</t>
        </is>
      </c>
      <c r="F93" s="3" t="inlineStr">
        <is>
          <t>Kipas Gantung</t>
        </is>
      </c>
      <c r="G93" s="3" t="inlineStr">
        <is>
          <t>Nasional</t>
        </is>
      </c>
      <c r="H93" s="3" t="n"/>
      <c r="I93" s="3" t="inlineStr">
        <is>
          <t>Ukuran: None; Bahan: Besi; Jumlah: 1 Unit</t>
        </is>
      </c>
      <c r="J93" s="3" t="n"/>
      <c r="K93" s="4" t="n"/>
      <c r="L93" s="3" t="n"/>
      <c r="M93" s="5" t="n"/>
      <c r="N93" s="3" t="inlineStr">
        <is>
          <t>171 - 02 - 02</t>
        </is>
      </c>
      <c r="O93" s="3" t="n">
        <v>4</v>
      </c>
      <c r="P93" s="5" t="n"/>
      <c r="Q93" s="5" t="n"/>
      <c r="R93" s="3" t="inlineStr">
        <is>
          <t>Baik</t>
        </is>
      </c>
      <c r="S93" s="3" t="inlineStr">
        <is>
          <t>Aktif</t>
        </is>
      </c>
      <c r="T93" s="3" t="n"/>
      <c r="U93" s="3" t="n"/>
      <c r="V93" s="3" t="inlineStr">
        <is>
          <t>ASSET TKIA-24 2025(1).xlsx | ASET TKIA</t>
        </is>
      </c>
    </row>
    <row r="94">
      <c r="A94" s="3" t="n">
        <v>91</v>
      </c>
      <c r="B94" s="3" t="inlineStr">
        <is>
          <t>171 - 02 - 02</t>
        </is>
      </c>
      <c r="C94" s="3" t="inlineStr">
        <is>
          <t>TKIA 24 JATIKRAMAT</t>
        </is>
      </c>
      <c r="D94" s="3" t="inlineStr">
        <is>
          <t>I / MEKAH/ MADINAH / KB</t>
        </is>
      </c>
      <c r="E94" s="3" t="inlineStr">
        <is>
          <t>Dispenser</t>
        </is>
      </c>
      <c r="F94" s="3" t="inlineStr">
        <is>
          <t>Dispenser</t>
        </is>
      </c>
      <c r="G94" s="3" t="inlineStr">
        <is>
          <t>Miyako</t>
        </is>
      </c>
      <c r="H94" s="3" t="n"/>
      <c r="I94" s="3" t="inlineStr">
        <is>
          <t>Ukuran: None; Bahan: Plastik; Jumlah: 1 Unit</t>
        </is>
      </c>
      <c r="J94" s="3" t="n"/>
      <c r="K94" s="4" t="n"/>
      <c r="L94" s="3" t="n"/>
      <c r="M94" s="5" t="n"/>
      <c r="N94" s="3" t="inlineStr">
        <is>
          <t>171 - 02 - 02</t>
        </is>
      </c>
      <c r="O94" s="3" t="n">
        <v>4</v>
      </c>
      <c r="P94" s="5" t="n"/>
      <c r="Q94" s="5" t="n"/>
      <c r="R94" s="3" t="inlineStr">
        <is>
          <t>Baik</t>
        </is>
      </c>
      <c r="S94" s="3" t="inlineStr">
        <is>
          <t>Aktif</t>
        </is>
      </c>
      <c r="T94" s="3" t="n"/>
      <c r="U94" s="3" t="n"/>
      <c r="V94" s="3" t="inlineStr">
        <is>
          <t>ASSET TKIA-24 2025(1).xlsx | ASET TKIA</t>
        </is>
      </c>
    </row>
    <row r="95">
      <c r="A95" s="3" t="n">
        <v>92</v>
      </c>
      <c r="B95" s="3" t="inlineStr">
        <is>
          <t>171 - 02 - 02</t>
        </is>
      </c>
      <c r="C95" s="3" t="inlineStr">
        <is>
          <t>TKIA 24 JATIKRAMAT</t>
        </is>
      </c>
      <c r="D95" s="3" t="inlineStr">
        <is>
          <t>I / TATA USAHA (TU)</t>
        </is>
      </c>
      <c r="E95" s="3" t="inlineStr">
        <is>
          <t>Kipas Angin</t>
        </is>
      </c>
      <c r="F95" s="3" t="inlineStr">
        <is>
          <t>Kipas Angin</t>
        </is>
      </c>
      <c r="G95" s="3" t="inlineStr">
        <is>
          <t>Sekai</t>
        </is>
      </c>
      <c r="H95" s="3" t="n"/>
      <c r="I95" s="3" t="inlineStr">
        <is>
          <t>Ukuran: None; Bahan: Besi; Jumlah: 1 Unit</t>
        </is>
      </c>
      <c r="J95" s="3" t="n"/>
      <c r="K95" s="4" t="n"/>
      <c r="L95" s="3" t="n"/>
      <c r="M95" s="5" t="n"/>
      <c r="N95" s="3" t="inlineStr">
        <is>
          <t>171 - 02 - 02</t>
        </is>
      </c>
      <c r="O95" s="3" t="n">
        <v>4</v>
      </c>
      <c r="P95" s="5" t="n"/>
      <c r="Q95" s="5" t="n"/>
      <c r="R95" s="3" t="inlineStr">
        <is>
          <t>Baik</t>
        </is>
      </c>
      <c r="S95" s="3" t="inlineStr">
        <is>
          <t>Aktif</t>
        </is>
      </c>
      <c r="T95" s="3" t="n"/>
      <c r="U95" s="3" t="n"/>
      <c r="V95" s="3" t="inlineStr">
        <is>
          <t>ASSET TKIA-24 2025(1).xlsx | ASET TKIA</t>
        </is>
      </c>
    </row>
    <row r="96">
      <c r="A96" s="3" t="n">
        <v>93</v>
      </c>
      <c r="B96" s="3" t="inlineStr">
        <is>
          <t>171 - 02 - 02</t>
        </is>
      </c>
      <c r="C96" s="3" t="inlineStr">
        <is>
          <t>TKIA 24 JATIKRAMAT</t>
        </is>
      </c>
      <c r="D96" s="3" t="inlineStr">
        <is>
          <t>I / TATA USAHA (TU)</t>
        </is>
      </c>
      <c r="E96" s="3" t="inlineStr">
        <is>
          <t>Sentral CCTV</t>
        </is>
      </c>
      <c r="F96" s="3" t="inlineStr">
        <is>
          <t>Sentral CCTV</t>
        </is>
      </c>
      <c r="G96" s="3" t="n"/>
      <c r="H96" s="3" t="n"/>
      <c r="I96" s="3" t="inlineStr">
        <is>
          <t>Ukuran: None; Bahan: Besi; Jumlah: 1 Unit</t>
        </is>
      </c>
      <c r="J96" s="3" t="n"/>
      <c r="K96" s="4" t="n"/>
      <c r="L96" s="3" t="n"/>
      <c r="M96" s="5" t="n"/>
      <c r="N96" s="3" t="inlineStr">
        <is>
          <t>171 - 02 - 02</t>
        </is>
      </c>
      <c r="O96" s="3" t="n">
        <v>4</v>
      </c>
      <c r="P96" s="5" t="n"/>
      <c r="Q96" s="5" t="n"/>
      <c r="R96" s="3" t="inlineStr">
        <is>
          <t>Baik</t>
        </is>
      </c>
      <c r="S96" s="3" t="inlineStr">
        <is>
          <t>Aktif</t>
        </is>
      </c>
      <c r="T96" s="3" t="n"/>
      <c r="U96" s="3" t="n"/>
      <c r="V96" s="3" t="inlineStr">
        <is>
          <t>ASSET TKIA-24 2025(1).xlsx | ASET TKIA</t>
        </is>
      </c>
    </row>
    <row r="97">
      <c r="A97" s="3" t="n">
        <v>94</v>
      </c>
      <c r="B97" s="3" t="inlineStr">
        <is>
          <t>171 - 03 - 01 - 24</t>
        </is>
      </c>
      <c r="C97" s="3" t="inlineStr">
        <is>
          <t>TKIA 24 JATIKRAMAT</t>
        </is>
      </c>
      <c r="D97" s="3" t="inlineStr">
        <is>
          <t>I / 2 / KEP.SEKOLAH</t>
        </is>
      </c>
      <c r="E97" s="3" t="inlineStr">
        <is>
          <t>Kulkas 2 Pintu</t>
        </is>
      </c>
      <c r="F97" s="3" t="inlineStr">
        <is>
          <t>Kulkas 2 Pintu</t>
        </is>
      </c>
      <c r="G97" s="3" t="inlineStr">
        <is>
          <t>Politron</t>
        </is>
      </c>
      <c r="H97" s="3" t="n"/>
      <c r="I97" s="3" t="inlineStr">
        <is>
          <t>Ukuran: None; Bahan: Besi; Jumlah: 1 Unit</t>
        </is>
      </c>
      <c r="J97" s="3" t="inlineStr">
        <is>
          <t>NRM21BNR</t>
        </is>
      </c>
      <c r="K97" s="4" t="n"/>
      <c r="L97" s="3" t="n"/>
      <c r="M97" s="5" t="n"/>
      <c r="N97" s="3" t="inlineStr">
        <is>
          <t>171 - 03 - 01 - 24</t>
        </is>
      </c>
      <c r="O97" s="3" t="n">
        <v>4</v>
      </c>
      <c r="P97" s="5" t="n"/>
      <c r="Q97" s="5" t="n"/>
      <c r="R97" s="3" t="inlineStr">
        <is>
          <t>Baik</t>
        </is>
      </c>
      <c r="S97" s="3" t="inlineStr">
        <is>
          <t>Aktif</t>
        </is>
      </c>
      <c r="T97" s="3" t="n"/>
      <c r="U97" s="3" t="n"/>
      <c r="V97" s="3" t="inlineStr">
        <is>
          <t>ASSET TKIA-24 2025(1).xlsx | ASET TKIA</t>
        </is>
      </c>
    </row>
    <row r="98">
      <c r="A98" s="3" t="n">
        <v>95</v>
      </c>
      <c r="B98" s="3" t="inlineStr">
        <is>
          <t>171 - 03 - 01 - 24</t>
        </is>
      </c>
      <c r="C98" s="3" t="inlineStr">
        <is>
          <t>TKIA 24 JATIKRAMAT</t>
        </is>
      </c>
      <c r="D98" s="3" t="inlineStr">
        <is>
          <t>I / 2 / KEP.SEKOLAH</t>
        </is>
      </c>
      <c r="E98" s="3" t="inlineStr">
        <is>
          <t>Main Control CCTV</t>
        </is>
      </c>
      <c r="F98" s="3" t="inlineStr">
        <is>
          <t>Main Control CCTV</t>
        </is>
      </c>
      <c r="G98" s="3" t="inlineStr">
        <is>
          <t>Inside</t>
        </is>
      </c>
      <c r="H98" s="3" t="n"/>
      <c r="I98" s="3" t="inlineStr">
        <is>
          <t>Ukuran: None; Bahan: Alumunium; Jumlah: 1 Unit</t>
        </is>
      </c>
      <c r="J98" s="3" t="n"/>
      <c r="K98" s="4" t="n"/>
      <c r="L98" s="3" t="n"/>
      <c r="M98" s="5" t="n"/>
      <c r="N98" s="3" t="inlineStr">
        <is>
          <t>171 - 03 - 01 - 24</t>
        </is>
      </c>
      <c r="O98" s="3" t="n">
        <v>4</v>
      </c>
      <c r="P98" s="5" t="n"/>
      <c r="Q98" s="5" t="n"/>
      <c r="R98" s="3" t="inlineStr">
        <is>
          <t>Baik</t>
        </is>
      </c>
      <c r="S98" s="3" t="inlineStr">
        <is>
          <t>Aktif</t>
        </is>
      </c>
      <c r="T98" s="3" t="n"/>
      <c r="U98" s="3" t="n"/>
      <c r="V98" s="3" t="inlineStr">
        <is>
          <t>ASSET TKIA-24 2025(1).xlsx | ASET TKIA</t>
        </is>
      </c>
    </row>
    <row r="99">
      <c r="A99" s="3" t="n">
        <v>96</v>
      </c>
      <c r="B99" s="3" t="inlineStr">
        <is>
          <t>171 - 02 - 02</t>
        </is>
      </c>
      <c r="C99" s="3" t="inlineStr">
        <is>
          <t>TKIA 24 JATIKRAMAT</t>
        </is>
      </c>
      <c r="D99" s="3" t="inlineStr">
        <is>
          <t>II / AULA SERBAGUNA</t>
        </is>
      </c>
      <c r="E99" s="3" t="inlineStr">
        <is>
          <t>Kipas Angin</t>
        </is>
      </c>
      <c r="F99" s="3" t="inlineStr">
        <is>
          <t>Kipas Angin</t>
        </is>
      </c>
      <c r="G99" s="3" t="inlineStr">
        <is>
          <t>Sekai</t>
        </is>
      </c>
      <c r="H99" s="3" t="n"/>
      <c r="I99" s="3" t="inlineStr">
        <is>
          <t>Ukuran: None; Bahan: Besi; Jumlah: 1 Unit</t>
        </is>
      </c>
      <c r="J99" s="3" t="inlineStr">
        <is>
          <t>STN1808</t>
        </is>
      </c>
      <c r="K99" s="4" t="n"/>
      <c r="L99" s="3" t="n"/>
      <c r="M99" s="5" t="n"/>
      <c r="N99" s="3" t="inlineStr">
        <is>
          <t>171 - 02 - 02</t>
        </is>
      </c>
      <c r="O99" s="3" t="n">
        <v>4</v>
      </c>
      <c r="P99" s="5" t="n"/>
      <c r="Q99" s="5" t="n"/>
      <c r="R99" s="3" t="inlineStr">
        <is>
          <t>Baik</t>
        </is>
      </c>
      <c r="S99" s="3" t="inlineStr">
        <is>
          <t>Aktif</t>
        </is>
      </c>
      <c r="T99" s="3" t="n"/>
      <c r="U99" s="3" t="n"/>
      <c r="V99" s="3" t="inlineStr">
        <is>
          <t>ASSET TKIA-24 2025(1).xlsx | ASET TKIA</t>
        </is>
      </c>
    </row>
    <row r="100">
      <c r="A100" s="3" t="n">
        <v>97</v>
      </c>
      <c r="B100" s="3" t="inlineStr">
        <is>
          <t>171 - 02 - 02</t>
        </is>
      </c>
      <c r="C100" s="3" t="inlineStr">
        <is>
          <t>TKIA 24 JATIKRAMAT</t>
        </is>
      </c>
      <c r="D100" s="3" t="inlineStr">
        <is>
          <t>II / AULA SERBAGUNA</t>
        </is>
      </c>
      <c r="E100" s="3" t="inlineStr">
        <is>
          <t>Kipas Angin</t>
        </is>
      </c>
      <c r="F100" s="3" t="inlineStr">
        <is>
          <t>Kipas Angin</t>
        </is>
      </c>
      <c r="G100" s="3" t="inlineStr">
        <is>
          <t>Cosmos</t>
        </is>
      </c>
      <c r="H100" s="3" t="n"/>
      <c r="I100" s="3" t="inlineStr">
        <is>
          <t>Ukuran: None; Bahan: Besi; Jumlah: 1 Unit</t>
        </is>
      </c>
      <c r="J100" s="3" t="inlineStr">
        <is>
          <t>YLSN</t>
        </is>
      </c>
      <c r="K100" s="4" t="n"/>
      <c r="L100" s="3" t="n"/>
      <c r="M100" s="5" t="n"/>
      <c r="N100" s="3" t="inlineStr">
        <is>
          <t>171 - 02 - 02</t>
        </is>
      </c>
      <c r="O100" s="3" t="n">
        <v>4</v>
      </c>
      <c r="P100" s="5" t="n"/>
      <c r="Q100" s="5" t="n"/>
      <c r="R100" s="3" t="inlineStr">
        <is>
          <t>Baik</t>
        </is>
      </c>
      <c r="S100" s="3" t="inlineStr">
        <is>
          <t>Aktif</t>
        </is>
      </c>
      <c r="T100" s="3" t="n"/>
      <c r="U100" s="3" t="n"/>
      <c r="V100" s="3" t="inlineStr">
        <is>
          <t>ASSET TKIA-24 2025(1).xlsx | ASET TKIA</t>
        </is>
      </c>
    </row>
    <row r="101">
      <c r="A101" s="3" t="n">
        <v>98</v>
      </c>
      <c r="B101" s="3" t="inlineStr">
        <is>
          <t>171 - 02 - 02</t>
        </is>
      </c>
      <c r="C101" s="3" t="inlineStr">
        <is>
          <t>TKIA 24 JATIKRAMAT</t>
        </is>
      </c>
      <c r="D101" s="3" t="inlineStr">
        <is>
          <t>II / AULA SERBAGUNA</t>
        </is>
      </c>
      <c r="E101" s="3" t="inlineStr">
        <is>
          <t>Kipas Angin</t>
        </is>
      </c>
      <c r="F101" s="3" t="inlineStr">
        <is>
          <t>Kipas Angin</t>
        </is>
      </c>
      <c r="G101" s="3" t="inlineStr">
        <is>
          <t>Kris</t>
        </is>
      </c>
      <c r="H101" s="3" t="n"/>
      <c r="I101" s="3" t="inlineStr">
        <is>
          <t>Ukuran: None; Bahan: Besi; Jumlah: 1 Unit</t>
        </is>
      </c>
      <c r="J101" s="3" t="n">
        <v>15635</v>
      </c>
      <c r="K101" s="4" t="n"/>
      <c r="L101" s="3" t="n"/>
      <c r="M101" s="5" t="n"/>
      <c r="N101" s="3" t="inlineStr">
        <is>
          <t>171 - 02 - 02</t>
        </is>
      </c>
      <c r="O101" s="3" t="n">
        <v>4</v>
      </c>
      <c r="P101" s="5" t="n"/>
      <c r="Q101" s="5" t="n"/>
      <c r="R101" s="3" t="inlineStr">
        <is>
          <t>Baik</t>
        </is>
      </c>
      <c r="S101" s="3" t="inlineStr">
        <is>
          <t>Aktif</t>
        </is>
      </c>
      <c r="T101" s="3" t="n"/>
      <c r="U101" s="3" t="n"/>
      <c r="V101" s="3" t="inlineStr">
        <is>
          <t>ASSET TKIA-24 2025(1).xlsx | ASET TKIA</t>
        </is>
      </c>
    </row>
    <row r="102">
      <c r="A102" s="3" t="n">
        <v>99</v>
      </c>
      <c r="B102" s="3" t="inlineStr">
        <is>
          <t>171 - 02 - 02</t>
        </is>
      </c>
      <c r="C102" s="3" t="inlineStr">
        <is>
          <t>TKIA 24 JATIKRAMAT</t>
        </is>
      </c>
      <c r="D102" s="3" t="inlineStr">
        <is>
          <t>I / KOMPUTER</t>
        </is>
      </c>
      <c r="E102" s="3" t="inlineStr">
        <is>
          <t>Kipas</t>
        </is>
      </c>
      <c r="F102" s="3" t="inlineStr">
        <is>
          <t>Kipas</t>
        </is>
      </c>
      <c r="G102" s="3" t="inlineStr">
        <is>
          <t>CMC</t>
        </is>
      </c>
      <c r="H102" s="3" t="n"/>
      <c r="I102" s="3" t="inlineStr">
        <is>
          <t>Ukuran: None; Bahan: Besi; Jumlah: 1 Unit</t>
        </is>
      </c>
      <c r="J102" s="3" t="n"/>
      <c r="K102" s="4" t="n"/>
      <c r="L102" s="3" t="n"/>
      <c r="M102" s="5" t="n"/>
      <c r="N102" s="3" t="inlineStr">
        <is>
          <t>171 - 02 - 02</t>
        </is>
      </c>
      <c r="O102" s="3" t="n">
        <v>4</v>
      </c>
      <c r="P102" s="5" t="n"/>
      <c r="Q102" s="5" t="n"/>
      <c r="R102" s="3" t="inlineStr">
        <is>
          <t>Baik</t>
        </is>
      </c>
      <c r="S102" s="3" t="inlineStr">
        <is>
          <t>Aktif</t>
        </is>
      </c>
      <c r="T102" s="3" t="n"/>
      <c r="U102" s="3" t="n"/>
      <c r="V102" s="3" t="inlineStr">
        <is>
          <t>ASSET TKIA-24 2025(1).xlsx | ASET TKIA</t>
        </is>
      </c>
    </row>
    <row r="103">
      <c r="A103" s="3" t="n">
        <v>100</v>
      </c>
      <c r="B103" s="3" t="inlineStr">
        <is>
          <t>171 - 02 - 02</t>
        </is>
      </c>
      <c r="C103" s="3" t="inlineStr">
        <is>
          <t>TKIA 24 JATIKRAMAT</t>
        </is>
      </c>
      <c r="D103" s="3" t="inlineStr">
        <is>
          <t>I / KOMPUTER</t>
        </is>
      </c>
      <c r="E103" s="3" t="inlineStr">
        <is>
          <t>MIC WAIRLES</t>
        </is>
      </c>
      <c r="F103" s="3" t="inlineStr">
        <is>
          <t>MIC WAIRLES</t>
        </is>
      </c>
      <c r="G103" s="3" t="inlineStr">
        <is>
          <t>SHR</t>
        </is>
      </c>
      <c r="H103" s="3" t="n"/>
      <c r="I103" s="3" t="inlineStr">
        <is>
          <t>Ukuran: None; Bahan: Campur; Jumlah: 1 Unit</t>
        </is>
      </c>
      <c r="J103" s="3" t="inlineStr">
        <is>
          <t>SXL4</t>
        </is>
      </c>
      <c r="K103" s="4" t="n"/>
      <c r="L103" s="3" t="n"/>
      <c r="M103" s="5" t="n"/>
      <c r="N103" s="3" t="inlineStr">
        <is>
          <t>171 - 02 - 02</t>
        </is>
      </c>
      <c r="O103" s="3" t="n">
        <v>4</v>
      </c>
      <c r="P103" s="5" t="n"/>
      <c r="Q103" s="5" t="n"/>
      <c r="R103" s="3" t="inlineStr">
        <is>
          <t>Baik</t>
        </is>
      </c>
      <c r="S103" s="3" t="inlineStr">
        <is>
          <t>Aktif</t>
        </is>
      </c>
      <c r="T103" s="3" t="n"/>
      <c r="U103" s="3" t="n"/>
      <c r="V103" s="3" t="inlineStr">
        <is>
          <t>ASSET TKIA-24 2025(1).xlsx | ASET TKIA</t>
        </is>
      </c>
    </row>
    <row r="104">
      <c r="A104" s="3" t="n">
        <v>101</v>
      </c>
      <c r="B104" s="3" t="inlineStr">
        <is>
          <t>171 - 02 - 02</t>
        </is>
      </c>
      <c r="C104" s="3" t="inlineStr">
        <is>
          <t>TKIA 24 JATIKRAMAT</t>
        </is>
      </c>
      <c r="D104" s="3" t="inlineStr">
        <is>
          <t>I / KOMPUTER</t>
        </is>
      </c>
      <c r="E104" s="3" t="inlineStr">
        <is>
          <t>Sensor CCTV</t>
        </is>
      </c>
      <c r="F104" s="3" t="inlineStr">
        <is>
          <t>Sensor CCTV</t>
        </is>
      </c>
      <c r="G104" s="3" t="n"/>
      <c r="H104" s="3" t="n"/>
      <c r="I104" s="3" t="inlineStr">
        <is>
          <t>Ukuran: None; Bahan: Plastik; Jumlah: 1 Unit</t>
        </is>
      </c>
      <c r="J104" s="3" t="n"/>
      <c r="K104" s="4" t="n"/>
      <c r="L104" s="3" t="n"/>
      <c r="M104" s="5" t="n"/>
      <c r="N104" s="3" t="inlineStr">
        <is>
          <t>171 - 02 - 02</t>
        </is>
      </c>
      <c r="O104" s="3" t="n">
        <v>4</v>
      </c>
      <c r="P104" s="5" t="n"/>
      <c r="Q104" s="5" t="n"/>
      <c r="R104" s="3" t="inlineStr">
        <is>
          <t>Baik</t>
        </is>
      </c>
      <c r="S104" s="3" t="inlineStr">
        <is>
          <t>Aktif</t>
        </is>
      </c>
      <c r="T104" s="3" t="n"/>
      <c r="U104" s="3" t="n"/>
      <c r="V104" s="3" t="inlineStr">
        <is>
          <t>ASSET TKIA-24 2025(1).xlsx | ASET TKIA</t>
        </is>
      </c>
    </row>
    <row r="105">
      <c r="A105" s="3" t="n">
        <v>102</v>
      </c>
      <c r="B105" s="3" t="inlineStr">
        <is>
          <t>171 - 02 - 02</t>
        </is>
      </c>
      <c r="C105" s="3" t="inlineStr">
        <is>
          <t>TKIA 24 JATIKRAMAT</t>
        </is>
      </c>
      <c r="D105" s="3" t="inlineStr">
        <is>
          <t>II / UKS ( UNIT KESEHATAN SEKOLAH ) Belakang</t>
        </is>
      </c>
      <c r="E105" s="3" t="inlineStr">
        <is>
          <t>Kipas Angin</t>
        </is>
      </c>
      <c r="F105" s="3" t="inlineStr">
        <is>
          <t>Kipas Angin</t>
        </is>
      </c>
      <c r="G105" s="3" t="n"/>
      <c r="H105" s="3" t="n"/>
      <c r="I105" s="3" t="inlineStr">
        <is>
          <t>Ukuran: 16 "; Bahan: Plastik; Jumlah: 1 Unit</t>
        </is>
      </c>
      <c r="J105" s="3" t="n"/>
      <c r="K105" s="4" t="n"/>
      <c r="L105" s="3" t="n"/>
      <c r="M105" s="5" t="n"/>
      <c r="N105" s="3" t="inlineStr">
        <is>
          <t>171 - 02 - 02</t>
        </is>
      </c>
      <c r="O105" s="3" t="n">
        <v>4</v>
      </c>
      <c r="P105" s="5" t="n"/>
      <c r="Q105" s="5" t="n"/>
      <c r="R105" s="3" t="inlineStr">
        <is>
          <t>Baik</t>
        </is>
      </c>
      <c r="S105" s="3" t="inlineStr">
        <is>
          <t>Aktif</t>
        </is>
      </c>
      <c r="T105" s="3" t="n"/>
      <c r="U105" s="3" t="n"/>
      <c r="V105" s="3" t="inlineStr">
        <is>
          <t>ASSET TKIA-24 2025(1).xlsx | ASET TKIA</t>
        </is>
      </c>
    </row>
    <row r="106">
      <c r="A106" s="3" t="n">
        <v>103</v>
      </c>
      <c r="B106" s="3" t="inlineStr">
        <is>
          <t>171 - 03 - 01 - 24</t>
        </is>
      </c>
      <c r="C106" s="3" t="inlineStr">
        <is>
          <t>TKIA 24 JATIKRAMAT</t>
        </is>
      </c>
      <c r="D106" s="3" t="inlineStr">
        <is>
          <t>I / 1 / RUANG TUNGGU</t>
        </is>
      </c>
      <c r="E106" s="3" t="inlineStr">
        <is>
          <t>Kipas Angin</t>
        </is>
      </c>
      <c r="F106" s="3" t="inlineStr">
        <is>
          <t>Kipas Angin</t>
        </is>
      </c>
      <c r="G106" s="3" t="n"/>
      <c r="H106" s="3" t="n"/>
      <c r="I106" s="3" t="inlineStr">
        <is>
          <t>Ukuran: 16 "; Bahan: Campur; Jumlah: 5 Unit</t>
        </is>
      </c>
      <c r="J106" s="3" t="n"/>
      <c r="K106" s="4" t="n"/>
      <c r="L106" s="3" t="n"/>
      <c r="M106" s="5" t="n"/>
      <c r="N106" s="3" t="inlineStr">
        <is>
          <t>171 - 03 - 01 - 24</t>
        </is>
      </c>
      <c r="O106" s="3" t="n">
        <v>4</v>
      </c>
      <c r="P106" s="5" t="n"/>
      <c r="Q106" s="5" t="n"/>
      <c r="R106" s="3" t="n"/>
      <c r="S106" s="3" t="inlineStr">
        <is>
          <t>Aktif</t>
        </is>
      </c>
      <c r="T106" s="3" t="n"/>
      <c r="U106" s="3" t="n"/>
      <c r="V106" s="3" t="inlineStr">
        <is>
          <t>ASSET TKIA-24 2025(1).xlsx | ASET TKIA</t>
        </is>
      </c>
    </row>
  </sheetData>
  <autoFilter ref="A3:V106"/>
  <mergeCells count="1">
    <mergeCell ref="A1:V1"/>
  </mergeCells>
  <dataValidations count="2">
    <dataValidation sqref="R4:R2000" showDropDown="0" showInputMessage="0" showErrorMessage="0" allowBlank="1" type="list">
      <formula1>"Baik,Kurang Baik,Rusak Ringan,Rusak Berat,Dalam Perbaikan,Hilang"</formula1>
    </dataValidation>
    <dataValidation sqref="S4:S2000" showDropDown="0" showInputMessage="0" showErrorMessage="0" allowBlank="1" type="list">
      <formula1>"Aktif,Tidak Aktif,Dipindahkan,Dihapuskan,Dijual"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6" t="inlineStr">
        <is>
          <t>Dashboard Elektronik</t>
        </is>
      </c>
    </row>
    <row r="2"/>
    <row r="3">
      <c r="A3" s="7" t="inlineStr">
        <is>
          <t>Total Baris Data</t>
        </is>
      </c>
      <c r="B3" s="7" t="n">
        <v>103</v>
      </c>
    </row>
    <row r="4">
      <c r="A4" s="7" t="inlineStr">
        <is>
          <t>Total Harga Perolehan</t>
        </is>
      </c>
      <c r="B4" s="8">
        <f>SUM('Data Aset'!M4:M106)</f>
        <v/>
      </c>
    </row>
    <row r="5">
      <c r="A5" s="9" t="n"/>
      <c r="B5" s="9" t="n"/>
    </row>
    <row r="6">
      <c r="A6" s="7" t="inlineStr">
        <is>
          <t>Kategori</t>
        </is>
      </c>
      <c r="B6" s="7" t="inlineStr">
        <is>
          <t>Jumlah</t>
        </is>
      </c>
    </row>
    <row r="7">
      <c r="A7" s="9" t="inlineStr">
        <is>
          <t>Elektronik</t>
        </is>
      </c>
      <c r="B7" s="9" t="n">
        <v>103</v>
      </c>
    </row>
    <row r="8"/>
    <row r="9"/>
    <row r="10"/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0" t="inlineStr">
        <is>
          <t>No</t>
        </is>
      </c>
      <c r="B1" s="10" t="inlineStr">
        <is>
          <t>Periode Penyusutan</t>
        </is>
      </c>
      <c r="C1" s="10" t="inlineStr">
        <is>
          <t>Kode Aset</t>
        </is>
      </c>
      <c r="D1" s="10" t="inlineStr">
        <is>
          <t>Nama Aset</t>
        </is>
      </c>
      <c r="E1" s="10" t="inlineStr">
        <is>
          <t>Kategori Aset</t>
        </is>
      </c>
      <c r="F1" s="10" t="inlineStr">
        <is>
          <t>Unit</t>
        </is>
      </c>
      <c r="G1" s="10" t="inlineStr">
        <is>
          <t>Tanggal/Tahun Perolehan</t>
        </is>
      </c>
      <c r="H1" s="10" t="inlineStr">
        <is>
          <t>Harga Perolehan</t>
        </is>
      </c>
      <c r="I1" s="10" t="inlineStr">
        <is>
          <t>Umur Manfaat</t>
        </is>
      </c>
      <c r="J1" s="10" t="inlineStr">
        <is>
          <t>Nilai Residu</t>
        </is>
      </c>
      <c r="K1" s="10" t="inlineStr">
        <is>
          <t>Metode Penyusutan</t>
        </is>
      </c>
      <c r="L1" s="10" t="inlineStr">
        <is>
          <t>Beban Penyusutan Bulanan</t>
        </is>
      </c>
      <c r="M1" s="10" t="inlineStr">
        <is>
          <t>Beban Penyusutan Tahunan</t>
        </is>
      </c>
      <c r="N1" s="10" t="inlineStr">
        <is>
          <t>Akumulasi Penyusutan</t>
        </is>
      </c>
      <c r="O1" s="10" t="inlineStr">
        <is>
          <t>Nilai Buku</t>
        </is>
      </c>
      <c r="P1" s="10" t="inlineStr">
        <is>
          <t>Status Penyusutan</t>
        </is>
      </c>
      <c r="Q1" s="10" t="inlineStr">
        <is>
          <t>Keterangan</t>
        </is>
      </c>
    </row>
    <row r="2">
      <c r="A2" s="3" t="n">
        <v>1</v>
      </c>
      <c r="B2" s="3" t="inlineStr">
        <is>
          <t>Desember 2025</t>
        </is>
      </c>
      <c r="C2" s="3">
        <f>'Data Aset'!B4</f>
        <v/>
      </c>
      <c r="D2" s="3">
        <f>'Data Aset'!F4</f>
        <v/>
      </c>
      <c r="E2" s="3" t="inlineStr">
        <is>
          <t>Elektronik</t>
        </is>
      </c>
      <c r="F2" s="3">
        <f>'Data Aset'!C4</f>
        <v/>
      </c>
      <c r="G2" s="3">
        <f>'Data Aset'!K4</f>
        <v/>
      </c>
      <c r="H2" s="5">
        <f>'Data Aset'!M4</f>
        <v/>
      </c>
      <c r="I2" s="3">
        <f>'Data Aset'!O4</f>
        <v/>
      </c>
      <c r="J2" s="5" t="n">
        <v>0</v>
      </c>
      <c r="K2" s="3" t="inlineStr">
        <is>
          <t>Garis Lurus</t>
        </is>
      </c>
      <c r="L2" s="5">
        <f>IFERROR(M2/12,"")</f>
        <v/>
      </c>
      <c r="M2" s="5">
        <f>IFERROR((H2-J2)/I2,"")</f>
        <v/>
      </c>
      <c r="N2" s="5">
        <f>IFERROR(M2,"")</f>
        <v/>
      </c>
      <c r="O2" s="5">
        <f>IFERROR(H2-N2,"")</f>
        <v/>
      </c>
      <c r="P2" s="3" t="inlineStr">
        <is>
          <t>Belum dihitung</t>
        </is>
      </c>
      <c r="Q2" s="3" t="n"/>
    </row>
    <row r="3">
      <c r="A3" s="3" t="n">
        <v>2</v>
      </c>
      <c r="B3" s="3" t="inlineStr">
        <is>
          <t>Desember 2025</t>
        </is>
      </c>
      <c r="C3" s="3">
        <f>'Data Aset'!B5</f>
        <v/>
      </c>
      <c r="D3" s="3">
        <f>'Data Aset'!F5</f>
        <v/>
      </c>
      <c r="E3" s="3" t="inlineStr">
        <is>
          <t>Elektronik</t>
        </is>
      </c>
      <c r="F3" s="3">
        <f>'Data Aset'!C5</f>
        <v/>
      </c>
      <c r="G3" s="3">
        <f>'Data Aset'!K5</f>
        <v/>
      </c>
      <c r="H3" s="5">
        <f>'Data Aset'!M5</f>
        <v/>
      </c>
      <c r="I3" s="3">
        <f>'Data Aset'!O5</f>
        <v/>
      </c>
      <c r="J3" s="5" t="n">
        <v>0</v>
      </c>
      <c r="K3" s="3" t="inlineStr">
        <is>
          <t>Garis Lurus</t>
        </is>
      </c>
      <c r="L3" s="5">
        <f>IFERROR(M3/12,"")</f>
        <v/>
      </c>
      <c r="M3" s="5">
        <f>IFERROR((H3-J3)/I3,"")</f>
        <v/>
      </c>
      <c r="N3" s="5">
        <f>IFERROR(M3,"")</f>
        <v/>
      </c>
      <c r="O3" s="5">
        <f>IFERROR(H3-N3,"")</f>
        <v/>
      </c>
      <c r="P3" s="3" t="inlineStr">
        <is>
          <t>Belum dihitung</t>
        </is>
      </c>
      <c r="Q3" s="3" t="n"/>
    </row>
    <row r="4">
      <c r="A4" s="3" t="n">
        <v>3</v>
      </c>
      <c r="B4" s="3" t="inlineStr">
        <is>
          <t>Desember 2025</t>
        </is>
      </c>
      <c r="C4" s="3">
        <f>'Data Aset'!B6</f>
        <v/>
      </c>
      <c r="D4" s="3">
        <f>'Data Aset'!F6</f>
        <v/>
      </c>
      <c r="E4" s="3" t="inlineStr">
        <is>
          <t>Elektronik</t>
        </is>
      </c>
      <c r="F4" s="3">
        <f>'Data Aset'!C6</f>
        <v/>
      </c>
      <c r="G4" s="3">
        <f>'Data Aset'!K6</f>
        <v/>
      </c>
      <c r="H4" s="5">
        <f>'Data Aset'!M6</f>
        <v/>
      </c>
      <c r="I4" s="3">
        <f>'Data Aset'!O6</f>
        <v/>
      </c>
      <c r="J4" s="5" t="n">
        <v>0</v>
      </c>
      <c r="K4" s="3" t="inlineStr">
        <is>
          <t>Garis Lurus</t>
        </is>
      </c>
      <c r="L4" s="5">
        <f>IFERROR(M4/12,"")</f>
        <v/>
      </c>
      <c r="M4" s="5">
        <f>IFERROR((H4-J4)/I4,"")</f>
        <v/>
      </c>
      <c r="N4" s="5">
        <f>IFERROR(M4,"")</f>
        <v/>
      </c>
      <c r="O4" s="5">
        <f>IFERROR(H4-N4,"")</f>
        <v/>
      </c>
      <c r="P4" s="3" t="inlineStr">
        <is>
          <t>Belum dihitung</t>
        </is>
      </c>
      <c r="Q4" s="3" t="n"/>
    </row>
    <row r="5">
      <c r="A5" s="3" t="n">
        <v>4</v>
      </c>
      <c r="B5" s="3" t="inlineStr">
        <is>
          <t>Desember 2025</t>
        </is>
      </c>
      <c r="C5" s="3">
        <f>'Data Aset'!B7</f>
        <v/>
      </c>
      <c r="D5" s="3">
        <f>'Data Aset'!F7</f>
        <v/>
      </c>
      <c r="E5" s="3" t="inlineStr">
        <is>
          <t>Elektronik</t>
        </is>
      </c>
      <c r="F5" s="3">
        <f>'Data Aset'!C7</f>
        <v/>
      </c>
      <c r="G5" s="3">
        <f>'Data Aset'!K7</f>
        <v/>
      </c>
      <c r="H5" s="5">
        <f>'Data Aset'!M7</f>
        <v/>
      </c>
      <c r="I5" s="3">
        <f>'Data Aset'!O7</f>
        <v/>
      </c>
      <c r="J5" s="5" t="n">
        <v>0</v>
      </c>
      <c r="K5" s="3" t="inlineStr">
        <is>
          <t>Garis Lurus</t>
        </is>
      </c>
      <c r="L5" s="5">
        <f>IFERROR(M5/12,"")</f>
        <v/>
      </c>
      <c r="M5" s="5">
        <f>IFERROR((H5-J5)/I5,"")</f>
        <v/>
      </c>
      <c r="N5" s="5">
        <f>IFERROR(M5,"")</f>
        <v/>
      </c>
      <c r="O5" s="5">
        <f>IFERROR(H5-N5,"")</f>
        <v/>
      </c>
      <c r="P5" s="3" t="inlineStr">
        <is>
          <t>Belum dihitung</t>
        </is>
      </c>
      <c r="Q5" s="3" t="n"/>
    </row>
    <row r="6">
      <c r="A6" s="3" t="n">
        <v>5</v>
      </c>
      <c r="B6" s="3" t="inlineStr">
        <is>
          <t>Desember 2025</t>
        </is>
      </c>
      <c r="C6" s="3">
        <f>'Data Aset'!B8</f>
        <v/>
      </c>
      <c r="D6" s="3">
        <f>'Data Aset'!F8</f>
        <v/>
      </c>
      <c r="E6" s="3" t="inlineStr">
        <is>
          <t>Elektronik</t>
        </is>
      </c>
      <c r="F6" s="3">
        <f>'Data Aset'!C8</f>
        <v/>
      </c>
      <c r="G6" s="3">
        <f>'Data Aset'!K8</f>
        <v/>
      </c>
      <c r="H6" s="5">
        <f>'Data Aset'!M8</f>
        <v/>
      </c>
      <c r="I6" s="3">
        <f>'Data Aset'!O8</f>
        <v/>
      </c>
      <c r="J6" s="5" t="n">
        <v>0</v>
      </c>
      <c r="K6" s="3" t="inlineStr">
        <is>
          <t>Garis Lurus</t>
        </is>
      </c>
      <c r="L6" s="5">
        <f>IFERROR(M6/12,"")</f>
        <v/>
      </c>
      <c r="M6" s="5">
        <f>IFERROR((H6-J6)/I6,"")</f>
        <v/>
      </c>
      <c r="N6" s="5">
        <f>IFERROR(M6,"")</f>
        <v/>
      </c>
      <c r="O6" s="5">
        <f>IFERROR(H6-N6,"")</f>
        <v/>
      </c>
      <c r="P6" s="3" t="inlineStr">
        <is>
          <t>Belum dihitung</t>
        </is>
      </c>
      <c r="Q6" s="3" t="n"/>
    </row>
    <row r="7">
      <c r="A7" s="3" t="n">
        <v>6</v>
      </c>
      <c r="B7" s="3" t="inlineStr">
        <is>
          <t>Desember 2025</t>
        </is>
      </c>
      <c r="C7" s="3">
        <f>'Data Aset'!B9</f>
        <v/>
      </c>
      <c r="D7" s="3">
        <f>'Data Aset'!F9</f>
        <v/>
      </c>
      <c r="E7" s="3" t="inlineStr">
        <is>
          <t>Elektronik</t>
        </is>
      </c>
      <c r="F7" s="3">
        <f>'Data Aset'!C9</f>
        <v/>
      </c>
      <c r="G7" s="3">
        <f>'Data Aset'!K9</f>
        <v/>
      </c>
      <c r="H7" s="5">
        <f>'Data Aset'!M9</f>
        <v/>
      </c>
      <c r="I7" s="3">
        <f>'Data Aset'!O9</f>
        <v/>
      </c>
      <c r="J7" s="5" t="n">
        <v>0</v>
      </c>
      <c r="K7" s="3" t="inlineStr">
        <is>
          <t>Garis Lurus</t>
        </is>
      </c>
      <c r="L7" s="5">
        <f>IFERROR(M7/12,"")</f>
        <v/>
      </c>
      <c r="M7" s="5">
        <f>IFERROR((H7-J7)/I7,"")</f>
        <v/>
      </c>
      <c r="N7" s="5">
        <f>IFERROR(M7,"")</f>
        <v/>
      </c>
      <c r="O7" s="5">
        <f>IFERROR(H7-N7,"")</f>
        <v/>
      </c>
      <c r="P7" s="3" t="inlineStr">
        <is>
          <t>Belum dihitung</t>
        </is>
      </c>
      <c r="Q7" s="3" t="n"/>
    </row>
    <row r="8">
      <c r="A8" s="3" t="n">
        <v>7</v>
      </c>
      <c r="B8" s="3" t="inlineStr">
        <is>
          <t>Desember 2025</t>
        </is>
      </c>
      <c r="C8" s="3">
        <f>'Data Aset'!B10</f>
        <v/>
      </c>
      <c r="D8" s="3">
        <f>'Data Aset'!F10</f>
        <v/>
      </c>
      <c r="E8" s="3" t="inlineStr">
        <is>
          <t>Elektronik</t>
        </is>
      </c>
      <c r="F8" s="3">
        <f>'Data Aset'!C10</f>
        <v/>
      </c>
      <c r="G8" s="3">
        <f>'Data Aset'!K10</f>
        <v/>
      </c>
      <c r="H8" s="5">
        <f>'Data Aset'!M10</f>
        <v/>
      </c>
      <c r="I8" s="3">
        <f>'Data Aset'!O10</f>
        <v/>
      </c>
      <c r="J8" s="5" t="n">
        <v>0</v>
      </c>
      <c r="K8" s="3" t="inlineStr">
        <is>
          <t>Garis Lurus</t>
        </is>
      </c>
      <c r="L8" s="5">
        <f>IFERROR(M8/12,"")</f>
        <v/>
      </c>
      <c r="M8" s="5">
        <f>IFERROR((H8-J8)/I8,"")</f>
        <v/>
      </c>
      <c r="N8" s="5">
        <f>IFERROR(M8,"")</f>
        <v/>
      </c>
      <c r="O8" s="5">
        <f>IFERROR(H8-N8,"")</f>
        <v/>
      </c>
      <c r="P8" s="3" t="inlineStr">
        <is>
          <t>Belum dihitung</t>
        </is>
      </c>
      <c r="Q8" s="3" t="n"/>
    </row>
    <row r="9">
      <c r="A9" s="3" t="n">
        <v>8</v>
      </c>
      <c r="B9" s="3" t="inlineStr">
        <is>
          <t>Desember 2025</t>
        </is>
      </c>
      <c r="C9" s="3">
        <f>'Data Aset'!B11</f>
        <v/>
      </c>
      <c r="D9" s="3">
        <f>'Data Aset'!F11</f>
        <v/>
      </c>
      <c r="E9" s="3" t="inlineStr">
        <is>
          <t>Elektronik</t>
        </is>
      </c>
      <c r="F9" s="3">
        <f>'Data Aset'!C11</f>
        <v/>
      </c>
      <c r="G9" s="3">
        <f>'Data Aset'!K11</f>
        <v/>
      </c>
      <c r="H9" s="5">
        <f>'Data Aset'!M11</f>
        <v/>
      </c>
      <c r="I9" s="3">
        <f>'Data Aset'!O11</f>
        <v/>
      </c>
      <c r="J9" s="5" t="n">
        <v>0</v>
      </c>
      <c r="K9" s="3" t="inlineStr">
        <is>
          <t>Garis Lurus</t>
        </is>
      </c>
      <c r="L9" s="5">
        <f>IFERROR(M9/12,"")</f>
        <v/>
      </c>
      <c r="M9" s="5">
        <f>IFERROR((H9-J9)/I9,"")</f>
        <v/>
      </c>
      <c r="N9" s="5">
        <f>IFERROR(M9,"")</f>
        <v/>
      </c>
      <c r="O9" s="5">
        <f>IFERROR(H9-N9,"")</f>
        <v/>
      </c>
      <c r="P9" s="3" t="inlineStr">
        <is>
          <t>Belum dihitung</t>
        </is>
      </c>
      <c r="Q9" s="3" t="n"/>
    </row>
    <row r="10">
      <c r="A10" s="3" t="n">
        <v>9</v>
      </c>
      <c r="B10" s="3" t="inlineStr">
        <is>
          <t>Desember 2025</t>
        </is>
      </c>
      <c r="C10" s="3">
        <f>'Data Aset'!B12</f>
        <v/>
      </c>
      <c r="D10" s="3">
        <f>'Data Aset'!F12</f>
        <v/>
      </c>
      <c r="E10" s="3" t="inlineStr">
        <is>
          <t>Elektronik</t>
        </is>
      </c>
      <c r="F10" s="3">
        <f>'Data Aset'!C12</f>
        <v/>
      </c>
      <c r="G10" s="3">
        <f>'Data Aset'!K12</f>
        <v/>
      </c>
      <c r="H10" s="5">
        <f>'Data Aset'!M12</f>
        <v/>
      </c>
      <c r="I10" s="3">
        <f>'Data Aset'!O12</f>
        <v/>
      </c>
      <c r="J10" s="5" t="n">
        <v>0</v>
      </c>
      <c r="K10" s="3" t="inlineStr">
        <is>
          <t>Garis Lurus</t>
        </is>
      </c>
      <c r="L10" s="5">
        <f>IFERROR(M10/12,"")</f>
        <v/>
      </c>
      <c r="M10" s="5">
        <f>IFERROR((H10-J10)/I10,"")</f>
        <v/>
      </c>
      <c r="N10" s="5">
        <f>IFERROR(M10,"")</f>
        <v/>
      </c>
      <c r="O10" s="5">
        <f>IFERROR(H10-N10,"")</f>
        <v/>
      </c>
      <c r="P10" s="3" t="inlineStr">
        <is>
          <t>Belum dihitung</t>
        </is>
      </c>
      <c r="Q10" s="3" t="n"/>
    </row>
    <row r="11">
      <c r="A11" s="3" t="n">
        <v>10</v>
      </c>
      <c r="B11" s="3" t="inlineStr">
        <is>
          <t>Desember 2025</t>
        </is>
      </c>
      <c r="C11" s="3">
        <f>'Data Aset'!B13</f>
        <v/>
      </c>
      <c r="D11" s="3">
        <f>'Data Aset'!F13</f>
        <v/>
      </c>
      <c r="E11" s="3" t="inlineStr">
        <is>
          <t>Elektronik</t>
        </is>
      </c>
      <c r="F11" s="3">
        <f>'Data Aset'!C13</f>
        <v/>
      </c>
      <c r="G11" s="3">
        <f>'Data Aset'!K13</f>
        <v/>
      </c>
      <c r="H11" s="5">
        <f>'Data Aset'!M13</f>
        <v/>
      </c>
      <c r="I11" s="3">
        <f>'Data Aset'!O13</f>
        <v/>
      </c>
      <c r="J11" s="5" t="n">
        <v>0</v>
      </c>
      <c r="K11" s="3" t="inlineStr">
        <is>
          <t>Garis Lurus</t>
        </is>
      </c>
      <c r="L11" s="5">
        <f>IFERROR(M11/12,"")</f>
        <v/>
      </c>
      <c r="M11" s="5">
        <f>IFERROR((H11-J11)/I11,"")</f>
        <v/>
      </c>
      <c r="N11" s="5">
        <f>IFERROR(M11,"")</f>
        <v/>
      </c>
      <c r="O11" s="5">
        <f>IFERROR(H11-N11,"")</f>
        <v/>
      </c>
      <c r="P11" s="3" t="inlineStr">
        <is>
          <t>Belum dihitung</t>
        </is>
      </c>
      <c r="Q11" s="3" t="n"/>
    </row>
    <row r="12">
      <c r="A12" s="3" t="n">
        <v>11</v>
      </c>
      <c r="B12" s="3" t="inlineStr">
        <is>
          <t>Desember 2025</t>
        </is>
      </c>
      <c r="C12" s="3">
        <f>'Data Aset'!B14</f>
        <v/>
      </c>
      <c r="D12" s="3">
        <f>'Data Aset'!F14</f>
        <v/>
      </c>
      <c r="E12" s="3" t="inlineStr">
        <is>
          <t>Elektronik</t>
        </is>
      </c>
      <c r="F12" s="3">
        <f>'Data Aset'!C14</f>
        <v/>
      </c>
      <c r="G12" s="3">
        <f>'Data Aset'!K14</f>
        <v/>
      </c>
      <c r="H12" s="5">
        <f>'Data Aset'!M14</f>
        <v/>
      </c>
      <c r="I12" s="3">
        <f>'Data Aset'!O14</f>
        <v/>
      </c>
      <c r="J12" s="5" t="n">
        <v>0</v>
      </c>
      <c r="K12" s="3" t="inlineStr">
        <is>
          <t>Garis Lurus</t>
        </is>
      </c>
      <c r="L12" s="5">
        <f>IFERROR(M12/12,"")</f>
        <v/>
      </c>
      <c r="M12" s="5">
        <f>IFERROR((H12-J12)/I12,"")</f>
        <v/>
      </c>
      <c r="N12" s="5">
        <f>IFERROR(M12,"")</f>
        <v/>
      </c>
      <c r="O12" s="5">
        <f>IFERROR(H12-N12,"")</f>
        <v/>
      </c>
      <c r="P12" s="3" t="inlineStr">
        <is>
          <t>Belum dihitung</t>
        </is>
      </c>
      <c r="Q12" s="3" t="n"/>
    </row>
    <row r="13">
      <c r="A13" s="3" t="n">
        <v>12</v>
      </c>
      <c r="B13" s="3" t="inlineStr">
        <is>
          <t>Desember 2025</t>
        </is>
      </c>
      <c r="C13" s="3">
        <f>'Data Aset'!B15</f>
        <v/>
      </c>
      <c r="D13" s="3">
        <f>'Data Aset'!F15</f>
        <v/>
      </c>
      <c r="E13" s="3" t="inlineStr">
        <is>
          <t>Elektronik</t>
        </is>
      </c>
      <c r="F13" s="3">
        <f>'Data Aset'!C15</f>
        <v/>
      </c>
      <c r="G13" s="3">
        <f>'Data Aset'!K15</f>
        <v/>
      </c>
      <c r="H13" s="5">
        <f>'Data Aset'!M15</f>
        <v/>
      </c>
      <c r="I13" s="3">
        <f>'Data Aset'!O15</f>
        <v/>
      </c>
      <c r="J13" s="5" t="n">
        <v>0</v>
      </c>
      <c r="K13" s="3" t="inlineStr">
        <is>
          <t>Garis Lurus</t>
        </is>
      </c>
      <c r="L13" s="5">
        <f>IFERROR(M13/12,"")</f>
        <v/>
      </c>
      <c r="M13" s="5">
        <f>IFERROR((H13-J13)/I13,"")</f>
        <v/>
      </c>
      <c r="N13" s="5">
        <f>IFERROR(M13,"")</f>
        <v/>
      </c>
      <c r="O13" s="5">
        <f>IFERROR(H13-N13,"")</f>
        <v/>
      </c>
      <c r="P13" s="3" t="inlineStr">
        <is>
          <t>Belum dihitung</t>
        </is>
      </c>
      <c r="Q13" s="3" t="n"/>
    </row>
    <row r="14">
      <c r="A14" s="3" t="n">
        <v>13</v>
      </c>
      <c r="B14" s="3" t="inlineStr">
        <is>
          <t>Desember 2025</t>
        </is>
      </c>
      <c r="C14" s="3">
        <f>'Data Aset'!B16</f>
        <v/>
      </c>
      <c r="D14" s="3">
        <f>'Data Aset'!F16</f>
        <v/>
      </c>
      <c r="E14" s="3" t="inlineStr">
        <is>
          <t>Elektronik</t>
        </is>
      </c>
      <c r="F14" s="3">
        <f>'Data Aset'!C16</f>
        <v/>
      </c>
      <c r="G14" s="3">
        <f>'Data Aset'!K16</f>
        <v/>
      </c>
      <c r="H14" s="5">
        <f>'Data Aset'!M16</f>
        <v/>
      </c>
      <c r="I14" s="3">
        <f>'Data Aset'!O16</f>
        <v/>
      </c>
      <c r="J14" s="5" t="n">
        <v>0</v>
      </c>
      <c r="K14" s="3" t="inlineStr">
        <is>
          <t>Garis Lurus</t>
        </is>
      </c>
      <c r="L14" s="5">
        <f>IFERROR(M14/12,"")</f>
        <v/>
      </c>
      <c r="M14" s="5">
        <f>IFERROR((H14-J14)/I14,"")</f>
        <v/>
      </c>
      <c r="N14" s="5">
        <f>IFERROR(M14,"")</f>
        <v/>
      </c>
      <c r="O14" s="5">
        <f>IFERROR(H14-N14,"")</f>
        <v/>
      </c>
      <c r="P14" s="3" t="inlineStr">
        <is>
          <t>Belum dihitung</t>
        </is>
      </c>
      <c r="Q14" s="3" t="n"/>
    </row>
    <row r="15">
      <c r="A15" s="3" t="n">
        <v>14</v>
      </c>
      <c r="B15" s="3" t="inlineStr">
        <is>
          <t>Desember 2025</t>
        </is>
      </c>
      <c r="C15" s="3">
        <f>'Data Aset'!B17</f>
        <v/>
      </c>
      <c r="D15" s="3">
        <f>'Data Aset'!F17</f>
        <v/>
      </c>
      <c r="E15" s="3" t="inlineStr">
        <is>
          <t>Elektronik</t>
        </is>
      </c>
      <c r="F15" s="3">
        <f>'Data Aset'!C17</f>
        <v/>
      </c>
      <c r="G15" s="3">
        <f>'Data Aset'!K17</f>
        <v/>
      </c>
      <c r="H15" s="5">
        <f>'Data Aset'!M17</f>
        <v/>
      </c>
      <c r="I15" s="3">
        <f>'Data Aset'!O17</f>
        <v/>
      </c>
      <c r="J15" s="5" t="n">
        <v>0</v>
      </c>
      <c r="K15" s="3" t="inlineStr">
        <is>
          <t>Garis Lurus</t>
        </is>
      </c>
      <c r="L15" s="5">
        <f>IFERROR(M15/12,"")</f>
        <v/>
      </c>
      <c r="M15" s="5">
        <f>IFERROR((H15-J15)/I15,"")</f>
        <v/>
      </c>
      <c r="N15" s="5">
        <f>IFERROR(M15,"")</f>
        <v/>
      </c>
      <c r="O15" s="5">
        <f>IFERROR(H15-N15,"")</f>
        <v/>
      </c>
      <c r="P15" s="3" t="inlineStr">
        <is>
          <t>Belum dihitung</t>
        </is>
      </c>
      <c r="Q15" s="3" t="n"/>
    </row>
    <row r="16">
      <c r="A16" s="3" t="n">
        <v>15</v>
      </c>
      <c r="B16" s="3" t="inlineStr">
        <is>
          <t>Desember 2025</t>
        </is>
      </c>
      <c r="C16" s="3">
        <f>'Data Aset'!B18</f>
        <v/>
      </c>
      <c r="D16" s="3">
        <f>'Data Aset'!F18</f>
        <v/>
      </c>
      <c r="E16" s="3" t="inlineStr">
        <is>
          <t>Elektronik</t>
        </is>
      </c>
      <c r="F16" s="3">
        <f>'Data Aset'!C18</f>
        <v/>
      </c>
      <c r="G16" s="3">
        <f>'Data Aset'!K18</f>
        <v/>
      </c>
      <c r="H16" s="5">
        <f>'Data Aset'!M18</f>
        <v/>
      </c>
      <c r="I16" s="3">
        <f>'Data Aset'!O18</f>
        <v/>
      </c>
      <c r="J16" s="5" t="n">
        <v>0</v>
      </c>
      <c r="K16" s="3" t="inlineStr">
        <is>
          <t>Garis Lurus</t>
        </is>
      </c>
      <c r="L16" s="5">
        <f>IFERROR(M16/12,"")</f>
        <v/>
      </c>
      <c r="M16" s="5">
        <f>IFERROR((H16-J16)/I16,"")</f>
        <v/>
      </c>
      <c r="N16" s="5">
        <f>IFERROR(M16,"")</f>
        <v/>
      </c>
      <c r="O16" s="5">
        <f>IFERROR(H16-N16,"")</f>
        <v/>
      </c>
      <c r="P16" s="3" t="inlineStr">
        <is>
          <t>Belum dihitung</t>
        </is>
      </c>
      <c r="Q16" s="3" t="n"/>
    </row>
    <row r="17">
      <c r="A17" s="3" t="n">
        <v>16</v>
      </c>
      <c r="B17" s="3" t="inlineStr">
        <is>
          <t>Desember 2025</t>
        </is>
      </c>
      <c r="C17" s="3">
        <f>'Data Aset'!B19</f>
        <v/>
      </c>
      <c r="D17" s="3">
        <f>'Data Aset'!F19</f>
        <v/>
      </c>
      <c r="E17" s="3" t="inlineStr">
        <is>
          <t>Elektronik</t>
        </is>
      </c>
      <c r="F17" s="3">
        <f>'Data Aset'!C19</f>
        <v/>
      </c>
      <c r="G17" s="3">
        <f>'Data Aset'!K19</f>
        <v/>
      </c>
      <c r="H17" s="5">
        <f>'Data Aset'!M19</f>
        <v/>
      </c>
      <c r="I17" s="3">
        <f>'Data Aset'!O19</f>
        <v/>
      </c>
      <c r="J17" s="5" t="n">
        <v>0</v>
      </c>
      <c r="K17" s="3" t="inlineStr">
        <is>
          <t>Garis Lurus</t>
        </is>
      </c>
      <c r="L17" s="5">
        <f>IFERROR(M17/12,"")</f>
        <v/>
      </c>
      <c r="M17" s="5">
        <f>IFERROR((H17-J17)/I17,"")</f>
        <v/>
      </c>
      <c r="N17" s="5">
        <f>IFERROR(M17,"")</f>
        <v/>
      </c>
      <c r="O17" s="5">
        <f>IFERROR(H17-N17,"")</f>
        <v/>
      </c>
      <c r="P17" s="3" t="inlineStr">
        <is>
          <t>Belum dihitung</t>
        </is>
      </c>
      <c r="Q17" s="3" t="n"/>
    </row>
    <row r="18">
      <c r="A18" s="3" t="n">
        <v>17</v>
      </c>
      <c r="B18" s="3" t="inlineStr">
        <is>
          <t>Desember 2025</t>
        </is>
      </c>
      <c r="C18" s="3">
        <f>'Data Aset'!B20</f>
        <v/>
      </c>
      <c r="D18" s="3">
        <f>'Data Aset'!F20</f>
        <v/>
      </c>
      <c r="E18" s="3" t="inlineStr">
        <is>
          <t>Elektronik</t>
        </is>
      </c>
      <c r="F18" s="3">
        <f>'Data Aset'!C20</f>
        <v/>
      </c>
      <c r="G18" s="3">
        <f>'Data Aset'!K20</f>
        <v/>
      </c>
      <c r="H18" s="5">
        <f>'Data Aset'!M20</f>
        <v/>
      </c>
      <c r="I18" s="3">
        <f>'Data Aset'!O20</f>
        <v/>
      </c>
      <c r="J18" s="5" t="n">
        <v>0</v>
      </c>
      <c r="K18" s="3" t="inlineStr">
        <is>
          <t>Garis Lurus</t>
        </is>
      </c>
      <c r="L18" s="5">
        <f>IFERROR(M18/12,"")</f>
        <v/>
      </c>
      <c r="M18" s="5">
        <f>IFERROR((H18-J18)/I18,"")</f>
        <v/>
      </c>
      <c r="N18" s="5">
        <f>IFERROR(M18,"")</f>
        <v/>
      </c>
      <c r="O18" s="5">
        <f>IFERROR(H18-N18,"")</f>
        <v/>
      </c>
      <c r="P18" s="3" t="inlineStr">
        <is>
          <t>Belum dihitung</t>
        </is>
      </c>
      <c r="Q18" s="3" t="n"/>
    </row>
    <row r="19">
      <c r="A19" s="3" t="n">
        <v>18</v>
      </c>
      <c r="B19" s="3" t="inlineStr">
        <is>
          <t>Desember 2025</t>
        </is>
      </c>
      <c r="C19" s="3">
        <f>'Data Aset'!B21</f>
        <v/>
      </c>
      <c r="D19" s="3">
        <f>'Data Aset'!F21</f>
        <v/>
      </c>
      <c r="E19" s="3" t="inlineStr">
        <is>
          <t>Elektronik</t>
        </is>
      </c>
      <c r="F19" s="3">
        <f>'Data Aset'!C21</f>
        <v/>
      </c>
      <c r="G19" s="3">
        <f>'Data Aset'!K21</f>
        <v/>
      </c>
      <c r="H19" s="5">
        <f>'Data Aset'!M21</f>
        <v/>
      </c>
      <c r="I19" s="3">
        <f>'Data Aset'!O21</f>
        <v/>
      </c>
      <c r="J19" s="5" t="n">
        <v>0</v>
      </c>
      <c r="K19" s="3" t="inlineStr">
        <is>
          <t>Garis Lurus</t>
        </is>
      </c>
      <c r="L19" s="5">
        <f>IFERROR(M19/12,"")</f>
        <v/>
      </c>
      <c r="M19" s="5">
        <f>IFERROR((H19-J19)/I19,"")</f>
        <v/>
      </c>
      <c r="N19" s="5">
        <f>IFERROR(M19,"")</f>
        <v/>
      </c>
      <c r="O19" s="5">
        <f>IFERROR(H19-N19,"")</f>
        <v/>
      </c>
      <c r="P19" s="3" t="inlineStr">
        <is>
          <t>Belum dihitung</t>
        </is>
      </c>
      <c r="Q19" s="3" t="n"/>
    </row>
    <row r="20">
      <c r="A20" s="3" t="n">
        <v>19</v>
      </c>
      <c r="B20" s="3" t="inlineStr">
        <is>
          <t>Desember 2025</t>
        </is>
      </c>
      <c r="C20" s="3">
        <f>'Data Aset'!B22</f>
        <v/>
      </c>
      <c r="D20" s="3">
        <f>'Data Aset'!F22</f>
        <v/>
      </c>
      <c r="E20" s="3" t="inlineStr">
        <is>
          <t>Elektronik</t>
        </is>
      </c>
      <c r="F20" s="3">
        <f>'Data Aset'!C22</f>
        <v/>
      </c>
      <c r="G20" s="3">
        <f>'Data Aset'!K22</f>
        <v/>
      </c>
      <c r="H20" s="5">
        <f>'Data Aset'!M22</f>
        <v/>
      </c>
      <c r="I20" s="3">
        <f>'Data Aset'!O22</f>
        <v/>
      </c>
      <c r="J20" s="5" t="n">
        <v>0</v>
      </c>
      <c r="K20" s="3" t="inlineStr">
        <is>
          <t>Garis Lurus</t>
        </is>
      </c>
      <c r="L20" s="5">
        <f>IFERROR(M20/12,"")</f>
        <v/>
      </c>
      <c r="M20" s="5">
        <f>IFERROR((H20-J20)/I20,"")</f>
        <v/>
      </c>
      <c r="N20" s="5">
        <f>IFERROR(M20,"")</f>
        <v/>
      </c>
      <c r="O20" s="5">
        <f>IFERROR(H20-N20,"")</f>
        <v/>
      </c>
      <c r="P20" s="3" t="inlineStr">
        <is>
          <t>Belum dihitung</t>
        </is>
      </c>
      <c r="Q20" s="3" t="n"/>
    </row>
    <row r="21">
      <c r="A21" s="3" t="n">
        <v>20</v>
      </c>
      <c r="B21" s="3" t="inlineStr">
        <is>
          <t>Desember 2025</t>
        </is>
      </c>
      <c r="C21" s="3">
        <f>'Data Aset'!B23</f>
        <v/>
      </c>
      <c r="D21" s="3">
        <f>'Data Aset'!F23</f>
        <v/>
      </c>
      <c r="E21" s="3" t="inlineStr">
        <is>
          <t>Elektronik</t>
        </is>
      </c>
      <c r="F21" s="3">
        <f>'Data Aset'!C23</f>
        <v/>
      </c>
      <c r="G21" s="3">
        <f>'Data Aset'!K23</f>
        <v/>
      </c>
      <c r="H21" s="5">
        <f>'Data Aset'!M23</f>
        <v/>
      </c>
      <c r="I21" s="3">
        <f>'Data Aset'!O23</f>
        <v/>
      </c>
      <c r="J21" s="5" t="n">
        <v>0</v>
      </c>
      <c r="K21" s="3" t="inlineStr">
        <is>
          <t>Garis Lurus</t>
        </is>
      </c>
      <c r="L21" s="5">
        <f>IFERROR(M21/12,"")</f>
        <v/>
      </c>
      <c r="M21" s="5">
        <f>IFERROR((H21-J21)/I21,"")</f>
        <v/>
      </c>
      <c r="N21" s="5">
        <f>IFERROR(M21,"")</f>
        <v/>
      </c>
      <c r="O21" s="5">
        <f>IFERROR(H21-N21,"")</f>
        <v/>
      </c>
      <c r="P21" s="3" t="inlineStr">
        <is>
          <t>Belum dihitung</t>
        </is>
      </c>
      <c r="Q21" s="3" t="n"/>
    </row>
    <row r="22">
      <c r="A22" s="3" t="n">
        <v>21</v>
      </c>
      <c r="B22" s="3" t="inlineStr">
        <is>
          <t>Desember 2025</t>
        </is>
      </c>
      <c r="C22" s="3">
        <f>'Data Aset'!B24</f>
        <v/>
      </c>
      <c r="D22" s="3">
        <f>'Data Aset'!F24</f>
        <v/>
      </c>
      <c r="E22" s="3" t="inlineStr">
        <is>
          <t>Elektronik</t>
        </is>
      </c>
      <c r="F22" s="3">
        <f>'Data Aset'!C24</f>
        <v/>
      </c>
      <c r="G22" s="3">
        <f>'Data Aset'!K24</f>
        <v/>
      </c>
      <c r="H22" s="5">
        <f>'Data Aset'!M24</f>
        <v/>
      </c>
      <c r="I22" s="3">
        <f>'Data Aset'!O24</f>
        <v/>
      </c>
      <c r="J22" s="5" t="n">
        <v>0</v>
      </c>
      <c r="K22" s="3" t="inlineStr">
        <is>
          <t>Garis Lurus</t>
        </is>
      </c>
      <c r="L22" s="5">
        <f>IFERROR(M22/12,"")</f>
        <v/>
      </c>
      <c r="M22" s="5">
        <f>IFERROR((H22-J22)/I22,"")</f>
        <v/>
      </c>
      <c r="N22" s="5">
        <f>IFERROR(M22,"")</f>
        <v/>
      </c>
      <c r="O22" s="5">
        <f>IFERROR(H22-N22,"")</f>
        <v/>
      </c>
      <c r="P22" s="3" t="inlineStr">
        <is>
          <t>Belum dihitung</t>
        </is>
      </c>
      <c r="Q22" s="3" t="n"/>
    </row>
    <row r="23">
      <c r="A23" s="3" t="n">
        <v>22</v>
      </c>
      <c r="B23" s="3" t="inlineStr">
        <is>
          <t>Desember 2025</t>
        </is>
      </c>
      <c r="C23" s="3">
        <f>'Data Aset'!B25</f>
        <v/>
      </c>
      <c r="D23" s="3">
        <f>'Data Aset'!F25</f>
        <v/>
      </c>
      <c r="E23" s="3" t="inlineStr">
        <is>
          <t>Elektronik</t>
        </is>
      </c>
      <c r="F23" s="3">
        <f>'Data Aset'!C25</f>
        <v/>
      </c>
      <c r="G23" s="3">
        <f>'Data Aset'!K25</f>
        <v/>
      </c>
      <c r="H23" s="5">
        <f>'Data Aset'!M25</f>
        <v/>
      </c>
      <c r="I23" s="3">
        <f>'Data Aset'!O25</f>
        <v/>
      </c>
      <c r="J23" s="5" t="n">
        <v>0</v>
      </c>
      <c r="K23" s="3" t="inlineStr">
        <is>
          <t>Garis Lurus</t>
        </is>
      </c>
      <c r="L23" s="5">
        <f>IFERROR(M23/12,"")</f>
        <v/>
      </c>
      <c r="M23" s="5">
        <f>IFERROR((H23-J23)/I23,"")</f>
        <v/>
      </c>
      <c r="N23" s="5">
        <f>IFERROR(M23,"")</f>
        <v/>
      </c>
      <c r="O23" s="5">
        <f>IFERROR(H23-N23,"")</f>
        <v/>
      </c>
      <c r="P23" s="3" t="inlineStr">
        <is>
          <t>Belum dihitung</t>
        </is>
      </c>
      <c r="Q23" s="3" t="n"/>
    </row>
    <row r="24">
      <c r="A24" s="3" t="n">
        <v>23</v>
      </c>
      <c r="B24" s="3" t="inlineStr">
        <is>
          <t>Desember 2025</t>
        </is>
      </c>
      <c r="C24" s="3">
        <f>'Data Aset'!B26</f>
        <v/>
      </c>
      <c r="D24" s="3">
        <f>'Data Aset'!F26</f>
        <v/>
      </c>
      <c r="E24" s="3" t="inlineStr">
        <is>
          <t>Elektronik</t>
        </is>
      </c>
      <c r="F24" s="3">
        <f>'Data Aset'!C26</f>
        <v/>
      </c>
      <c r="G24" s="3">
        <f>'Data Aset'!K26</f>
        <v/>
      </c>
      <c r="H24" s="5">
        <f>'Data Aset'!M26</f>
        <v/>
      </c>
      <c r="I24" s="3">
        <f>'Data Aset'!O26</f>
        <v/>
      </c>
      <c r="J24" s="5" t="n">
        <v>0</v>
      </c>
      <c r="K24" s="3" t="inlineStr">
        <is>
          <t>Garis Lurus</t>
        </is>
      </c>
      <c r="L24" s="5">
        <f>IFERROR(M24/12,"")</f>
        <v/>
      </c>
      <c r="M24" s="5">
        <f>IFERROR((H24-J24)/I24,"")</f>
        <v/>
      </c>
      <c r="N24" s="5">
        <f>IFERROR(M24,"")</f>
        <v/>
      </c>
      <c r="O24" s="5">
        <f>IFERROR(H24-N24,"")</f>
        <v/>
      </c>
      <c r="P24" s="3" t="inlineStr">
        <is>
          <t>Belum dihitung</t>
        </is>
      </c>
      <c r="Q24" s="3" t="n"/>
    </row>
    <row r="25">
      <c r="A25" s="3" t="n">
        <v>24</v>
      </c>
      <c r="B25" s="3" t="inlineStr">
        <is>
          <t>Desember 2025</t>
        </is>
      </c>
      <c r="C25" s="3">
        <f>'Data Aset'!B27</f>
        <v/>
      </c>
      <c r="D25" s="3">
        <f>'Data Aset'!F27</f>
        <v/>
      </c>
      <c r="E25" s="3" t="inlineStr">
        <is>
          <t>Elektronik</t>
        </is>
      </c>
      <c r="F25" s="3">
        <f>'Data Aset'!C27</f>
        <v/>
      </c>
      <c r="G25" s="3">
        <f>'Data Aset'!K27</f>
        <v/>
      </c>
      <c r="H25" s="5">
        <f>'Data Aset'!M27</f>
        <v/>
      </c>
      <c r="I25" s="3">
        <f>'Data Aset'!O27</f>
        <v/>
      </c>
      <c r="J25" s="5" t="n">
        <v>0</v>
      </c>
      <c r="K25" s="3" t="inlineStr">
        <is>
          <t>Garis Lurus</t>
        </is>
      </c>
      <c r="L25" s="5">
        <f>IFERROR(M25/12,"")</f>
        <v/>
      </c>
      <c r="M25" s="5">
        <f>IFERROR((H25-J25)/I25,"")</f>
        <v/>
      </c>
      <c r="N25" s="5">
        <f>IFERROR(M25,"")</f>
        <v/>
      </c>
      <c r="O25" s="5">
        <f>IFERROR(H25-N25,"")</f>
        <v/>
      </c>
      <c r="P25" s="3" t="inlineStr">
        <is>
          <t>Belum dihitung</t>
        </is>
      </c>
      <c r="Q25" s="3" t="n"/>
    </row>
    <row r="26">
      <c r="A26" s="3" t="n">
        <v>25</v>
      </c>
      <c r="B26" s="3" t="inlineStr">
        <is>
          <t>Desember 2025</t>
        </is>
      </c>
      <c r="C26" s="3">
        <f>'Data Aset'!B28</f>
        <v/>
      </c>
      <c r="D26" s="3">
        <f>'Data Aset'!F28</f>
        <v/>
      </c>
      <c r="E26" s="3" t="inlineStr">
        <is>
          <t>Elektronik</t>
        </is>
      </c>
      <c r="F26" s="3">
        <f>'Data Aset'!C28</f>
        <v/>
      </c>
      <c r="G26" s="3">
        <f>'Data Aset'!K28</f>
        <v/>
      </c>
      <c r="H26" s="5">
        <f>'Data Aset'!M28</f>
        <v/>
      </c>
      <c r="I26" s="3">
        <f>'Data Aset'!O28</f>
        <v/>
      </c>
      <c r="J26" s="5" t="n">
        <v>0</v>
      </c>
      <c r="K26" s="3" t="inlineStr">
        <is>
          <t>Garis Lurus</t>
        </is>
      </c>
      <c r="L26" s="5">
        <f>IFERROR(M26/12,"")</f>
        <v/>
      </c>
      <c r="M26" s="5">
        <f>IFERROR((H26-J26)/I26,"")</f>
        <v/>
      </c>
      <c r="N26" s="5">
        <f>IFERROR(M26,"")</f>
        <v/>
      </c>
      <c r="O26" s="5">
        <f>IFERROR(H26-N26,"")</f>
        <v/>
      </c>
      <c r="P26" s="3" t="inlineStr">
        <is>
          <t>Belum dihitung</t>
        </is>
      </c>
      <c r="Q26" s="3" t="n"/>
    </row>
    <row r="27">
      <c r="A27" s="3" t="n">
        <v>26</v>
      </c>
      <c r="B27" s="3" t="inlineStr">
        <is>
          <t>Desember 2025</t>
        </is>
      </c>
      <c r="C27" s="3">
        <f>'Data Aset'!B29</f>
        <v/>
      </c>
      <c r="D27" s="3">
        <f>'Data Aset'!F29</f>
        <v/>
      </c>
      <c r="E27" s="3" t="inlineStr">
        <is>
          <t>Elektronik</t>
        </is>
      </c>
      <c r="F27" s="3">
        <f>'Data Aset'!C29</f>
        <v/>
      </c>
      <c r="G27" s="3">
        <f>'Data Aset'!K29</f>
        <v/>
      </c>
      <c r="H27" s="5">
        <f>'Data Aset'!M29</f>
        <v/>
      </c>
      <c r="I27" s="3">
        <f>'Data Aset'!O29</f>
        <v/>
      </c>
      <c r="J27" s="5" t="n">
        <v>0</v>
      </c>
      <c r="K27" s="3" t="inlineStr">
        <is>
          <t>Garis Lurus</t>
        </is>
      </c>
      <c r="L27" s="5">
        <f>IFERROR(M27/12,"")</f>
        <v/>
      </c>
      <c r="M27" s="5">
        <f>IFERROR((H27-J27)/I27,"")</f>
        <v/>
      </c>
      <c r="N27" s="5">
        <f>IFERROR(M27,"")</f>
        <v/>
      </c>
      <c r="O27" s="5">
        <f>IFERROR(H27-N27,"")</f>
        <v/>
      </c>
      <c r="P27" s="3" t="inlineStr">
        <is>
          <t>Belum dihitung</t>
        </is>
      </c>
      <c r="Q27" s="3" t="n"/>
    </row>
    <row r="28">
      <c r="A28" s="3" t="n">
        <v>27</v>
      </c>
      <c r="B28" s="3" t="inlineStr">
        <is>
          <t>Desember 2025</t>
        </is>
      </c>
      <c r="C28" s="3">
        <f>'Data Aset'!B30</f>
        <v/>
      </c>
      <c r="D28" s="3">
        <f>'Data Aset'!F30</f>
        <v/>
      </c>
      <c r="E28" s="3" t="inlineStr">
        <is>
          <t>Elektronik</t>
        </is>
      </c>
      <c r="F28" s="3">
        <f>'Data Aset'!C30</f>
        <v/>
      </c>
      <c r="G28" s="3">
        <f>'Data Aset'!K30</f>
        <v/>
      </c>
      <c r="H28" s="5">
        <f>'Data Aset'!M30</f>
        <v/>
      </c>
      <c r="I28" s="3">
        <f>'Data Aset'!O30</f>
        <v/>
      </c>
      <c r="J28" s="5" t="n">
        <v>0</v>
      </c>
      <c r="K28" s="3" t="inlineStr">
        <is>
          <t>Garis Lurus</t>
        </is>
      </c>
      <c r="L28" s="5">
        <f>IFERROR(M28/12,"")</f>
        <v/>
      </c>
      <c r="M28" s="5">
        <f>IFERROR((H28-J28)/I28,"")</f>
        <v/>
      </c>
      <c r="N28" s="5">
        <f>IFERROR(M28,"")</f>
        <v/>
      </c>
      <c r="O28" s="5">
        <f>IFERROR(H28-N28,"")</f>
        <v/>
      </c>
      <c r="P28" s="3" t="inlineStr">
        <is>
          <t>Belum dihitung</t>
        </is>
      </c>
      <c r="Q28" s="3" t="n"/>
    </row>
    <row r="29">
      <c r="A29" s="3" t="n">
        <v>28</v>
      </c>
      <c r="B29" s="3" t="inlineStr">
        <is>
          <t>Desember 2025</t>
        </is>
      </c>
      <c r="C29" s="3">
        <f>'Data Aset'!B31</f>
        <v/>
      </c>
      <c r="D29" s="3">
        <f>'Data Aset'!F31</f>
        <v/>
      </c>
      <c r="E29" s="3" t="inlineStr">
        <is>
          <t>Elektronik</t>
        </is>
      </c>
      <c r="F29" s="3">
        <f>'Data Aset'!C31</f>
        <v/>
      </c>
      <c r="G29" s="3">
        <f>'Data Aset'!K31</f>
        <v/>
      </c>
      <c r="H29" s="5">
        <f>'Data Aset'!M31</f>
        <v/>
      </c>
      <c r="I29" s="3">
        <f>'Data Aset'!O31</f>
        <v/>
      </c>
      <c r="J29" s="5" t="n">
        <v>0</v>
      </c>
      <c r="K29" s="3" t="inlineStr">
        <is>
          <t>Garis Lurus</t>
        </is>
      </c>
      <c r="L29" s="5">
        <f>IFERROR(M29/12,"")</f>
        <v/>
      </c>
      <c r="M29" s="5">
        <f>IFERROR((H29-J29)/I29,"")</f>
        <v/>
      </c>
      <c r="N29" s="5">
        <f>IFERROR(M29,"")</f>
        <v/>
      </c>
      <c r="O29" s="5">
        <f>IFERROR(H29-N29,"")</f>
        <v/>
      </c>
      <c r="P29" s="3" t="inlineStr">
        <is>
          <t>Belum dihitung</t>
        </is>
      </c>
      <c r="Q29" s="3" t="n"/>
    </row>
    <row r="30">
      <c r="A30" s="3" t="n">
        <v>29</v>
      </c>
      <c r="B30" s="3" t="inlineStr">
        <is>
          <t>Desember 2025</t>
        </is>
      </c>
      <c r="C30" s="3">
        <f>'Data Aset'!B32</f>
        <v/>
      </c>
      <c r="D30" s="3">
        <f>'Data Aset'!F32</f>
        <v/>
      </c>
      <c r="E30" s="3" t="inlineStr">
        <is>
          <t>Elektronik</t>
        </is>
      </c>
      <c r="F30" s="3">
        <f>'Data Aset'!C32</f>
        <v/>
      </c>
      <c r="G30" s="3">
        <f>'Data Aset'!K32</f>
        <v/>
      </c>
      <c r="H30" s="5">
        <f>'Data Aset'!M32</f>
        <v/>
      </c>
      <c r="I30" s="3">
        <f>'Data Aset'!O32</f>
        <v/>
      </c>
      <c r="J30" s="5" t="n">
        <v>0</v>
      </c>
      <c r="K30" s="3" t="inlineStr">
        <is>
          <t>Garis Lurus</t>
        </is>
      </c>
      <c r="L30" s="5">
        <f>IFERROR(M30/12,"")</f>
        <v/>
      </c>
      <c r="M30" s="5">
        <f>IFERROR((H30-J30)/I30,"")</f>
        <v/>
      </c>
      <c r="N30" s="5">
        <f>IFERROR(M30,"")</f>
        <v/>
      </c>
      <c r="O30" s="5">
        <f>IFERROR(H30-N30,"")</f>
        <v/>
      </c>
      <c r="P30" s="3" t="inlineStr">
        <is>
          <t>Belum dihitung</t>
        </is>
      </c>
      <c r="Q30" s="3" t="n"/>
    </row>
    <row r="31">
      <c r="A31" s="3" t="n">
        <v>30</v>
      </c>
      <c r="B31" s="3" t="inlineStr">
        <is>
          <t>Desember 2025</t>
        </is>
      </c>
      <c r="C31" s="3">
        <f>'Data Aset'!B33</f>
        <v/>
      </c>
      <c r="D31" s="3">
        <f>'Data Aset'!F33</f>
        <v/>
      </c>
      <c r="E31" s="3" t="inlineStr">
        <is>
          <t>Elektronik</t>
        </is>
      </c>
      <c r="F31" s="3">
        <f>'Data Aset'!C33</f>
        <v/>
      </c>
      <c r="G31" s="3">
        <f>'Data Aset'!K33</f>
        <v/>
      </c>
      <c r="H31" s="5">
        <f>'Data Aset'!M33</f>
        <v/>
      </c>
      <c r="I31" s="3">
        <f>'Data Aset'!O33</f>
        <v/>
      </c>
      <c r="J31" s="5" t="n">
        <v>0</v>
      </c>
      <c r="K31" s="3" t="inlineStr">
        <is>
          <t>Garis Lurus</t>
        </is>
      </c>
      <c r="L31" s="5">
        <f>IFERROR(M31/12,"")</f>
        <v/>
      </c>
      <c r="M31" s="5">
        <f>IFERROR((H31-J31)/I31,"")</f>
        <v/>
      </c>
      <c r="N31" s="5">
        <f>IFERROR(M31,"")</f>
        <v/>
      </c>
      <c r="O31" s="5">
        <f>IFERROR(H31-N31,"")</f>
        <v/>
      </c>
      <c r="P31" s="3" t="inlineStr">
        <is>
          <t>Belum dihitung</t>
        </is>
      </c>
      <c r="Q31" s="3" t="n"/>
    </row>
    <row r="32">
      <c r="A32" s="3" t="n">
        <v>31</v>
      </c>
      <c r="B32" s="3" t="inlineStr">
        <is>
          <t>Desember 2025</t>
        </is>
      </c>
      <c r="C32" s="3">
        <f>'Data Aset'!B34</f>
        <v/>
      </c>
      <c r="D32" s="3">
        <f>'Data Aset'!F34</f>
        <v/>
      </c>
      <c r="E32" s="3" t="inlineStr">
        <is>
          <t>Elektronik</t>
        </is>
      </c>
      <c r="F32" s="3">
        <f>'Data Aset'!C34</f>
        <v/>
      </c>
      <c r="G32" s="3">
        <f>'Data Aset'!K34</f>
        <v/>
      </c>
      <c r="H32" s="5">
        <f>'Data Aset'!M34</f>
        <v/>
      </c>
      <c r="I32" s="3">
        <f>'Data Aset'!O34</f>
        <v/>
      </c>
      <c r="J32" s="5" t="n">
        <v>0</v>
      </c>
      <c r="K32" s="3" t="inlineStr">
        <is>
          <t>Garis Lurus</t>
        </is>
      </c>
      <c r="L32" s="5">
        <f>IFERROR(M32/12,"")</f>
        <v/>
      </c>
      <c r="M32" s="5">
        <f>IFERROR((H32-J32)/I32,"")</f>
        <v/>
      </c>
      <c r="N32" s="5">
        <f>IFERROR(M32,"")</f>
        <v/>
      </c>
      <c r="O32" s="5">
        <f>IFERROR(H32-N32,"")</f>
        <v/>
      </c>
      <c r="P32" s="3" t="inlineStr">
        <is>
          <t>Belum dihitung</t>
        </is>
      </c>
      <c r="Q32" s="3" t="n"/>
    </row>
    <row r="33">
      <c r="A33" s="3" t="n">
        <v>32</v>
      </c>
      <c r="B33" s="3" t="inlineStr">
        <is>
          <t>Desember 2025</t>
        </is>
      </c>
      <c r="C33" s="3">
        <f>'Data Aset'!B35</f>
        <v/>
      </c>
      <c r="D33" s="3">
        <f>'Data Aset'!F35</f>
        <v/>
      </c>
      <c r="E33" s="3" t="inlineStr">
        <is>
          <t>Elektronik</t>
        </is>
      </c>
      <c r="F33" s="3">
        <f>'Data Aset'!C35</f>
        <v/>
      </c>
      <c r="G33" s="3">
        <f>'Data Aset'!K35</f>
        <v/>
      </c>
      <c r="H33" s="5">
        <f>'Data Aset'!M35</f>
        <v/>
      </c>
      <c r="I33" s="3">
        <f>'Data Aset'!O35</f>
        <v/>
      </c>
      <c r="J33" s="5" t="n">
        <v>0</v>
      </c>
      <c r="K33" s="3" t="inlineStr">
        <is>
          <t>Garis Lurus</t>
        </is>
      </c>
      <c r="L33" s="5">
        <f>IFERROR(M33/12,"")</f>
        <v/>
      </c>
      <c r="M33" s="5">
        <f>IFERROR((H33-J33)/I33,"")</f>
        <v/>
      </c>
      <c r="N33" s="5">
        <f>IFERROR(M33,"")</f>
        <v/>
      </c>
      <c r="O33" s="5">
        <f>IFERROR(H33-N33,"")</f>
        <v/>
      </c>
      <c r="P33" s="3" t="inlineStr">
        <is>
          <t>Belum dihitung</t>
        </is>
      </c>
      <c r="Q33" s="3" t="n"/>
    </row>
    <row r="34">
      <c r="A34" s="3" t="n">
        <v>33</v>
      </c>
      <c r="B34" s="3" t="inlineStr">
        <is>
          <t>Desember 2025</t>
        </is>
      </c>
      <c r="C34" s="3">
        <f>'Data Aset'!B36</f>
        <v/>
      </c>
      <c r="D34" s="3">
        <f>'Data Aset'!F36</f>
        <v/>
      </c>
      <c r="E34" s="3" t="inlineStr">
        <is>
          <t>Elektronik</t>
        </is>
      </c>
      <c r="F34" s="3">
        <f>'Data Aset'!C36</f>
        <v/>
      </c>
      <c r="G34" s="3">
        <f>'Data Aset'!K36</f>
        <v/>
      </c>
      <c r="H34" s="5">
        <f>'Data Aset'!M36</f>
        <v/>
      </c>
      <c r="I34" s="3">
        <f>'Data Aset'!O36</f>
        <v/>
      </c>
      <c r="J34" s="5" t="n">
        <v>0</v>
      </c>
      <c r="K34" s="3" t="inlineStr">
        <is>
          <t>Garis Lurus</t>
        </is>
      </c>
      <c r="L34" s="5">
        <f>IFERROR(M34/12,"")</f>
        <v/>
      </c>
      <c r="M34" s="5">
        <f>IFERROR((H34-J34)/I34,"")</f>
        <v/>
      </c>
      <c r="N34" s="5">
        <f>IFERROR(M34,"")</f>
        <v/>
      </c>
      <c r="O34" s="5">
        <f>IFERROR(H34-N34,"")</f>
        <v/>
      </c>
      <c r="P34" s="3" t="inlineStr">
        <is>
          <t>Belum dihitung</t>
        </is>
      </c>
      <c r="Q34" s="3" t="n"/>
    </row>
    <row r="35">
      <c r="A35" s="3" t="n">
        <v>34</v>
      </c>
      <c r="B35" s="3" t="inlineStr">
        <is>
          <t>Desember 2025</t>
        </is>
      </c>
      <c r="C35" s="3">
        <f>'Data Aset'!B37</f>
        <v/>
      </c>
      <c r="D35" s="3">
        <f>'Data Aset'!F37</f>
        <v/>
      </c>
      <c r="E35" s="3" t="inlineStr">
        <is>
          <t>Elektronik</t>
        </is>
      </c>
      <c r="F35" s="3">
        <f>'Data Aset'!C37</f>
        <v/>
      </c>
      <c r="G35" s="3">
        <f>'Data Aset'!K37</f>
        <v/>
      </c>
      <c r="H35" s="5">
        <f>'Data Aset'!M37</f>
        <v/>
      </c>
      <c r="I35" s="3">
        <f>'Data Aset'!O37</f>
        <v/>
      </c>
      <c r="J35" s="5" t="n">
        <v>0</v>
      </c>
      <c r="K35" s="3" t="inlineStr">
        <is>
          <t>Garis Lurus</t>
        </is>
      </c>
      <c r="L35" s="5">
        <f>IFERROR(M35/12,"")</f>
        <v/>
      </c>
      <c r="M35" s="5">
        <f>IFERROR((H35-J35)/I35,"")</f>
        <v/>
      </c>
      <c r="N35" s="5">
        <f>IFERROR(M35,"")</f>
        <v/>
      </c>
      <c r="O35" s="5">
        <f>IFERROR(H35-N35,"")</f>
        <v/>
      </c>
      <c r="P35" s="3" t="inlineStr">
        <is>
          <t>Belum dihitung</t>
        </is>
      </c>
      <c r="Q35" s="3" t="n"/>
    </row>
    <row r="36">
      <c r="A36" s="3" t="n">
        <v>35</v>
      </c>
      <c r="B36" s="3" t="inlineStr">
        <is>
          <t>Desember 2025</t>
        </is>
      </c>
      <c r="C36" s="3">
        <f>'Data Aset'!B38</f>
        <v/>
      </c>
      <c r="D36" s="3">
        <f>'Data Aset'!F38</f>
        <v/>
      </c>
      <c r="E36" s="3" t="inlineStr">
        <is>
          <t>Elektronik</t>
        </is>
      </c>
      <c r="F36" s="3">
        <f>'Data Aset'!C38</f>
        <v/>
      </c>
      <c r="G36" s="3">
        <f>'Data Aset'!K38</f>
        <v/>
      </c>
      <c r="H36" s="5">
        <f>'Data Aset'!M38</f>
        <v/>
      </c>
      <c r="I36" s="3">
        <f>'Data Aset'!O38</f>
        <v/>
      </c>
      <c r="J36" s="5" t="n">
        <v>0</v>
      </c>
      <c r="K36" s="3" t="inlineStr">
        <is>
          <t>Garis Lurus</t>
        </is>
      </c>
      <c r="L36" s="5">
        <f>IFERROR(M36/12,"")</f>
        <v/>
      </c>
      <c r="M36" s="5">
        <f>IFERROR((H36-J36)/I36,"")</f>
        <v/>
      </c>
      <c r="N36" s="5">
        <f>IFERROR(M36,"")</f>
        <v/>
      </c>
      <c r="O36" s="5">
        <f>IFERROR(H36-N36,"")</f>
        <v/>
      </c>
      <c r="P36" s="3" t="inlineStr">
        <is>
          <t>Belum dihitung</t>
        </is>
      </c>
      <c r="Q36" s="3" t="n"/>
    </row>
    <row r="37">
      <c r="A37" s="3" t="n">
        <v>36</v>
      </c>
      <c r="B37" s="3" t="inlineStr">
        <is>
          <t>Desember 2025</t>
        </is>
      </c>
      <c r="C37" s="3">
        <f>'Data Aset'!B39</f>
        <v/>
      </c>
      <c r="D37" s="3">
        <f>'Data Aset'!F39</f>
        <v/>
      </c>
      <c r="E37" s="3" t="inlineStr">
        <is>
          <t>Elektronik</t>
        </is>
      </c>
      <c r="F37" s="3">
        <f>'Data Aset'!C39</f>
        <v/>
      </c>
      <c r="G37" s="3">
        <f>'Data Aset'!K39</f>
        <v/>
      </c>
      <c r="H37" s="5">
        <f>'Data Aset'!M39</f>
        <v/>
      </c>
      <c r="I37" s="3">
        <f>'Data Aset'!O39</f>
        <v/>
      </c>
      <c r="J37" s="5" t="n">
        <v>0</v>
      </c>
      <c r="K37" s="3" t="inlineStr">
        <is>
          <t>Garis Lurus</t>
        </is>
      </c>
      <c r="L37" s="5">
        <f>IFERROR(M37/12,"")</f>
        <v/>
      </c>
      <c r="M37" s="5">
        <f>IFERROR((H37-J37)/I37,"")</f>
        <v/>
      </c>
      <c r="N37" s="5">
        <f>IFERROR(M37,"")</f>
        <v/>
      </c>
      <c r="O37" s="5">
        <f>IFERROR(H37-N37,"")</f>
        <v/>
      </c>
      <c r="P37" s="3" t="inlineStr">
        <is>
          <t>Belum dihitung</t>
        </is>
      </c>
      <c r="Q37" s="3" t="n"/>
    </row>
    <row r="38">
      <c r="A38" s="3" t="n">
        <v>37</v>
      </c>
      <c r="B38" s="3" t="inlineStr">
        <is>
          <t>Desember 2025</t>
        </is>
      </c>
      <c r="C38" s="3">
        <f>'Data Aset'!B40</f>
        <v/>
      </c>
      <c r="D38" s="3">
        <f>'Data Aset'!F40</f>
        <v/>
      </c>
      <c r="E38" s="3" t="inlineStr">
        <is>
          <t>Elektronik</t>
        </is>
      </c>
      <c r="F38" s="3">
        <f>'Data Aset'!C40</f>
        <v/>
      </c>
      <c r="G38" s="3">
        <f>'Data Aset'!K40</f>
        <v/>
      </c>
      <c r="H38" s="5">
        <f>'Data Aset'!M40</f>
        <v/>
      </c>
      <c r="I38" s="3">
        <f>'Data Aset'!O40</f>
        <v/>
      </c>
      <c r="J38" s="5" t="n">
        <v>0</v>
      </c>
      <c r="K38" s="3" t="inlineStr">
        <is>
          <t>Garis Lurus</t>
        </is>
      </c>
      <c r="L38" s="5">
        <f>IFERROR(M38/12,"")</f>
        <v/>
      </c>
      <c r="M38" s="5">
        <f>IFERROR((H38-J38)/I38,"")</f>
        <v/>
      </c>
      <c r="N38" s="5">
        <f>IFERROR(M38,"")</f>
        <v/>
      </c>
      <c r="O38" s="5">
        <f>IFERROR(H38-N38,"")</f>
        <v/>
      </c>
      <c r="P38" s="3" t="inlineStr">
        <is>
          <t>Belum dihitung</t>
        </is>
      </c>
      <c r="Q38" s="3" t="n"/>
    </row>
    <row r="39">
      <c r="A39" s="3" t="n">
        <v>38</v>
      </c>
      <c r="B39" s="3" t="inlineStr">
        <is>
          <t>Desember 2025</t>
        </is>
      </c>
      <c r="C39" s="3">
        <f>'Data Aset'!B41</f>
        <v/>
      </c>
      <c r="D39" s="3">
        <f>'Data Aset'!F41</f>
        <v/>
      </c>
      <c r="E39" s="3" t="inlineStr">
        <is>
          <t>Elektronik</t>
        </is>
      </c>
      <c r="F39" s="3">
        <f>'Data Aset'!C41</f>
        <v/>
      </c>
      <c r="G39" s="3">
        <f>'Data Aset'!K41</f>
        <v/>
      </c>
      <c r="H39" s="5">
        <f>'Data Aset'!M41</f>
        <v/>
      </c>
      <c r="I39" s="3">
        <f>'Data Aset'!O41</f>
        <v/>
      </c>
      <c r="J39" s="5" t="n">
        <v>0</v>
      </c>
      <c r="K39" s="3" t="inlineStr">
        <is>
          <t>Garis Lurus</t>
        </is>
      </c>
      <c r="L39" s="5">
        <f>IFERROR(M39/12,"")</f>
        <v/>
      </c>
      <c r="M39" s="5">
        <f>IFERROR((H39-J39)/I39,"")</f>
        <v/>
      </c>
      <c r="N39" s="5">
        <f>IFERROR(M39,"")</f>
        <v/>
      </c>
      <c r="O39" s="5">
        <f>IFERROR(H39-N39,"")</f>
        <v/>
      </c>
      <c r="P39" s="3" t="inlineStr">
        <is>
          <t>Belum dihitung</t>
        </is>
      </c>
      <c r="Q39" s="3" t="n"/>
    </row>
    <row r="40">
      <c r="A40" s="3" t="n">
        <v>39</v>
      </c>
      <c r="B40" s="3" t="inlineStr">
        <is>
          <t>Desember 2025</t>
        </is>
      </c>
      <c r="C40" s="3">
        <f>'Data Aset'!B42</f>
        <v/>
      </c>
      <c r="D40" s="3">
        <f>'Data Aset'!F42</f>
        <v/>
      </c>
      <c r="E40" s="3" t="inlineStr">
        <is>
          <t>Elektronik</t>
        </is>
      </c>
      <c r="F40" s="3">
        <f>'Data Aset'!C42</f>
        <v/>
      </c>
      <c r="G40" s="3">
        <f>'Data Aset'!K42</f>
        <v/>
      </c>
      <c r="H40" s="5">
        <f>'Data Aset'!M42</f>
        <v/>
      </c>
      <c r="I40" s="3">
        <f>'Data Aset'!O42</f>
        <v/>
      </c>
      <c r="J40" s="5" t="n">
        <v>0</v>
      </c>
      <c r="K40" s="3" t="inlineStr">
        <is>
          <t>Garis Lurus</t>
        </is>
      </c>
      <c r="L40" s="5">
        <f>IFERROR(M40/12,"")</f>
        <v/>
      </c>
      <c r="M40" s="5">
        <f>IFERROR((H40-J40)/I40,"")</f>
        <v/>
      </c>
      <c r="N40" s="5">
        <f>IFERROR(M40,"")</f>
        <v/>
      </c>
      <c r="O40" s="5">
        <f>IFERROR(H40-N40,"")</f>
        <v/>
      </c>
      <c r="P40" s="3" t="inlineStr">
        <is>
          <t>Belum dihitung</t>
        </is>
      </c>
      <c r="Q40" s="3" t="n"/>
    </row>
    <row r="41">
      <c r="A41" s="3" t="n">
        <v>40</v>
      </c>
      <c r="B41" s="3" t="inlineStr">
        <is>
          <t>Desember 2025</t>
        </is>
      </c>
      <c r="C41" s="3">
        <f>'Data Aset'!B43</f>
        <v/>
      </c>
      <c r="D41" s="3">
        <f>'Data Aset'!F43</f>
        <v/>
      </c>
      <c r="E41" s="3" t="inlineStr">
        <is>
          <t>Elektronik</t>
        </is>
      </c>
      <c r="F41" s="3">
        <f>'Data Aset'!C43</f>
        <v/>
      </c>
      <c r="G41" s="3">
        <f>'Data Aset'!K43</f>
        <v/>
      </c>
      <c r="H41" s="5">
        <f>'Data Aset'!M43</f>
        <v/>
      </c>
      <c r="I41" s="3">
        <f>'Data Aset'!O43</f>
        <v/>
      </c>
      <c r="J41" s="5" t="n">
        <v>0</v>
      </c>
      <c r="K41" s="3" t="inlineStr">
        <is>
          <t>Garis Lurus</t>
        </is>
      </c>
      <c r="L41" s="5">
        <f>IFERROR(M41/12,"")</f>
        <v/>
      </c>
      <c r="M41" s="5">
        <f>IFERROR((H41-J41)/I41,"")</f>
        <v/>
      </c>
      <c r="N41" s="5">
        <f>IFERROR(M41,"")</f>
        <v/>
      </c>
      <c r="O41" s="5">
        <f>IFERROR(H41-N41,"")</f>
        <v/>
      </c>
      <c r="P41" s="3" t="inlineStr">
        <is>
          <t>Belum dihitung</t>
        </is>
      </c>
      <c r="Q41" s="3" t="n"/>
    </row>
    <row r="42">
      <c r="A42" s="3" t="n">
        <v>41</v>
      </c>
      <c r="B42" s="3" t="inlineStr">
        <is>
          <t>Desember 2025</t>
        </is>
      </c>
      <c r="C42" s="3">
        <f>'Data Aset'!B44</f>
        <v/>
      </c>
      <c r="D42" s="3">
        <f>'Data Aset'!F44</f>
        <v/>
      </c>
      <c r="E42" s="3" t="inlineStr">
        <is>
          <t>Elektronik</t>
        </is>
      </c>
      <c r="F42" s="3">
        <f>'Data Aset'!C44</f>
        <v/>
      </c>
      <c r="G42" s="3">
        <f>'Data Aset'!K44</f>
        <v/>
      </c>
      <c r="H42" s="5">
        <f>'Data Aset'!M44</f>
        <v/>
      </c>
      <c r="I42" s="3">
        <f>'Data Aset'!O44</f>
        <v/>
      </c>
      <c r="J42" s="5" t="n">
        <v>0</v>
      </c>
      <c r="K42" s="3" t="inlineStr">
        <is>
          <t>Garis Lurus</t>
        </is>
      </c>
      <c r="L42" s="5">
        <f>IFERROR(M42/12,"")</f>
        <v/>
      </c>
      <c r="M42" s="5">
        <f>IFERROR((H42-J42)/I42,"")</f>
        <v/>
      </c>
      <c r="N42" s="5">
        <f>IFERROR(M42,"")</f>
        <v/>
      </c>
      <c r="O42" s="5">
        <f>IFERROR(H42-N42,"")</f>
        <v/>
      </c>
      <c r="P42" s="3" t="inlineStr">
        <is>
          <t>Belum dihitung</t>
        </is>
      </c>
      <c r="Q42" s="3" t="n"/>
    </row>
    <row r="43">
      <c r="A43" s="3" t="n">
        <v>42</v>
      </c>
      <c r="B43" s="3" t="inlineStr">
        <is>
          <t>Desember 2025</t>
        </is>
      </c>
      <c r="C43" s="3">
        <f>'Data Aset'!B45</f>
        <v/>
      </c>
      <c r="D43" s="3">
        <f>'Data Aset'!F45</f>
        <v/>
      </c>
      <c r="E43" s="3" t="inlineStr">
        <is>
          <t>Elektronik</t>
        </is>
      </c>
      <c r="F43" s="3">
        <f>'Data Aset'!C45</f>
        <v/>
      </c>
      <c r="G43" s="3">
        <f>'Data Aset'!K45</f>
        <v/>
      </c>
      <c r="H43" s="5">
        <f>'Data Aset'!M45</f>
        <v/>
      </c>
      <c r="I43" s="3">
        <f>'Data Aset'!O45</f>
        <v/>
      </c>
      <c r="J43" s="5" t="n">
        <v>0</v>
      </c>
      <c r="K43" s="3" t="inlineStr">
        <is>
          <t>Garis Lurus</t>
        </is>
      </c>
      <c r="L43" s="5">
        <f>IFERROR(M43/12,"")</f>
        <v/>
      </c>
      <c r="M43" s="5">
        <f>IFERROR((H43-J43)/I43,"")</f>
        <v/>
      </c>
      <c r="N43" s="5">
        <f>IFERROR(M43,"")</f>
        <v/>
      </c>
      <c r="O43" s="5">
        <f>IFERROR(H43-N43,"")</f>
        <v/>
      </c>
      <c r="P43" s="3" t="inlineStr">
        <is>
          <t>Belum dihitung</t>
        </is>
      </c>
      <c r="Q43" s="3" t="n"/>
    </row>
    <row r="44">
      <c r="A44" s="3" t="n">
        <v>43</v>
      </c>
      <c r="B44" s="3" t="inlineStr">
        <is>
          <t>Desember 2025</t>
        </is>
      </c>
      <c r="C44" s="3">
        <f>'Data Aset'!B46</f>
        <v/>
      </c>
      <c r="D44" s="3">
        <f>'Data Aset'!F46</f>
        <v/>
      </c>
      <c r="E44" s="3" t="inlineStr">
        <is>
          <t>Elektronik</t>
        </is>
      </c>
      <c r="F44" s="3">
        <f>'Data Aset'!C46</f>
        <v/>
      </c>
      <c r="G44" s="3">
        <f>'Data Aset'!K46</f>
        <v/>
      </c>
      <c r="H44" s="5">
        <f>'Data Aset'!M46</f>
        <v/>
      </c>
      <c r="I44" s="3">
        <f>'Data Aset'!O46</f>
        <v/>
      </c>
      <c r="J44" s="5" t="n">
        <v>0</v>
      </c>
      <c r="K44" s="3" t="inlineStr">
        <is>
          <t>Garis Lurus</t>
        </is>
      </c>
      <c r="L44" s="5">
        <f>IFERROR(M44/12,"")</f>
        <v/>
      </c>
      <c r="M44" s="5">
        <f>IFERROR((H44-J44)/I44,"")</f>
        <v/>
      </c>
      <c r="N44" s="5">
        <f>IFERROR(M44,"")</f>
        <v/>
      </c>
      <c r="O44" s="5">
        <f>IFERROR(H44-N44,"")</f>
        <v/>
      </c>
      <c r="P44" s="3" t="inlineStr">
        <is>
          <t>Belum dihitung</t>
        </is>
      </c>
      <c r="Q44" s="3" t="n"/>
    </row>
    <row r="45">
      <c r="A45" s="3" t="n">
        <v>44</v>
      </c>
      <c r="B45" s="3" t="inlineStr">
        <is>
          <t>Desember 2025</t>
        </is>
      </c>
      <c r="C45" s="3">
        <f>'Data Aset'!B47</f>
        <v/>
      </c>
      <c r="D45" s="3">
        <f>'Data Aset'!F47</f>
        <v/>
      </c>
      <c r="E45" s="3" t="inlineStr">
        <is>
          <t>Elektronik</t>
        </is>
      </c>
      <c r="F45" s="3">
        <f>'Data Aset'!C47</f>
        <v/>
      </c>
      <c r="G45" s="3">
        <f>'Data Aset'!K47</f>
        <v/>
      </c>
      <c r="H45" s="5">
        <f>'Data Aset'!M47</f>
        <v/>
      </c>
      <c r="I45" s="3">
        <f>'Data Aset'!O47</f>
        <v/>
      </c>
      <c r="J45" s="5" t="n">
        <v>0</v>
      </c>
      <c r="K45" s="3" t="inlineStr">
        <is>
          <t>Garis Lurus</t>
        </is>
      </c>
      <c r="L45" s="5">
        <f>IFERROR(M45/12,"")</f>
        <v/>
      </c>
      <c r="M45" s="5">
        <f>IFERROR((H45-J45)/I45,"")</f>
        <v/>
      </c>
      <c r="N45" s="5">
        <f>IFERROR(M45,"")</f>
        <v/>
      </c>
      <c r="O45" s="5">
        <f>IFERROR(H45-N45,"")</f>
        <v/>
      </c>
      <c r="P45" s="3" t="inlineStr">
        <is>
          <t>Belum dihitung</t>
        </is>
      </c>
      <c r="Q45" s="3" t="n"/>
    </row>
    <row r="46">
      <c r="A46" s="3" t="n">
        <v>45</v>
      </c>
      <c r="B46" s="3" t="inlineStr">
        <is>
          <t>Desember 2025</t>
        </is>
      </c>
      <c r="C46" s="3">
        <f>'Data Aset'!B48</f>
        <v/>
      </c>
      <c r="D46" s="3">
        <f>'Data Aset'!F48</f>
        <v/>
      </c>
      <c r="E46" s="3" t="inlineStr">
        <is>
          <t>Elektronik</t>
        </is>
      </c>
      <c r="F46" s="3">
        <f>'Data Aset'!C48</f>
        <v/>
      </c>
      <c r="G46" s="3">
        <f>'Data Aset'!K48</f>
        <v/>
      </c>
      <c r="H46" s="5">
        <f>'Data Aset'!M48</f>
        <v/>
      </c>
      <c r="I46" s="3">
        <f>'Data Aset'!O48</f>
        <v/>
      </c>
      <c r="J46" s="5" t="n">
        <v>0</v>
      </c>
      <c r="K46" s="3" t="inlineStr">
        <is>
          <t>Garis Lurus</t>
        </is>
      </c>
      <c r="L46" s="5">
        <f>IFERROR(M46/12,"")</f>
        <v/>
      </c>
      <c r="M46" s="5">
        <f>IFERROR((H46-J46)/I46,"")</f>
        <v/>
      </c>
      <c r="N46" s="5">
        <f>IFERROR(M46,"")</f>
        <v/>
      </c>
      <c r="O46" s="5">
        <f>IFERROR(H46-N46,"")</f>
        <v/>
      </c>
      <c r="P46" s="3" t="inlineStr">
        <is>
          <t>Belum dihitung</t>
        </is>
      </c>
      <c r="Q46" s="3" t="n"/>
    </row>
    <row r="47">
      <c r="A47" s="3" t="n">
        <v>46</v>
      </c>
      <c r="B47" s="3" t="inlineStr">
        <is>
          <t>Desember 2025</t>
        </is>
      </c>
      <c r="C47" s="3">
        <f>'Data Aset'!B49</f>
        <v/>
      </c>
      <c r="D47" s="3">
        <f>'Data Aset'!F49</f>
        <v/>
      </c>
      <c r="E47" s="3" t="inlineStr">
        <is>
          <t>Elektronik</t>
        </is>
      </c>
      <c r="F47" s="3">
        <f>'Data Aset'!C49</f>
        <v/>
      </c>
      <c r="G47" s="3">
        <f>'Data Aset'!K49</f>
        <v/>
      </c>
      <c r="H47" s="5">
        <f>'Data Aset'!M49</f>
        <v/>
      </c>
      <c r="I47" s="3">
        <f>'Data Aset'!O49</f>
        <v/>
      </c>
      <c r="J47" s="5" t="n">
        <v>0</v>
      </c>
      <c r="K47" s="3" t="inlineStr">
        <is>
          <t>Garis Lurus</t>
        </is>
      </c>
      <c r="L47" s="5">
        <f>IFERROR(M47/12,"")</f>
        <v/>
      </c>
      <c r="M47" s="5">
        <f>IFERROR((H47-J47)/I47,"")</f>
        <v/>
      </c>
      <c r="N47" s="5">
        <f>IFERROR(M47,"")</f>
        <v/>
      </c>
      <c r="O47" s="5">
        <f>IFERROR(H47-N47,"")</f>
        <v/>
      </c>
      <c r="P47" s="3" t="inlineStr">
        <is>
          <t>Belum dihitung</t>
        </is>
      </c>
      <c r="Q47" s="3" t="n"/>
    </row>
    <row r="48">
      <c r="A48" s="3" t="n">
        <v>47</v>
      </c>
      <c r="B48" s="3" t="inlineStr">
        <is>
          <t>Desember 2025</t>
        </is>
      </c>
      <c r="C48" s="3">
        <f>'Data Aset'!B50</f>
        <v/>
      </c>
      <c r="D48" s="3">
        <f>'Data Aset'!F50</f>
        <v/>
      </c>
      <c r="E48" s="3" t="inlineStr">
        <is>
          <t>Elektronik</t>
        </is>
      </c>
      <c r="F48" s="3">
        <f>'Data Aset'!C50</f>
        <v/>
      </c>
      <c r="G48" s="3">
        <f>'Data Aset'!K50</f>
        <v/>
      </c>
      <c r="H48" s="5">
        <f>'Data Aset'!M50</f>
        <v/>
      </c>
      <c r="I48" s="3">
        <f>'Data Aset'!O50</f>
        <v/>
      </c>
      <c r="J48" s="5" t="n">
        <v>0</v>
      </c>
      <c r="K48" s="3" t="inlineStr">
        <is>
          <t>Garis Lurus</t>
        </is>
      </c>
      <c r="L48" s="5">
        <f>IFERROR(M48/12,"")</f>
        <v/>
      </c>
      <c r="M48" s="5">
        <f>IFERROR((H48-J48)/I48,"")</f>
        <v/>
      </c>
      <c r="N48" s="5">
        <f>IFERROR(M48,"")</f>
        <v/>
      </c>
      <c r="O48" s="5">
        <f>IFERROR(H48-N48,"")</f>
        <v/>
      </c>
      <c r="P48" s="3" t="inlineStr">
        <is>
          <t>Belum dihitung</t>
        </is>
      </c>
      <c r="Q48" s="3" t="n"/>
    </row>
    <row r="49">
      <c r="A49" s="3" t="n">
        <v>48</v>
      </c>
      <c r="B49" s="3" t="inlineStr">
        <is>
          <t>Desember 2025</t>
        </is>
      </c>
      <c r="C49" s="3">
        <f>'Data Aset'!B51</f>
        <v/>
      </c>
      <c r="D49" s="3">
        <f>'Data Aset'!F51</f>
        <v/>
      </c>
      <c r="E49" s="3" t="inlineStr">
        <is>
          <t>Elektronik</t>
        </is>
      </c>
      <c r="F49" s="3">
        <f>'Data Aset'!C51</f>
        <v/>
      </c>
      <c r="G49" s="3">
        <f>'Data Aset'!K51</f>
        <v/>
      </c>
      <c r="H49" s="5">
        <f>'Data Aset'!M51</f>
        <v/>
      </c>
      <c r="I49" s="3">
        <f>'Data Aset'!O51</f>
        <v/>
      </c>
      <c r="J49" s="5" t="n">
        <v>0</v>
      </c>
      <c r="K49" s="3" t="inlineStr">
        <is>
          <t>Garis Lurus</t>
        </is>
      </c>
      <c r="L49" s="5">
        <f>IFERROR(M49/12,"")</f>
        <v/>
      </c>
      <c r="M49" s="5">
        <f>IFERROR((H49-J49)/I49,"")</f>
        <v/>
      </c>
      <c r="N49" s="5">
        <f>IFERROR(M49,"")</f>
        <v/>
      </c>
      <c r="O49" s="5">
        <f>IFERROR(H49-N49,"")</f>
        <v/>
      </c>
      <c r="P49" s="3" t="inlineStr">
        <is>
          <t>Belum dihitung</t>
        </is>
      </c>
      <c r="Q49" s="3" t="n"/>
    </row>
    <row r="50">
      <c r="A50" s="3" t="n">
        <v>49</v>
      </c>
      <c r="B50" s="3" t="inlineStr">
        <is>
          <t>Desember 2025</t>
        </is>
      </c>
      <c r="C50" s="3">
        <f>'Data Aset'!B52</f>
        <v/>
      </c>
      <c r="D50" s="3">
        <f>'Data Aset'!F52</f>
        <v/>
      </c>
      <c r="E50" s="3" t="inlineStr">
        <is>
          <t>Elektronik</t>
        </is>
      </c>
      <c r="F50" s="3">
        <f>'Data Aset'!C52</f>
        <v/>
      </c>
      <c r="G50" s="3">
        <f>'Data Aset'!K52</f>
        <v/>
      </c>
      <c r="H50" s="5">
        <f>'Data Aset'!M52</f>
        <v/>
      </c>
      <c r="I50" s="3">
        <f>'Data Aset'!O52</f>
        <v/>
      </c>
      <c r="J50" s="5" t="n">
        <v>0</v>
      </c>
      <c r="K50" s="3" t="inlineStr">
        <is>
          <t>Garis Lurus</t>
        </is>
      </c>
      <c r="L50" s="5">
        <f>IFERROR(M50/12,"")</f>
        <v/>
      </c>
      <c r="M50" s="5">
        <f>IFERROR((H50-J50)/I50,"")</f>
        <v/>
      </c>
      <c r="N50" s="5">
        <f>IFERROR(M50,"")</f>
        <v/>
      </c>
      <c r="O50" s="5">
        <f>IFERROR(H50-N50,"")</f>
        <v/>
      </c>
      <c r="P50" s="3" t="inlineStr">
        <is>
          <t>Belum dihitung</t>
        </is>
      </c>
      <c r="Q50" s="3" t="n"/>
    </row>
    <row r="51">
      <c r="A51" s="3" t="n">
        <v>50</v>
      </c>
      <c r="B51" s="3" t="inlineStr">
        <is>
          <t>Desember 2025</t>
        </is>
      </c>
      <c r="C51" s="3">
        <f>'Data Aset'!B53</f>
        <v/>
      </c>
      <c r="D51" s="3">
        <f>'Data Aset'!F53</f>
        <v/>
      </c>
      <c r="E51" s="3" t="inlineStr">
        <is>
          <t>Elektronik</t>
        </is>
      </c>
      <c r="F51" s="3">
        <f>'Data Aset'!C53</f>
        <v/>
      </c>
      <c r="G51" s="3">
        <f>'Data Aset'!K53</f>
        <v/>
      </c>
      <c r="H51" s="5">
        <f>'Data Aset'!M53</f>
        <v/>
      </c>
      <c r="I51" s="3">
        <f>'Data Aset'!O53</f>
        <v/>
      </c>
      <c r="J51" s="5" t="n">
        <v>0</v>
      </c>
      <c r="K51" s="3" t="inlineStr">
        <is>
          <t>Garis Lurus</t>
        </is>
      </c>
      <c r="L51" s="5">
        <f>IFERROR(M51/12,"")</f>
        <v/>
      </c>
      <c r="M51" s="5">
        <f>IFERROR((H51-J51)/I51,"")</f>
        <v/>
      </c>
      <c r="N51" s="5">
        <f>IFERROR(M51,"")</f>
        <v/>
      </c>
      <c r="O51" s="5">
        <f>IFERROR(H51-N51,"")</f>
        <v/>
      </c>
      <c r="P51" s="3" t="inlineStr">
        <is>
          <t>Belum dihitung</t>
        </is>
      </c>
      <c r="Q51" s="3" t="n"/>
    </row>
    <row r="52">
      <c r="A52" s="3" t="n">
        <v>51</v>
      </c>
      <c r="B52" s="3" t="inlineStr">
        <is>
          <t>Desember 2025</t>
        </is>
      </c>
      <c r="C52" s="3">
        <f>'Data Aset'!B54</f>
        <v/>
      </c>
      <c r="D52" s="3">
        <f>'Data Aset'!F54</f>
        <v/>
      </c>
      <c r="E52" s="3" t="inlineStr">
        <is>
          <t>Elektronik</t>
        </is>
      </c>
      <c r="F52" s="3">
        <f>'Data Aset'!C54</f>
        <v/>
      </c>
      <c r="G52" s="3">
        <f>'Data Aset'!K54</f>
        <v/>
      </c>
      <c r="H52" s="5">
        <f>'Data Aset'!M54</f>
        <v/>
      </c>
      <c r="I52" s="3">
        <f>'Data Aset'!O54</f>
        <v/>
      </c>
      <c r="J52" s="5" t="n">
        <v>0</v>
      </c>
      <c r="K52" s="3" t="inlineStr">
        <is>
          <t>Garis Lurus</t>
        </is>
      </c>
      <c r="L52" s="5">
        <f>IFERROR(M52/12,"")</f>
        <v/>
      </c>
      <c r="M52" s="5">
        <f>IFERROR((H52-J52)/I52,"")</f>
        <v/>
      </c>
      <c r="N52" s="5">
        <f>IFERROR(M52,"")</f>
        <v/>
      </c>
      <c r="O52" s="5">
        <f>IFERROR(H52-N52,"")</f>
        <v/>
      </c>
      <c r="P52" s="3" t="inlineStr">
        <is>
          <t>Belum dihitung</t>
        </is>
      </c>
      <c r="Q52" s="3" t="n"/>
    </row>
    <row r="53">
      <c r="A53" s="3" t="n">
        <v>52</v>
      </c>
      <c r="B53" s="3" t="inlineStr">
        <is>
          <t>Desember 2025</t>
        </is>
      </c>
      <c r="C53" s="3">
        <f>'Data Aset'!B55</f>
        <v/>
      </c>
      <c r="D53" s="3">
        <f>'Data Aset'!F55</f>
        <v/>
      </c>
      <c r="E53" s="3" t="inlineStr">
        <is>
          <t>Elektronik</t>
        </is>
      </c>
      <c r="F53" s="3">
        <f>'Data Aset'!C55</f>
        <v/>
      </c>
      <c r="G53" s="3">
        <f>'Data Aset'!K55</f>
        <v/>
      </c>
      <c r="H53" s="5">
        <f>'Data Aset'!M55</f>
        <v/>
      </c>
      <c r="I53" s="3">
        <f>'Data Aset'!O55</f>
        <v/>
      </c>
      <c r="J53" s="5" t="n">
        <v>0</v>
      </c>
      <c r="K53" s="3" t="inlineStr">
        <is>
          <t>Garis Lurus</t>
        </is>
      </c>
      <c r="L53" s="5">
        <f>IFERROR(M53/12,"")</f>
        <v/>
      </c>
      <c r="M53" s="5">
        <f>IFERROR((H53-J53)/I53,"")</f>
        <v/>
      </c>
      <c r="N53" s="5">
        <f>IFERROR(M53,"")</f>
        <v/>
      </c>
      <c r="O53" s="5">
        <f>IFERROR(H53-N53,"")</f>
        <v/>
      </c>
      <c r="P53" s="3" t="inlineStr">
        <is>
          <t>Belum dihitung</t>
        </is>
      </c>
      <c r="Q53" s="3" t="n"/>
    </row>
    <row r="54">
      <c r="A54" s="3" t="n">
        <v>53</v>
      </c>
      <c r="B54" s="3" t="inlineStr">
        <is>
          <t>Desember 2025</t>
        </is>
      </c>
      <c r="C54" s="3">
        <f>'Data Aset'!B56</f>
        <v/>
      </c>
      <c r="D54" s="3">
        <f>'Data Aset'!F56</f>
        <v/>
      </c>
      <c r="E54" s="3" t="inlineStr">
        <is>
          <t>Elektronik</t>
        </is>
      </c>
      <c r="F54" s="3">
        <f>'Data Aset'!C56</f>
        <v/>
      </c>
      <c r="G54" s="3">
        <f>'Data Aset'!K56</f>
        <v/>
      </c>
      <c r="H54" s="5">
        <f>'Data Aset'!M56</f>
        <v/>
      </c>
      <c r="I54" s="3">
        <f>'Data Aset'!O56</f>
        <v/>
      </c>
      <c r="J54" s="5" t="n">
        <v>0</v>
      </c>
      <c r="K54" s="3" t="inlineStr">
        <is>
          <t>Garis Lurus</t>
        </is>
      </c>
      <c r="L54" s="5">
        <f>IFERROR(M54/12,"")</f>
        <v/>
      </c>
      <c r="M54" s="5">
        <f>IFERROR((H54-J54)/I54,"")</f>
        <v/>
      </c>
      <c r="N54" s="5">
        <f>IFERROR(M54,"")</f>
        <v/>
      </c>
      <c r="O54" s="5">
        <f>IFERROR(H54-N54,"")</f>
        <v/>
      </c>
      <c r="P54" s="3" t="inlineStr">
        <is>
          <t>Belum dihitung</t>
        </is>
      </c>
      <c r="Q54" s="3" t="n"/>
    </row>
    <row r="55">
      <c r="A55" s="3" t="n">
        <v>54</v>
      </c>
      <c r="B55" s="3" t="inlineStr">
        <is>
          <t>Desember 2025</t>
        </is>
      </c>
      <c r="C55" s="3">
        <f>'Data Aset'!B57</f>
        <v/>
      </c>
      <c r="D55" s="3">
        <f>'Data Aset'!F57</f>
        <v/>
      </c>
      <c r="E55" s="3" t="inlineStr">
        <is>
          <t>Elektronik</t>
        </is>
      </c>
      <c r="F55" s="3">
        <f>'Data Aset'!C57</f>
        <v/>
      </c>
      <c r="G55" s="3">
        <f>'Data Aset'!K57</f>
        <v/>
      </c>
      <c r="H55" s="5">
        <f>'Data Aset'!M57</f>
        <v/>
      </c>
      <c r="I55" s="3">
        <f>'Data Aset'!O57</f>
        <v/>
      </c>
      <c r="J55" s="5" t="n">
        <v>0</v>
      </c>
      <c r="K55" s="3" t="inlineStr">
        <is>
          <t>Garis Lurus</t>
        </is>
      </c>
      <c r="L55" s="5">
        <f>IFERROR(M55/12,"")</f>
        <v/>
      </c>
      <c r="M55" s="5">
        <f>IFERROR((H55-J55)/I55,"")</f>
        <v/>
      </c>
      <c r="N55" s="5">
        <f>IFERROR(M55,"")</f>
        <v/>
      </c>
      <c r="O55" s="5">
        <f>IFERROR(H55-N55,"")</f>
        <v/>
      </c>
      <c r="P55" s="3" t="inlineStr">
        <is>
          <t>Belum dihitung</t>
        </is>
      </c>
      <c r="Q55" s="3" t="n"/>
    </row>
    <row r="56">
      <c r="A56" s="3" t="n">
        <v>55</v>
      </c>
      <c r="B56" s="3" t="inlineStr">
        <is>
          <t>Desember 2025</t>
        </is>
      </c>
      <c r="C56" s="3">
        <f>'Data Aset'!B58</f>
        <v/>
      </c>
      <c r="D56" s="3">
        <f>'Data Aset'!F58</f>
        <v/>
      </c>
      <c r="E56" s="3" t="inlineStr">
        <is>
          <t>Elektronik</t>
        </is>
      </c>
      <c r="F56" s="3">
        <f>'Data Aset'!C58</f>
        <v/>
      </c>
      <c r="G56" s="3">
        <f>'Data Aset'!K58</f>
        <v/>
      </c>
      <c r="H56" s="5">
        <f>'Data Aset'!M58</f>
        <v/>
      </c>
      <c r="I56" s="3">
        <f>'Data Aset'!O58</f>
        <v/>
      </c>
      <c r="J56" s="5" t="n">
        <v>0</v>
      </c>
      <c r="K56" s="3" t="inlineStr">
        <is>
          <t>Garis Lurus</t>
        </is>
      </c>
      <c r="L56" s="5">
        <f>IFERROR(M56/12,"")</f>
        <v/>
      </c>
      <c r="M56" s="5">
        <f>IFERROR((H56-J56)/I56,"")</f>
        <v/>
      </c>
      <c r="N56" s="5">
        <f>IFERROR(M56,"")</f>
        <v/>
      </c>
      <c r="O56" s="5">
        <f>IFERROR(H56-N56,"")</f>
        <v/>
      </c>
      <c r="P56" s="3" t="inlineStr">
        <is>
          <t>Belum dihitung</t>
        </is>
      </c>
      <c r="Q56" s="3" t="n"/>
    </row>
    <row r="57">
      <c r="A57" s="3" t="n">
        <v>56</v>
      </c>
      <c r="B57" s="3" t="inlineStr">
        <is>
          <t>Desember 2025</t>
        </is>
      </c>
      <c r="C57" s="3">
        <f>'Data Aset'!B59</f>
        <v/>
      </c>
      <c r="D57" s="3">
        <f>'Data Aset'!F59</f>
        <v/>
      </c>
      <c r="E57" s="3" t="inlineStr">
        <is>
          <t>Elektronik</t>
        </is>
      </c>
      <c r="F57" s="3">
        <f>'Data Aset'!C59</f>
        <v/>
      </c>
      <c r="G57" s="3">
        <f>'Data Aset'!K59</f>
        <v/>
      </c>
      <c r="H57" s="5">
        <f>'Data Aset'!M59</f>
        <v/>
      </c>
      <c r="I57" s="3">
        <f>'Data Aset'!O59</f>
        <v/>
      </c>
      <c r="J57" s="5" t="n">
        <v>0</v>
      </c>
      <c r="K57" s="3" t="inlineStr">
        <is>
          <t>Garis Lurus</t>
        </is>
      </c>
      <c r="L57" s="5">
        <f>IFERROR(M57/12,"")</f>
        <v/>
      </c>
      <c r="M57" s="5">
        <f>IFERROR((H57-J57)/I57,"")</f>
        <v/>
      </c>
      <c r="N57" s="5">
        <f>IFERROR(M57,"")</f>
        <v/>
      </c>
      <c r="O57" s="5">
        <f>IFERROR(H57-N57,"")</f>
        <v/>
      </c>
      <c r="P57" s="3" t="inlineStr">
        <is>
          <t>Belum dihitung</t>
        </is>
      </c>
      <c r="Q57" s="3" t="n"/>
    </row>
    <row r="58">
      <c r="A58" s="3" t="n">
        <v>57</v>
      </c>
      <c r="B58" s="3" t="inlineStr">
        <is>
          <t>Desember 2025</t>
        </is>
      </c>
      <c r="C58" s="3">
        <f>'Data Aset'!B60</f>
        <v/>
      </c>
      <c r="D58" s="3">
        <f>'Data Aset'!F60</f>
        <v/>
      </c>
      <c r="E58" s="3" t="inlineStr">
        <is>
          <t>Elektronik</t>
        </is>
      </c>
      <c r="F58" s="3">
        <f>'Data Aset'!C60</f>
        <v/>
      </c>
      <c r="G58" s="3">
        <f>'Data Aset'!K60</f>
        <v/>
      </c>
      <c r="H58" s="5">
        <f>'Data Aset'!M60</f>
        <v/>
      </c>
      <c r="I58" s="3">
        <f>'Data Aset'!O60</f>
        <v/>
      </c>
      <c r="J58" s="5" t="n">
        <v>0</v>
      </c>
      <c r="K58" s="3" t="inlineStr">
        <is>
          <t>Garis Lurus</t>
        </is>
      </c>
      <c r="L58" s="5">
        <f>IFERROR(M58/12,"")</f>
        <v/>
      </c>
      <c r="M58" s="5">
        <f>IFERROR((H58-J58)/I58,"")</f>
        <v/>
      </c>
      <c r="N58" s="5">
        <f>IFERROR(M58,"")</f>
        <v/>
      </c>
      <c r="O58" s="5">
        <f>IFERROR(H58-N58,"")</f>
        <v/>
      </c>
      <c r="P58" s="3" t="inlineStr">
        <is>
          <t>Belum dihitung</t>
        </is>
      </c>
      <c r="Q58" s="3" t="n"/>
    </row>
    <row r="59">
      <c r="A59" s="3" t="n">
        <v>58</v>
      </c>
      <c r="B59" s="3" t="inlineStr">
        <is>
          <t>Desember 2025</t>
        </is>
      </c>
      <c r="C59" s="3">
        <f>'Data Aset'!B61</f>
        <v/>
      </c>
      <c r="D59" s="3">
        <f>'Data Aset'!F61</f>
        <v/>
      </c>
      <c r="E59" s="3" t="inlineStr">
        <is>
          <t>Elektronik</t>
        </is>
      </c>
      <c r="F59" s="3">
        <f>'Data Aset'!C61</f>
        <v/>
      </c>
      <c r="G59" s="3">
        <f>'Data Aset'!K61</f>
        <v/>
      </c>
      <c r="H59" s="5">
        <f>'Data Aset'!M61</f>
        <v/>
      </c>
      <c r="I59" s="3">
        <f>'Data Aset'!O61</f>
        <v/>
      </c>
      <c r="J59" s="5" t="n">
        <v>0</v>
      </c>
      <c r="K59" s="3" t="inlineStr">
        <is>
          <t>Garis Lurus</t>
        </is>
      </c>
      <c r="L59" s="5">
        <f>IFERROR(M59/12,"")</f>
        <v/>
      </c>
      <c r="M59" s="5">
        <f>IFERROR((H59-J59)/I59,"")</f>
        <v/>
      </c>
      <c r="N59" s="5">
        <f>IFERROR(M59,"")</f>
        <v/>
      </c>
      <c r="O59" s="5">
        <f>IFERROR(H59-N59,"")</f>
        <v/>
      </c>
      <c r="P59" s="3" t="inlineStr">
        <is>
          <t>Belum dihitung</t>
        </is>
      </c>
      <c r="Q59" s="3" t="n"/>
    </row>
    <row r="60">
      <c r="A60" s="3" t="n">
        <v>59</v>
      </c>
      <c r="B60" s="3" t="inlineStr">
        <is>
          <t>Desember 2025</t>
        </is>
      </c>
      <c r="C60" s="3">
        <f>'Data Aset'!B62</f>
        <v/>
      </c>
      <c r="D60" s="3">
        <f>'Data Aset'!F62</f>
        <v/>
      </c>
      <c r="E60" s="3" t="inlineStr">
        <is>
          <t>Elektronik</t>
        </is>
      </c>
      <c r="F60" s="3">
        <f>'Data Aset'!C62</f>
        <v/>
      </c>
      <c r="G60" s="3">
        <f>'Data Aset'!K62</f>
        <v/>
      </c>
      <c r="H60" s="5">
        <f>'Data Aset'!M62</f>
        <v/>
      </c>
      <c r="I60" s="3">
        <f>'Data Aset'!O62</f>
        <v/>
      </c>
      <c r="J60" s="5" t="n">
        <v>0</v>
      </c>
      <c r="K60" s="3" t="inlineStr">
        <is>
          <t>Garis Lurus</t>
        </is>
      </c>
      <c r="L60" s="5">
        <f>IFERROR(M60/12,"")</f>
        <v/>
      </c>
      <c r="M60" s="5">
        <f>IFERROR((H60-J60)/I60,"")</f>
        <v/>
      </c>
      <c r="N60" s="5">
        <f>IFERROR(M60,"")</f>
        <v/>
      </c>
      <c r="O60" s="5">
        <f>IFERROR(H60-N60,"")</f>
        <v/>
      </c>
      <c r="P60" s="3" t="inlineStr">
        <is>
          <t>Belum dihitung</t>
        </is>
      </c>
      <c r="Q60" s="3" t="n"/>
    </row>
    <row r="61">
      <c r="A61" s="3" t="n">
        <v>60</v>
      </c>
      <c r="B61" s="3" t="inlineStr">
        <is>
          <t>Desember 2025</t>
        </is>
      </c>
      <c r="C61" s="3">
        <f>'Data Aset'!B63</f>
        <v/>
      </c>
      <c r="D61" s="3">
        <f>'Data Aset'!F63</f>
        <v/>
      </c>
      <c r="E61" s="3" t="inlineStr">
        <is>
          <t>Elektronik</t>
        </is>
      </c>
      <c r="F61" s="3">
        <f>'Data Aset'!C63</f>
        <v/>
      </c>
      <c r="G61" s="3">
        <f>'Data Aset'!K63</f>
        <v/>
      </c>
      <c r="H61" s="5">
        <f>'Data Aset'!M63</f>
        <v/>
      </c>
      <c r="I61" s="3">
        <f>'Data Aset'!O63</f>
        <v/>
      </c>
      <c r="J61" s="5" t="n">
        <v>0</v>
      </c>
      <c r="K61" s="3" t="inlineStr">
        <is>
          <t>Garis Lurus</t>
        </is>
      </c>
      <c r="L61" s="5">
        <f>IFERROR(M61/12,"")</f>
        <v/>
      </c>
      <c r="M61" s="5">
        <f>IFERROR((H61-J61)/I61,"")</f>
        <v/>
      </c>
      <c r="N61" s="5">
        <f>IFERROR(M61,"")</f>
        <v/>
      </c>
      <c r="O61" s="5">
        <f>IFERROR(H61-N61,"")</f>
        <v/>
      </c>
      <c r="P61" s="3" t="inlineStr">
        <is>
          <t>Belum dihitung</t>
        </is>
      </c>
      <c r="Q61" s="3" t="n"/>
    </row>
    <row r="62">
      <c r="A62" s="3" t="n">
        <v>61</v>
      </c>
      <c r="B62" s="3" t="inlineStr">
        <is>
          <t>Desember 2025</t>
        </is>
      </c>
      <c r="C62" s="3">
        <f>'Data Aset'!B64</f>
        <v/>
      </c>
      <c r="D62" s="3">
        <f>'Data Aset'!F64</f>
        <v/>
      </c>
      <c r="E62" s="3" t="inlineStr">
        <is>
          <t>Elektronik</t>
        </is>
      </c>
      <c r="F62" s="3">
        <f>'Data Aset'!C64</f>
        <v/>
      </c>
      <c r="G62" s="3">
        <f>'Data Aset'!K64</f>
        <v/>
      </c>
      <c r="H62" s="5">
        <f>'Data Aset'!M64</f>
        <v/>
      </c>
      <c r="I62" s="3">
        <f>'Data Aset'!O64</f>
        <v/>
      </c>
      <c r="J62" s="5" t="n">
        <v>0</v>
      </c>
      <c r="K62" s="3" t="inlineStr">
        <is>
          <t>Garis Lurus</t>
        </is>
      </c>
      <c r="L62" s="5">
        <f>IFERROR(M62/12,"")</f>
        <v/>
      </c>
      <c r="M62" s="5">
        <f>IFERROR((H62-J62)/I62,"")</f>
        <v/>
      </c>
      <c r="N62" s="5">
        <f>IFERROR(M62,"")</f>
        <v/>
      </c>
      <c r="O62" s="5">
        <f>IFERROR(H62-N62,"")</f>
        <v/>
      </c>
      <c r="P62" s="3" t="inlineStr">
        <is>
          <t>Belum dihitung</t>
        </is>
      </c>
      <c r="Q62" s="3" t="n"/>
    </row>
    <row r="63">
      <c r="A63" s="3" t="n">
        <v>62</v>
      </c>
      <c r="B63" s="3" t="inlineStr">
        <is>
          <t>Desember 2025</t>
        </is>
      </c>
      <c r="C63" s="3">
        <f>'Data Aset'!B65</f>
        <v/>
      </c>
      <c r="D63" s="3">
        <f>'Data Aset'!F65</f>
        <v/>
      </c>
      <c r="E63" s="3" t="inlineStr">
        <is>
          <t>Elektronik</t>
        </is>
      </c>
      <c r="F63" s="3">
        <f>'Data Aset'!C65</f>
        <v/>
      </c>
      <c r="G63" s="3">
        <f>'Data Aset'!K65</f>
        <v/>
      </c>
      <c r="H63" s="5">
        <f>'Data Aset'!M65</f>
        <v/>
      </c>
      <c r="I63" s="3">
        <f>'Data Aset'!O65</f>
        <v/>
      </c>
      <c r="J63" s="5" t="n">
        <v>0</v>
      </c>
      <c r="K63" s="3" t="inlineStr">
        <is>
          <t>Garis Lurus</t>
        </is>
      </c>
      <c r="L63" s="5">
        <f>IFERROR(M63/12,"")</f>
        <v/>
      </c>
      <c r="M63" s="5">
        <f>IFERROR((H63-J63)/I63,"")</f>
        <v/>
      </c>
      <c r="N63" s="5">
        <f>IFERROR(M63,"")</f>
        <v/>
      </c>
      <c r="O63" s="5">
        <f>IFERROR(H63-N63,"")</f>
        <v/>
      </c>
      <c r="P63" s="3" t="inlineStr">
        <is>
          <t>Belum dihitung</t>
        </is>
      </c>
      <c r="Q63" s="3" t="n"/>
    </row>
    <row r="64">
      <c r="A64" s="3" t="n">
        <v>63</v>
      </c>
      <c r="B64" s="3" t="inlineStr">
        <is>
          <t>Desember 2025</t>
        </is>
      </c>
      <c r="C64" s="3">
        <f>'Data Aset'!B66</f>
        <v/>
      </c>
      <c r="D64" s="3">
        <f>'Data Aset'!F66</f>
        <v/>
      </c>
      <c r="E64" s="3" t="inlineStr">
        <is>
          <t>Elektronik</t>
        </is>
      </c>
      <c r="F64" s="3">
        <f>'Data Aset'!C66</f>
        <v/>
      </c>
      <c r="G64" s="3">
        <f>'Data Aset'!K66</f>
        <v/>
      </c>
      <c r="H64" s="5">
        <f>'Data Aset'!M66</f>
        <v/>
      </c>
      <c r="I64" s="3">
        <f>'Data Aset'!O66</f>
        <v/>
      </c>
      <c r="J64" s="5" t="n">
        <v>0</v>
      </c>
      <c r="K64" s="3" t="inlineStr">
        <is>
          <t>Garis Lurus</t>
        </is>
      </c>
      <c r="L64" s="5">
        <f>IFERROR(M64/12,"")</f>
        <v/>
      </c>
      <c r="M64" s="5">
        <f>IFERROR((H64-J64)/I64,"")</f>
        <v/>
      </c>
      <c r="N64" s="5">
        <f>IFERROR(M64,"")</f>
        <v/>
      </c>
      <c r="O64" s="5">
        <f>IFERROR(H64-N64,"")</f>
        <v/>
      </c>
      <c r="P64" s="3" t="inlineStr">
        <is>
          <t>Belum dihitung</t>
        </is>
      </c>
      <c r="Q64" s="3" t="n"/>
    </row>
    <row r="65">
      <c r="A65" s="3" t="n">
        <v>64</v>
      </c>
      <c r="B65" s="3" t="inlineStr">
        <is>
          <t>Desember 2025</t>
        </is>
      </c>
      <c r="C65" s="3">
        <f>'Data Aset'!B67</f>
        <v/>
      </c>
      <c r="D65" s="3">
        <f>'Data Aset'!F67</f>
        <v/>
      </c>
      <c r="E65" s="3" t="inlineStr">
        <is>
          <t>Elektronik</t>
        </is>
      </c>
      <c r="F65" s="3">
        <f>'Data Aset'!C67</f>
        <v/>
      </c>
      <c r="G65" s="3">
        <f>'Data Aset'!K67</f>
        <v/>
      </c>
      <c r="H65" s="5">
        <f>'Data Aset'!M67</f>
        <v/>
      </c>
      <c r="I65" s="3">
        <f>'Data Aset'!O67</f>
        <v/>
      </c>
      <c r="J65" s="5" t="n">
        <v>0</v>
      </c>
      <c r="K65" s="3" t="inlineStr">
        <is>
          <t>Garis Lurus</t>
        </is>
      </c>
      <c r="L65" s="5">
        <f>IFERROR(M65/12,"")</f>
        <v/>
      </c>
      <c r="M65" s="5">
        <f>IFERROR((H65-J65)/I65,"")</f>
        <v/>
      </c>
      <c r="N65" s="5">
        <f>IFERROR(M65,"")</f>
        <v/>
      </c>
      <c r="O65" s="5">
        <f>IFERROR(H65-N65,"")</f>
        <v/>
      </c>
      <c r="P65" s="3" t="inlineStr">
        <is>
          <t>Belum dihitung</t>
        </is>
      </c>
      <c r="Q65" s="3" t="n"/>
    </row>
    <row r="66">
      <c r="A66" s="3" t="n">
        <v>65</v>
      </c>
      <c r="B66" s="3" t="inlineStr">
        <is>
          <t>Desember 2025</t>
        </is>
      </c>
      <c r="C66" s="3">
        <f>'Data Aset'!B68</f>
        <v/>
      </c>
      <c r="D66" s="3">
        <f>'Data Aset'!F68</f>
        <v/>
      </c>
      <c r="E66" s="3" t="inlineStr">
        <is>
          <t>Elektronik</t>
        </is>
      </c>
      <c r="F66" s="3">
        <f>'Data Aset'!C68</f>
        <v/>
      </c>
      <c r="G66" s="3">
        <f>'Data Aset'!K68</f>
        <v/>
      </c>
      <c r="H66" s="5">
        <f>'Data Aset'!M68</f>
        <v/>
      </c>
      <c r="I66" s="3">
        <f>'Data Aset'!O68</f>
        <v/>
      </c>
      <c r="J66" s="5" t="n">
        <v>0</v>
      </c>
      <c r="K66" s="3" t="inlineStr">
        <is>
          <t>Garis Lurus</t>
        </is>
      </c>
      <c r="L66" s="5">
        <f>IFERROR(M66/12,"")</f>
        <v/>
      </c>
      <c r="M66" s="5">
        <f>IFERROR((H66-J66)/I66,"")</f>
        <v/>
      </c>
      <c r="N66" s="5">
        <f>IFERROR(M66,"")</f>
        <v/>
      </c>
      <c r="O66" s="5">
        <f>IFERROR(H66-N66,"")</f>
        <v/>
      </c>
      <c r="P66" s="3" t="inlineStr">
        <is>
          <t>Belum dihitung</t>
        </is>
      </c>
      <c r="Q66" s="3" t="n"/>
    </row>
    <row r="67">
      <c r="A67" s="3" t="n">
        <v>66</v>
      </c>
      <c r="B67" s="3" t="inlineStr">
        <is>
          <t>Desember 2025</t>
        </is>
      </c>
      <c r="C67" s="3">
        <f>'Data Aset'!B69</f>
        <v/>
      </c>
      <c r="D67" s="3">
        <f>'Data Aset'!F69</f>
        <v/>
      </c>
      <c r="E67" s="3" t="inlineStr">
        <is>
          <t>Elektronik</t>
        </is>
      </c>
      <c r="F67" s="3">
        <f>'Data Aset'!C69</f>
        <v/>
      </c>
      <c r="G67" s="3">
        <f>'Data Aset'!K69</f>
        <v/>
      </c>
      <c r="H67" s="5">
        <f>'Data Aset'!M69</f>
        <v/>
      </c>
      <c r="I67" s="3">
        <f>'Data Aset'!O69</f>
        <v/>
      </c>
      <c r="J67" s="5" t="n">
        <v>0</v>
      </c>
      <c r="K67" s="3" t="inlineStr">
        <is>
          <t>Garis Lurus</t>
        </is>
      </c>
      <c r="L67" s="5">
        <f>IFERROR(M67/12,"")</f>
        <v/>
      </c>
      <c r="M67" s="5">
        <f>IFERROR((H67-J67)/I67,"")</f>
        <v/>
      </c>
      <c r="N67" s="5">
        <f>IFERROR(M67,"")</f>
        <v/>
      </c>
      <c r="O67" s="5">
        <f>IFERROR(H67-N67,"")</f>
        <v/>
      </c>
      <c r="P67" s="3" t="inlineStr">
        <is>
          <t>Belum dihitung</t>
        </is>
      </c>
      <c r="Q67" s="3" t="n"/>
    </row>
    <row r="68">
      <c r="A68" s="3" t="n">
        <v>67</v>
      </c>
      <c r="B68" s="3" t="inlineStr">
        <is>
          <t>Desember 2025</t>
        </is>
      </c>
      <c r="C68" s="3">
        <f>'Data Aset'!B70</f>
        <v/>
      </c>
      <c r="D68" s="3">
        <f>'Data Aset'!F70</f>
        <v/>
      </c>
      <c r="E68" s="3" t="inlineStr">
        <is>
          <t>Elektronik</t>
        </is>
      </c>
      <c r="F68" s="3">
        <f>'Data Aset'!C70</f>
        <v/>
      </c>
      <c r="G68" s="3">
        <f>'Data Aset'!K70</f>
        <v/>
      </c>
      <c r="H68" s="5">
        <f>'Data Aset'!M70</f>
        <v/>
      </c>
      <c r="I68" s="3">
        <f>'Data Aset'!O70</f>
        <v/>
      </c>
      <c r="J68" s="5" t="n">
        <v>0</v>
      </c>
      <c r="K68" s="3" t="inlineStr">
        <is>
          <t>Garis Lurus</t>
        </is>
      </c>
      <c r="L68" s="5">
        <f>IFERROR(M68/12,"")</f>
        <v/>
      </c>
      <c r="M68" s="5">
        <f>IFERROR((H68-J68)/I68,"")</f>
        <v/>
      </c>
      <c r="N68" s="5">
        <f>IFERROR(M68,"")</f>
        <v/>
      </c>
      <c r="O68" s="5">
        <f>IFERROR(H68-N68,"")</f>
        <v/>
      </c>
      <c r="P68" s="3" t="inlineStr">
        <is>
          <t>Belum dihitung</t>
        </is>
      </c>
      <c r="Q68" s="3" t="n"/>
    </row>
    <row r="69">
      <c r="A69" s="3" t="n">
        <v>68</v>
      </c>
      <c r="B69" s="3" t="inlineStr">
        <is>
          <t>Desember 2025</t>
        </is>
      </c>
      <c r="C69" s="3">
        <f>'Data Aset'!B71</f>
        <v/>
      </c>
      <c r="D69" s="3">
        <f>'Data Aset'!F71</f>
        <v/>
      </c>
      <c r="E69" s="3" t="inlineStr">
        <is>
          <t>Elektronik</t>
        </is>
      </c>
      <c r="F69" s="3">
        <f>'Data Aset'!C71</f>
        <v/>
      </c>
      <c r="G69" s="3">
        <f>'Data Aset'!K71</f>
        <v/>
      </c>
      <c r="H69" s="5">
        <f>'Data Aset'!M71</f>
        <v/>
      </c>
      <c r="I69" s="3">
        <f>'Data Aset'!O71</f>
        <v/>
      </c>
      <c r="J69" s="5" t="n">
        <v>0</v>
      </c>
      <c r="K69" s="3" t="inlineStr">
        <is>
          <t>Garis Lurus</t>
        </is>
      </c>
      <c r="L69" s="5">
        <f>IFERROR(M69/12,"")</f>
        <v/>
      </c>
      <c r="M69" s="5">
        <f>IFERROR((H69-J69)/I69,"")</f>
        <v/>
      </c>
      <c r="N69" s="5">
        <f>IFERROR(M69,"")</f>
        <v/>
      </c>
      <c r="O69" s="5">
        <f>IFERROR(H69-N69,"")</f>
        <v/>
      </c>
      <c r="P69" s="3" t="inlineStr">
        <is>
          <t>Belum dihitung</t>
        </is>
      </c>
      <c r="Q69" s="3" t="n"/>
    </row>
    <row r="70">
      <c r="A70" s="3" t="n">
        <v>69</v>
      </c>
      <c r="B70" s="3" t="inlineStr">
        <is>
          <t>Desember 2025</t>
        </is>
      </c>
      <c r="C70" s="3">
        <f>'Data Aset'!B72</f>
        <v/>
      </c>
      <c r="D70" s="3">
        <f>'Data Aset'!F72</f>
        <v/>
      </c>
      <c r="E70" s="3" t="inlineStr">
        <is>
          <t>Elektronik</t>
        </is>
      </c>
      <c r="F70" s="3">
        <f>'Data Aset'!C72</f>
        <v/>
      </c>
      <c r="G70" s="3">
        <f>'Data Aset'!K72</f>
        <v/>
      </c>
      <c r="H70" s="5">
        <f>'Data Aset'!M72</f>
        <v/>
      </c>
      <c r="I70" s="3">
        <f>'Data Aset'!O72</f>
        <v/>
      </c>
      <c r="J70" s="5" t="n">
        <v>0</v>
      </c>
      <c r="K70" s="3" t="inlineStr">
        <is>
          <t>Garis Lurus</t>
        </is>
      </c>
      <c r="L70" s="5">
        <f>IFERROR(M70/12,"")</f>
        <v/>
      </c>
      <c r="M70" s="5">
        <f>IFERROR((H70-J70)/I70,"")</f>
        <v/>
      </c>
      <c r="N70" s="5">
        <f>IFERROR(M70,"")</f>
        <v/>
      </c>
      <c r="O70" s="5">
        <f>IFERROR(H70-N70,"")</f>
        <v/>
      </c>
      <c r="P70" s="3" t="inlineStr">
        <is>
          <t>Belum dihitung</t>
        </is>
      </c>
      <c r="Q70" s="3" t="n"/>
    </row>
    <row r="71">
      <c r="A71" s="3" t="n">
        <v>70</v>
      </c>
      <c r="B71" s="3" t="inlineStr">
        <is>
          <t>Desember 2025</t>
        </is>
      </c>
      <c r="C71" s="3">
        <f>'Data Aset'!B73</f>
        <v/>
      </c>
      <c r="D71" s="3">
        <f>'Data Aset'!F73</f>
        <v/>
      </c>
      <c r="E71" s="3" t="inlineStr">
        <is>
          <t>Elektronik</t>
        </is>
      </c>
      <c r="F71" s="3">
        <f>'Data Aset'!C73</f>
        <v/>
      </c>
      <c r="G71" s="3">
        <f>'Data Aset'!K73</f>
        <v/>
      </c>
      <c r="H71" s="5">
        <f>'Data Aset'!M73</f>
        <v/>
      </c>
      <c r="I71" s="3">
        <f>'Data Aset'!O73</f>
        <v/>
      </c>
      <c r="J71" s="5" t="n">
        <v>0</v>
      </c>
      <c r="K71" s="3" t="inlineStr">
        <is>
          <t>Garis Lurus</t>
        </is>
      </c>
      <c r="L71" s="5">
        <f>IFERROR(M71/12,"")</f>
        <v/>
      </c>
      <c r="M71" s="5">
        <f>IFERROR((H71-J71)/I71,"")</f>
        <v/>
      </c>
      <c r="N71" s="5">
        <f>IFERROR(M71,"")</f>
        <v/>
      </c>
      <c r="O71" s="5">
        <f>IFERROR(H71-N71,"")</f>
        <v/>
      </c>
      <c r="P71" s="3" t="inlineStr">
        <is>
          <t>Belum dihitung</t>
        </is>
      </c>
      <c r="Q71" s="3" t="n"/>
    </row>
    <row r="72">
      <c r="A72" s="3" t="n">
        <v>71</v>
      </c>
      <c r="B72" s="3" t="inlineStr">
        <is>
          <t>Desember 2025</t>
        </is>
      </c>
      <c r="C72" s="3">
        <f>'Data Aset'!B74</f>
        <v/>
      </c>
      <c r="D72" s="3">
        <f>'Data Aset'!F74</f>
        <v/>
      </c>
      <c r="E72" s="3" t="inlineStr">
        <is>
          <t>Elektronik</t>
        </is>
      </c>
      <c r="F72" s="3">
        <f>'Data Aset'!C74</f>
        <v/>
      </c>
      <c r="G72" s="3">
        <f>'Data Aset'!K74</f>
        <v/>
      </c>
      <c r="H72" s="5">
        <f>'Data Aset'!M74</f>
        <v/>
      </c>
      <c r="I72" s="3">
        <f>'Data Aset'!O74</f>
        <v/>
      </c>
      <c r="J72" s="5" t="n">
        <v>0</v>
      </c>
      <c r="K72" s="3" t="inlineStr">
        <is>
          <t>Garis Lurus</t>
        </is>
      </c>
      <c r="L72" s="5">
        <f>IFERROR(M72/12,"")</f>
        <v/>
      </c>
      <c r="M72" s="5">
        <f>IFERROR((H72-J72)/I72,"")</f>
        <v/>
      </c>
      <c r="N72" s="5">
        <f>IFERROR(M72,"")</f>
        <v/>
      </c>
      <c r="O72" s="5">
        <f>IFERROR(H72-N72,"")</f>
        <v/>
      </c>
      <c r="P72" s="3" t="inlineStr">
        <is>
          <t>Belum dihitung</t>
        </is>
      </c>
      <c r="Q72" s="3" t="n"/>
    </row>
    <row r="73">
      <c r="A73" s="3" t="n">
        <v>72</v>
      </c>
      <c r="B73" s="3" t="inlineStr">
        <is>
          <t>Desember 2025</t>
        </is>
      </c>
      <c r="C73" s="3">
        <f>'Data Aset'!B75</f>
        <v/>
      </c>
      <c r="D73" s="3">
        <f>'Data Aset'!F75</f>
        <v/>
      </c>
      <c r="E73" s="3" t="inlineStr">
        <is>
          <t>Elektronik</t>
        </is>
      </c>
      <c r="F73" s="3">
        <f>'Data Aset'!C75</f>
        <v/>
      </c>
      <c r="G73" s="3">
        <f>'Data Aset'!K75</f>
        <v/>
      </c>
      <c r="H73" s="5">
        <f>'Data Aset'!M75</f>
        <v/>
      </c>
      <c r="I73" s="3">
        <f>'Data Aset'!O75</f>
        <v/>
      </c>
      <c r="J73" s="5" t="n">
        <v>0</v>
      </c>
      <c r="K73" s="3" t="inlineStr">
        <is>
          <t>Garis Lurus</t>
        </is>
      </c>
      <c r="L73" s="5">
        <f>IFERROR(M73/12,"")</f>
        <v/>
      </c>
      <c r="M73" s="5">
        <f>IFERROR((H73-J73)/I73,"")</f>
        <v/>
      </c>
      <c r="N73" s="5">
        <f>IFERROR(M73,"")</f>
        <v/>
      </c>
      <c r="O73" s="5">
        <f>IFERROR(H73-N73,"")</f>
        <v/>
      </c>
      <c r="P73" s="3" t="inlineStr">
        <is>
          <t>Belum dihitung</t>
        </is>
      </c>
      <c r="Q73" s="3" t="n"/>
    </row>
    <row r="74">
      <c r="A74" s="3" t="n">
        <v>73</v>
      </c>
      <c r="B74" s="3" t="inlineStr">
        <is>
          <t>Desember 2025</t>
        </is>
      </c>
      <c r="C74" s="3">
        <f>'Data Aset'!B76</f>
        <v/>
      </c>
      <c r="D74" s="3">
        <f>'Data Aset'!F76</f>
        <v/>
      </c>
      <c r="E74" s="3" t="inlineStr">
        <is>
          <t>Elektronik</t>
        </is>
      </c>
      <c r="F74" s="3">
        <f>'Data Aset'!C76</f>
        <v/>
      </c>
      <c r="G74" s="3">
        <f>'Data Aset'!K76</f>
        <v/>
      </c>
      <c r="H74" s="5">
        <f>'Data Aset'!M76</f>
        <v/>
      </c>
      <c r="I74" s="3">
        <f>'Data Aset'!O76</f>
        <v/>
      </c>
      <c r="J74" s="5" t="n">
        <v>0</v>
      </c>
      <c r="K74" s="3" t="inlineStr">
        <is>
          <t>Garis Lurus</t>
        </is>
      </c>
      <c r="L74" s="5">
        <f>IFERROR(M74/12,"")</f>
        <v/>
      </c>
      <c r="M74" s="5">
        <f>IFERROR((H74-J74)/I74,"")</f>
        <v/>
      </c>
      <c r="N74" s="5">
        <f>IFERROR(M74,"")</f>
        <v/>
      </c>
      <c r="O74" s="5">
        <f>IFERROR(H74-N74,"")</f>
        <v/>
      </c>
      <c r="P74" s="3" t="inlineStr">
        <is>
          <t>Belum dihitung</t>
        </is>
      </c>
      <c r="Q74" s="3" t="n"/>
    </row>
    <row r="75">
      <c r="A75" s="3" t="n">
        <v>74</v>
      </c>
      <c r="B75" s="3" t="inlineStr">
        <is>
          <t>Desember 2025</t>
        </is>
      </c>
      <c r="C75" s="3">
        <f>'Data Aset'!B77</f>
        <v/>
      </c>
      <c r="D75" s="3">
        <f>'Data Aset'!F77</f>
        <v/>
      </c>
      <c r="E75" s="3" t="inlineStr">
        <is>
          <t>Elektronik</t>
        </is>
      </c>
      <c r="F75" s="3">
        <f>'Data Aset'!C77</f>
        <v/>
      </c>
      <c r="G75" s="3">
        <f>'Data Aset'!K77</f>
        <v/>
      </c>
      <c r="H75" s="5">
        <f>'Data Aset'!M77</f>
        <v/>
      </c>
      <c r="I75" s="3">
        <f>'Data Aset'!O77</f>
        <v/>
      </c>
      <c r="J75" s="5" t="n">
        <v>0</v>
      </c>
      <c r="K75" s="3" t="inlineStr">
        <is>
          <t>Garis Lurus</t>
        </is>
      </c>
      <c r="L75" s="5">
        <f>IFERROR(M75/12,"")</f>
        <v/>
      </c>
      <c r="M75" s="5">
        <f>IFERROR((H75-J75)/I75,"")</f>
        <v/>
      </c>
      <c r="N75" s="5">
        <f>IFERROR(M75,"")</f>
        <v/>
      </c>
      <c r="O75" s="5">
        <f>IFERROR(H75-N75,"")</f>
        <v/>
      </c>
      <c r="P75" s="3" t="inlineStr">
        <is>
          <t>Belum dihitung</t>
        </is>
      </c>
      <c r="Q75" s="3" t="n"/>
    </row>
    <row r="76">
      <c r="A76" s="3" t="n">
        <v>75</v>
      </c>
      <c r="B76" s="3" t="inlineStr">
        <is>
          <t>Desember 2025</t>
        </is>
      </c>
      <c r="C76" s="3">
        <f>'Data Aset'!B78</f>
        <v/>
      </c>
      <c r="D76" s="3">
        <f>'Data Aset'!F78</f>
        <v/>
      </c>
      <c r="E76" s="3" t="inlineStr">
        <is>
          <t>Elektronik</t>
        </is>
      </c>
      <c r="F76" s="3">
        <f>'Data Aset'!C78</f>
        <v/>
      </c>
      <c r="G76" s="3">
        <f>'Data Aset'!K78</f>
        <v/>
      </c>
      <c r="H76" s="5">
        <f>'Data Aset'!M78</f>
        <v/>
      </c>
      <c r="I76" s="3">
        <f>'Data Aset'!O78</f>
        <v/>
      </c>
      <c r="J76" s="5" t="n">
        <v>0</v>
      </c>
      <c r="K76" s="3" t="inlineStr">
        <is>
          <t>Garis Lurus</t>
        </is>
      </c>
      <c r="L76" s="5">
        <f>IFERROR(M76/12,"")</f>
        <v/>
      </c>
      <c r="M76" s="5">
        <f>IFERROR((H76-J76)/I76,"")</f>
        <v/>
      </c>
      <c r="N76" s="5">
        <f>IFERROR(M76,"")</f>
        <v/>
      </c>
      <c r="O76" s="5">
        <f>IFERROR(H76-N76,"")</f>
        <v/>
      </c>
      <c r="P76" s="3" t="inlineStr">
        <is>
          <t>Belum dihitung</t>
        </is>
      </c>
      <c r="Q76" s="3" t="n"/>
    </row>
    <row r="77">
      <c r="A77" s="3" t="n">
        <v>76</v>
      </c>
      <c r="B77" s="3" t="inlineStr">
        <is>
          <t>Desember 2025</t>
        </is>
      </c>
      <c r="C77" s="3">
        <f>'Data Aset'!B79</f>
        <v/>
      </c>
      <c r="D77" s="3">
        <f>'Data Aset'!F79</f>
        <v/>
      </c>
      <c r="E77" s="3" t="inlineStr">
        <is>
          <t>Elektronik</t>
        </is>
      </c>
      <c r="F77" s="3">
        <f>'Data Aset'!C79</f>
        <v/>
      </c>
      <c r="G77" s="3">
        <f>'Data Aset'!K79</f>
        <v/>
      </c>
      <c r="H77" s="5">
        <f>'Data Aset'!M79</f>
        <v/>
      </c>
      <c r="I77" s="3">
        <f>'Data Aset'!O79</f>
        <v/>
      </c>
      <c r="J77" s="5" t="n">
        <v>0</v>
      </c>
      <c r="K77" s="3" t="inlineStr">
        <is>
          <t>Garis Lurus</t>
        </is>
      </c>
      <c r="L77" s="5">
        <f>IFERROR(M77/12,"")</f>
        <v/>
      </c>
      <c r="M77" s="5">
        <f>IFERROR((H77-J77)/I77,"")</f>
        <v/>
      </c>
      <c r="N77" s="5">
        <f>IFERROR(M77,"")</f>
        <v/>
      </c>
      <c r="O77" s="5">
        <f>IFERROR(H77-N77,"")</f>
        <v/>
      </c>
      <c r="P77" s="3" t="inlineStr">
        <is>
          <t>Belum dihitung</t>
        </is>
      </c>
      <c r="Q77" s="3" t="n"/>
    </row>
    <row r="78">
      <c r="A78" s="3" t="n">
        <v>77</v>
      </c>
      <c r="B78" s="3" t="inlineStr">
        <is>
          <t>Desember 2025</t>
        </is>
      </c>
      <c r="C78" s="3">
        <f>'Data Aset'!B80</f>
        <v/>
      </c>
      <c r="D78" s="3">
        <f>'Data Aset'!F80</f>
        <v/>
      </c>
      <c r="E78" s="3" t="inlineStr">
        <is>
          <t>Elektronik</t>
        </is>
      </c>
      <c r="F78" s="3">
        <f>'Data Aset'!C80</f>
        <v/>
      </c>
      <c r="G78" s="3">
        <f>'Data Aset'!K80</f>
        <v/>
      </c>
      <c r="H78" s="5">
        <f>'Data Aset'!M80</f>
        <v/>
      </c>
      <c r="I78" s="3">
        <f>'Data Aset'!O80</f>
        <v/>
      </c>
      <c r="J78" s="5" t="n">
        <v>0</v>
      </c>
      <c r="K78" s="3" t="inlineStr">
        <is>
          <t>Garis Lurus</t>
        </is>
      </c>
      <c r="L78" s="5">
        <f>IFERROR(M78/12,"")</f>
        <v/>
      </c>
      <c r="M78" s="5">
        <f>IFERROR((H78-J78)/I78,"")</f>
        <v/>
      </c>
      <c r="N78" s="5">
        <f>IFERROR(M78,"")</f>
        <v/>
      </c>
      <c r="O78" s="5">
        <f>IFERROR(H78-N78,"")</f>
        <v/>
      </c>
      <c r="P78" s="3" t="inlineStr">
        <is>
          <t>Belum dihitung</t>
        </is>
      </c>
      <c r="Q78" s="3" t="n"/>
    </row>
    <row r="79">
      <c r="A79" s="3" t="n">
        <v>78</v>
      </c>
      <c r="B79" s="3" t="inlineStr">
        <is>
          <t>Desember 2025</t>
        </is>
      </c>
      <c r="C79" s="3">
        <f>'Data Aset'!B81</f>
        <v/>
      </c>
      <c r="D79" s="3">
        <f>'Data Aset'!F81</f>
        <v/>
      </c>
      <c r="E79" s="3" t="inlineStr">
        <is>
          <t>Elektronik</t>
        </is>
      </c>
      <c r="F79" s="3">
        <f>'Data Aset'!C81</f>
        <v/>
      </c>
      <c r="G79" s="3">
        <f>'Data Aset'!K81</f>
        <v/>
      </c>
      <c r="H79" s="5">
        <f>'Data Aset'!M81</f>
        <v/>
      </c>
      <c r="I79" s="3">
        <f>'Data Aset'!O81</f>
        <v/>
      </c>
      <c r="J79" s="5" t="n">
        <v>0</v>
      </c>
      <c r="K79" s="3" t="inlineStr">
        <is>
          <t>Garis Lurus</t>
        </is>
      </c>
      <c r="L79" s="5">
        <f>IFERROR(M79/12,"")</f>
        <v/>
      </c>
      <c r="M79" s="5">
        <f>IFERROR((H79-J79)/I79,"")</f>
        <v/>
      </c>
      <c r="N79" s="5">
        <f>IFERROR(M79,"")</f>
        <v/>
      </c>
      <c r="O79" s="5">
        <f>IFERROR(H79-N79,"")</f>
        <v/>
      </c>
      <c r="P79" s="3" t="inlineStr">
        <is>
          <t>Belum dihitung</t>
        </is>
      </c>
      <c r="Q79" s="3" t="n"/>
    </row>
    <row r="80">
      <c r="A80" s="3" t="n">
        <v>79</v>
      </c>
      <c r="B80" s="3" t="inlineStr">
        <is>
          <t>Desember 2025</t>
        </is>
      </c>
      <c r="C80" s="3">
        <f>'Data Aset'!B82</f>
        <v/>
      </c>
      <c r="D80" s="3">
        <f>'Data Aset'!F82</f>
        <v/>
      </c>
      <c r="E80" s="3" t="inlineStr">
        <is>
          <t>Elektronik</t>
        </is>
      </c>
      <c r="F80" s="3">
        <f>'Data Aset'!C82</f>
        <v/>
      </c>
      <c r="G80" s="3">
        <f>'Data Aset'!K82</f>
        <v/>
      </c>
      <c r="H80" s="5">
        <f>'Data Aset'!M82</f>
        <v/>
      </c>
      <c r="I80" s="3">
        <f>'Data Aset'!O82</f>
        <v/>
      </c>
      <c r="J80" s="5" t="n">
        <v>0</v>
      </c>
      <c r="K80" s="3" t="inlineStr">
        <is>
          <t>Garis Lurus</t>
        </is>
      </c>
      <c r="L80" s="5">
        <f>IFERROR(M80/12,"")</f>
        <v/>
      </c>
      <c r="M80" s="5">
        <f>IFERROR((H80-J80)/I80,"")</f>
        <v/>
      </c>
      <c r="N80" s="5">
        <f>IFERROR(M80,"")</f>
        <v/>
      </c>
      <c r="O80" s="5">
        <f>IFERROR(H80-N80,"")</f>
        <v/>
      </c>
      <c r="P80" s="3" t="inlineStr">
        <is>
          <t>Belum dihitung</t>
        </is>
      </c>
      <c r="Q80" s="3" t="n"/>
    </row>
    <row r="81">
      <c r="A81" s="3" t="n">
        <v>80</v>
      </c>
      <c r="B81" s="3" t="inlineStr">
        <is>
          <t>Desember 2025</t>
        </is>
      </c>
      <c r="C81" s="3">
        <f>'Data Aset'!B83</f>
        <v/>
      </c>
      <c r="D81" s="3">
        <f>'Data Aset'!F83</f>
        <v/>
      </c>
      <c r="E81" s="3" t="inlineStr">
        <is>
          <t>Elektronik</t>
        </is>
      </c>
      <c r="F81" s="3">
        <f>'Data Aset'!C83</f>
        <v/>
      </c>
      <c r="G81" s="3">
        <f>'Data Aset'!K83</f>
        <v/>
      </c>
      <c r="H81" s="5">
        <f>'Data Aset'!M83</f>
        <v/>
      </c>
      <c r="I81" s="3">
        <f>'Data Aset'!O83</f>
        <v/>
      </c>
      <c r="J81" s="5" t="n">
        <v>0</v>
      </c>
      <c r="K81" s="3" t="inlineStr">
        <is>
          <t>Garis Lurus</t>
        </is>
      </c>
      <c r="L81" s="5">
        <f>IFERROR(M81/12,"")</f>
        <v/>
      </c>
      <c r="M81" s="5">
        <f>IFERROR((H81-J81)/I81,"")</f>
        <v/>
      </c>
      <c r="N81" s="5">
        <f>IFERROR(M81,"")</f>
        <v/>
      </c>
      <c r="O81" s="5">
        <f>IFERROR(H81-N81,"")</f>
        <v/>
      </c>
      <c r="P81" s="3" t="inlineStr">
        <is>
          <t>Belum dihitung</t>
        </is>
      </c>
      <c r="Q81" s="3" t="n"/>
    </row>
    <row r="82">
      <c r="A82" s="3" t="n">
        <v>81</v>
      </c>
      <c r="B82" s="3" t="inlineStr">
        <is>
          <t>Desember 2025</t>
        </is>
      </c>
      <c r="C82" s="3">
        <f>'Data Aset'!B84</f>
        <v/>
      </c>
      <c r="D82" s="3">
        <f>'Data Aset'!F84</f>
        <v/>
      </c>
      <c r="E82" s="3" t="inlineStr">
        <is>
          <t>Elektronik</t>
        </is>
      </c>
      <c r="F82" s="3">
        <f>'Data Aset'!C84</f>
        <v/>
      </c>
      <c r="G82" s="3">
        <f>'Data Aset'!K84</f>
        <v/>
      </c>
      <c r="H82" s="5">
        <f>'Data Aset'!M84</f>
        <v/>
      </c>
      <c r="I82" s="3">
        <f>'Data Aset'!O84</f>
        <v/>
      </c>
      <c r="J82" s="5" t="n">
        <v>0</v>
      </c>
      <c r="K82" s="3" t="inlineStr">
        <is>
          <t>Garis Lurus</t>
        </is>
      </c>
      <c r="L82" s="5">
        <f>IFERROR(M82/12,"")</f>
        <v/>
      </c>
      <c r="M82" s="5">
        <f>IFERROR((H82-J82)/I82,"")</f>
        <v/>
      </c>
      <c r="N82" s="5">
        <f>IFERROR(M82,"")</f>
        <v/>
      </c>
      <c r="O82" s="5">
        <f>IFERROR(H82-N82,"")</f>
        <v/>
      </c>
      <c r="P82" s="3" t="inlineStr">
        <is>
          <t>Belum dihitung</t>
        </is>
      </c>
      <c r="Q82" s="3" t="n"/>
    </row>
    <row r="83">
      <c r="A83" s="3" t="n">
        <v>82</v>
      </c>
      <c r="B83" s="3" t="inlineStr">
        <is>
          <t>Desember 2025</t>
        </is>
      </c>
      <c r="C83" s="3">
        <f>'Data Aset'!B85</f>
        <v/>
      </c>
      <c r="D83" s="3">
        <f>'Data Aset'!F85</f>
        <v/>
      </c>
      <c r="E83" s="3" t="inlineStr">
        <is>
          <t>Elektronik</t>
        </is>
      </c>
      <c r="F83" s="3">
        <f>'Data Aset'!C85</f>
        <v/>
      </c>
      <c r="G83" s="3">
        <f>'Data Aset'!K85</f>
        <v/>
      </c>
      <c r="H83" s="5">
        <f>'Data Aset'!M85</f>
        <v/>
      </c>
      <c r="I83" s="3">
        <f>'Data Aset'!O85</f>
        <v/>
      </c>
      <c r="J83" s="5" t="n">
        <v>0</v>
      </c>
      <c r="K83" s="3" t="inlineStr">
        <is>
          <t>Garis Lurus</t>
        </is>
      </c>
      <c r="L83" s="5">
        <f>IFERROR(M83/12,"")</f>
        <v/>
      </c>
      <c r="M83" s="5">
        <f>IFERROR((H83-J83)/I83,"")</f>
        <v/>
      </c>
      <c r="N83" s="5">
        <f>IFERROR(M83,"")</f>
        <v/>
      </c>
      <c r="O83" s="5">
        <f>IFERROR(H83-N83,"")</f>
        <v/>
      </c>
      <c r="P83" s="3" t="inlineStr">
        <is>
          <t>Belum dihitung</t>
        </is>
      </c>
      <c r="Q83" s="3" t="n"/>
    </row>
    <row r="84">
      <c r="A84" s="3" t="n">
        <v>83</v>
      </c>
      <c r="B84" s="3" t="inlineStr">
        <is>
          <t>Desember 2025</t>
        </is>
      </c>
      <c r="C84" s="3">
        <f>'Data Aset'!B86</f>
        <v/>
      </c>
      <c r="D84" s="3">
        <f>'Data Aset'!F86</f>
        <v/>
      </c>
      <c r="E84" s="3" t="inlineStr">
        <is>
          <t>Elektronik</t>
        </is>
      </c>
      <c r="F84" s="3">
        <f>'Data Aset'!C86</f>
        <v/>
      </c>
      <c r="G84" s="3">
        <f>'Data Aset'!K86</f>
        <v/>
      </c>
      <c r="H84" s="5">
        <f>'Data Aset'!M86</f>
        <v/>
      </c>
      <c r="I84" s="3">
        <f>'Data Aset'!O86</f>
        <v/>
      </c>
      <c r="J84" s="5" t="n">
        <v>0</v>
      </c>
      <c r="K84" s="3" t="inlineStr">
        <is>
          <t>Garis Lurus</t>
        </is>
      </c>
      <c r="L84" s="5">
        <f>IFERROR(M84/12,"")</f>
        <v/>
      </c>
      <c r="M84" s="5">
        <f>IFERROR((H84-J84)/I84,"")</f>
        <v/>
      </c>
      <c r="N84" s="5">
        <f>IFERROR(M84,"")</f>
        <v/>
      </c>
      <c r="O84" s="5">
        <f>IFERROR(H84-N84,"")</f>
        <v/>
      </c>
      <c r="P84" s="3" t="inlineStr">
        <is>
          <t>Belum dihitung</t>
        </is>
      </c>
      <c r="Q84" s="3" t="n"/>
    </row>
    <row r="85">
      <c r="A85" s="3" t="n">
        <v>84</v>
      </c>
      <c r="B85" s="3" t="inlineStr">
        <is>
          <t>Desember 2025</t>
        </is>
      </c>
      <c r="C85" s="3">
        <f>'Data Aset'!B87</f>
        <v/>
      </c>
      <c r="D85" s="3">
        <f>'Data Aset'!F87</f>
        <v/>
      </c>
      <c r="E85" s="3" t="inlineStr">
        <is>
          <t>Elektronik</t>
        </is>
      </c>
      <c r="F85" s="3">
        <f>'Data Aset'!C87</f>
        <v/>
      </c>
      <c r="G85" s="3">
        <f>'Data Aset'!K87</f>
        <v/>
      </c>
      <c r="H85" s="5">
        <f>'Data Aset'!M87</f>
        <v/>
      </c>
      <c r="I85" s="3">
        <f>'Data Aset'!O87</f>
        <v/>
      </c>
      <c r="J85" s="5" t="n">
        <v>0</v>
      </c>
      <c r="K85" s="3" t="inlineStr">
        <is>
          <t>Garis Lurus</t>
        </is>
      </c>
      <c r="L85" s="5">
        <f>IFERROR(M85/12,"")</f>
        <v/>
      </c>
      <c r="M85" s="5">
        <f>IFERROR((H85-J85)/I85,"")</f>
        <v/>
      </c>
      <c r="N85" s="5">
        <f>IFERROR(M85,"")</f>
        <v/>
      </c>
      <c r="O85" s="5">
        <f>IFERROR(H85-N85,"")</f>
        <v/>
      </c>
      <c r="P85" s="3" t="inlineStr">
        <is>
          <t>Belum dihitung</t>
        </is>
      </c>
      <c r="Q85" s="3" t="n"/>
    </row>
    <row r="86">
      <c r="A86" s="3" t="n">
        <v>85</v>
      </c>
      <c r="B86" s="3" t="inlineStr">
        <is>
          <t>Desember 2025</t>
        </is>
      </c>
      <c r="C86" s="3">
        <f>'Data Aset'!B88</f>
        <v/>
      </c>
      <c r="D86" s="3">
        <f>'Data Aset'!F88</f>
        <v/>
      </c>
      <c r="E86" s="3" t="inlineStr">
        <is>
          <t>Elektronik</t>
        </is>
      </c>
      <c r="F86" s="3">
        <f>'Data Aset'!C88</f>
        <v/>
      </c>
      <c r="G86" s="3">
        <f>'Data Aset'!K88</f>
        <v/>
      </c>
      <c r="H86" s="5">
        <f>'Data Aset'!M88</f>
        <v/>
      </c>
      <c r="I86" s="3">
        <f>'Data Aset'!O88</f>
        <v/>
      </c>
      <c r="J86" s="5" t="n">
        <v>0</v>
      </c>
      <c r="K86" s="3" t="inlineStr">
        <is>
          <t>Garis Lurus</t>
        </is>
      </c>
      <c r="L86" s="5">
        <f>IFERROR(M86/12,"")</f>
        <v/>
      </c>
      <c r="M86" s="5">
        <f>IFERROR((H86-J86)/I86,"")</f>
        <v/>
      </c>
      <c r="N86" s="5">
        <f>IFERROR(M86,"")</f>
        <v/>
      </c>
      <c r="O86" s="5">
        <f>IFERROR(H86-N86,"")</f>
        <v/>
      </c>
      <c r="P86" s="3" t="inlineStr">
        <is>
          <t>Belum dihitung</t>
        </is>
      </c>
      <c r="Q86" s="3" t="n"/>
    </row>
    <row r="87">
      <c r="A87" s="3" t="n">
        <v>86</v>
      </c>
      <c r="B87" s="3" t="inlineStr">
        <is>
          <t>Desember 2025</t>
        </is>
      </c>
      <c r="C87" s="3">
        <f>'Data Aset'!B89</f>
        <v/>
      </c>
      <c r="D87" s="3">
        <f>'Data Aset'!F89</f>
        <v/>
      </c>
      <c r="E87" s="3" t="inlineStr">
        <is>
          <t>Elektronik</t>
        </is>
      </c>
      <c r="F87" s="3">
        <f>'Data Aset'!C89</f>
        <v/>
      </c>
      <c r="G87" s="3">
        <f>'Data Aset'!K89</f>
        <v/>
      </c>
      <c r="H87" s="5">
        <f>'Data Aset'!M89</f>
        <v/>
      </c>
      <c r="I87" s="3">
        <f>'Data Aset'!O89</f>
        <v/>
      </c>
      <c r="J87" s="5" t="n">
        <v>0</v>
      </c>
      <c r="K87" s="3" t="inlineStr">
        <is>
          <t>Garis Lurus</t>
        </is>
      </c>
      <c r="L87" s="5">
        <f>IFERROR(M87/12,"")</f>
        <v/>
      </c>
      <c r="M87" s="5">
        <f>IFERROR((H87-J87)/I87,"")</f>
        <v/>
      </c>
      <c r="N87" s="5">
        <f>IFERROR(M87,"")</f>
        <v/>
      </c>
      <c r="O87" s="5">
        <f>IFERROR(H87-N87,"")</f>
        <v/>
      </c>
      <c r="P87" s="3" t="inlineStr">
        <is>
          <t>Belum dihitung</t>
        </is>
      </c>
      <c r="Q87" s="3" t="n"/>
    </row>
    <row r="88">
      <c r="A88" s="3" t="n">
        <v>87</v>
      </c>
      <c r="B88" s="3" t="inlineStr">
        <is>
          <t>Desember 2025</t>
        </is>
      </c>
      <c r="C88" s="3">
        <f>'Data Aset'!B90</f>
        <v/>
      </c>
      <c r="D88" s="3">
        <f>'Data Aset'!F90</f>
        <v/>
      </c>
      <c r="E88" s="3" t="inlineStr">
        <is>
          <t>Elektronik</t>
        </is>
      </c>
      <c r="F88" s="3">
        <f>'Data Aset'!C90</f>
        <v/>
      </c>
      <c r="G88" s="3">
        <f>'Data Aset'!K90</f>
        <v/>
      </c>
      <c r="H88" s="5">
        <f>'Data Aset'!M90</f>
        <v/>
      </c>
      <c r="I88" s="3">
        <f>'Data Aset'!O90</f>
        <v/>
      </c>
      <c r="J88" s="5" t="n">
        <v>0</v>
      </c>
      <c r="K88" s="3" t="inlineStr">
        <is>
          <t>Garis Lurus</t>
        </is>
      </c>
      <c r="L88" s="5">
        <f>IFERROR(M88/12,"")</f>
        <v/>
      </c>
      <c r="M88" s="5">
        <f>IFERROR((H88-J88)/I88,"")</f>
        <v/>
      </c>
      <c r="N88" s="5">
        <f>IFERROR(M88,"")</f>
        <v/>
      </c>
      <c r="O88" s="5">
        <f>IFERROR(H88-N88,"")</f>
        <v/>
      </c>
      <c r="P88" s="3" t="inlineStr">
        <is>
          <t>Belum dihitung</t>
        </is>
      </c>
      <c r="Q88" s="3" t="n"/>
    </row>
    <row r="89">
      <c r="A89" s="3" t="n">
        <v>88</v>
      </c>
      <c r="B89" s="3" t="inlineStr">
        <is>
          <t>Desember 2025</t>
        </is>
      </c>
      <c r="C89" s="3">
        <f>'Data Aset'!B91</f>
        <v/>
      </c>
      <c r="D89" s="3">
        <f>'Data Aset'!F91</f>
        <v/>
      </c>
      <c r="E89" s="3" t="inlineStr">
        <is>
          <t>Elektronik</t>
        </is>
      </c>
      <c r="F89" s="3">
        <f>'Data Aset'!C91</f>
        <v/>
      </c>
      <c r="G89" s="3">
        <f>'Data Aset'!K91</f>
        <v/>
      </c>
      <c r="H89" s="5">
        <f>'Data Aset'!M91</f>
        <v/>
      </c>
      <c r="I89" s="3">
        <f>'Data Aset'!O91</f>
        <v/>
      </c>
      <c r="J89" s="5" t="n">
        <v>0</v>
      </c>
      <c r="K89" s="3" t="inlineStr">
        <is>
          <t>Garis Lurus</t>
        </is>
      </c>
      <c r="L89" s="5">
        <f>IFERROR(M89/12,"")</f>
        <v/>
      </c>
      <c r="M89" s="5">
        <f>IFERROR((H89-J89)/I89,"")</f>
        <v/>
      </c>
      <c r="N89" s="5">
        <f>IFERROR(M89,"")</f>
        <v/>
      </c>
      <c r="O89" s="5">
        <f>IFERROR(H89-N89,"")</f>
        <v/>
      </c>
      <c r="P89" s="3" t="inlineStr">
        <is>
          <t>Belum dihitung</t>
        </is>
      </c>
      <c r="Q89" s="3" t="n"/>
    </row>
    <row r="90">
      <c r="A90" s="3" t="n">
        <v>89</v>
      </c>
      <c r="B90" s="3" t="inlineStr">
        <is>
          <t>Desember 2025</t>
        </is>
      </c>
      <c r="C90" s="3">
        <f>'Data Aset'!B92</f>
        <v/>
      </c>
      <c r="D90" s="3">
        <f>'Data Aset'!F92</f>
        <v/>
      </c>
      <c r="E90" s="3" t="inlineStr">
        <is>
          <t>Elektronik</t>
        </is>
      </c>
      <c r="F90" s="3">
        <f>'Data Aset'!C92</f>
        <v/>
      </c>
      <c r="G90" s="3">
        <f>'Data Aset'!K92</f>
        <v/>
      </c>
      <c r="H90" s="5">
        <f>'Data Aset'!M92</f>
        <v/>
      </c>
      <c r="I90" s="3">
        <f>'Data Aset'!O92</f>
        <v/>
      </c>
      <c r="J90" s="5" t="n">
        <v>0</v>
      </c>
      <c r="K90" s="3" t="inlineStr">
        <is>
          <t>Garis Lurus</t>
        </is>
      </c>
      <c r="L90" s="5">
        <f>IFERROR(M90/12,"")</f>
        <v/>
      </c>
      <c r="M90" s="5">
        <f>IFERROR((H90-J90)/I90,"")</f>
        <v/>
      </c>
      <c r="N90" s="5">
        <f>IFERROR(M90,"")</f>
        <v/>
      </c>
      <c r="O90" s="5">
        <f>IFERROR(H90-N90,"")</f>
        <v/>
      </c>
      <c r="P90" s="3" t="inlineStr">
        <is>
          <t>Belum dihitung</t>
        </is>
      </c>
      <c r="Q90" s="3" t="n"/>
    </row>
    <row r="91">
      <c r="A91" s="3" t="n">
        <v>90</v>
      </c>
      <c r="B91" s="3" t="inlineStr">
        <is>
          <t>Desember 2025</t>
        </is>
      </c>
      <c r="C91" s="3">
        <f>'Data Aset'!B93</f>
        <v/>
      </c>
      <c r="D91" s="3">
        <f>'Data Aset'!F93</f>
        <v/>
      </c>
      <c r="E91" s="3" t="inlineStr">
        <is>
          <t>Elektronik</t>
        </is>
      </c>
      <c r="F91" s="3">
        <f>'Data Aset'!C93</f>
        <v/>
      </c>
      <c r="G91" s="3">
        <f>'Data Aset'!K93</f>
        <v/>
      </c>
      <c r="H91" s="5">
        <f>'Data Aset'!M93</f>
        <v/>
      </c>
      <c r="I91" s="3">
        <f>'Data Aset'!O93</f>
        <v/>
      </c>
      <c r="J91" s="5" t="n">
        <v>0</v>
      </c>
      <c r="K91" s="3" t="inlineStr">
        <is>
          <t>Garis Lurus</t>
        </is>
      </c>
      <c r="L91" s="5">
        <f>IFERROR(M91/12,"")</f>
        <v/>
      </c>
      <c r="M91" s="5">
        <f>IFERROR((H91-J91)/I91,"")</f>
        <v/>
      </c>
      <c r="N91" s="5">
        <f>IFERROR(M91,"")</f>
        <v/>
      </c>
      <c r="O91" s="5">
        <f>IFERROR(H91-N91,"")</f>
        <v/>
      </c>
      <c r="P91" s="3" t="inlineStr">
        <is>
          <t>Belum dihitung</t>
        </is>
      </c>
      <c r="Q91" s="3" t="n"/>
    </row>
    <row r="92">
      <c r="A92" s="3" t="n">
        <v>91</v>
      </c>
      <c r="B92" s="3" t="inlineStr">
        <is>
          <t>Desember 2025</t>
        </is>
      </c>
      <c r="C92" s="3">
        <f>'Data Aset'!B94</f>
        <v/>
      </c>
      <c r="D92" s="3">
        <f>'Data Aset'!F94</f>
        <v/>
      </c>
      <c r="E92" s="3" t="inlineStr">
        <is>
          <t>Elektronik</t>
        </is>
      </c>
      <c r="F92" s="3">
        <f>'Data Aset'!C94</f>
        <v/>
      </c>
      <c r="G92" s="3">
        <f>'Data Aset'!K94</f>
        <v/>
      </c>
      <c r="H92" s="5">
        <f>'Data Aset'!M94</f>
        <v/>
      </c>
      <c r="I92" s="3">
        <f>'Data Aset'!O94</f>
        <v/>
      </c>
      <c r="J92" s="5" t="n">
        <v>0</v>
      </c>
      <c r="K92" s="3" t="inlineStr">
        <is>
          <t>Garis Lurus</t>
        </is>
      </c>
      <c r="L92" s="5">
        <f>IFERROR(M92/12,"")</f>
        <v/>
      </c>
      <c r="M92" s="5">
        <f>IFERROR((H92-J92)/I92,"")</f>
        <v/>
      </c>
      <c r="N92" s="5">
        <f>IFERROR(M92,"")</f>
        <v/>
      </c>
      <c r="O92" s="5">
        <f>IFERROR(H92-N92,"")</f>
        <v/>
      </c>
      <c r="P92" s="3" t="inlineStr">
        <is>
          <t>Belum dihitung</t>
        </is>
      </c>
      <c r="Q92" s="3" t="n"/>
    </row>
    <row r="93">
      <c r="A93" s="3" t="n">
        <v>92</v>
      </c>
      <c r="B93" s="3" t="inlineStr">
        <is>
          <t>Desember 2025</t>
        </is>
      </c>
      <c r="C93" s="3">
        <f>'Data Aset'!B95</f>
        <v/>
      </c>
      <c r="D93" s="3">
        <f>'Data Aset'!F95</f>
        <v/>
      </c>
      <c r="E93" s="3" t="inlineStr">
        <is>
          <t>Elektronik</t>
        </is>
      </c>
      <c r="F93" s="3">
        <f>'Data Aset'!C95</f>
        <v/>
      </c>
      <c r="G93" s="3">
        <f>'Data Aset'!K95</f>
        <v/>
      </c>
      <c r="H93" s="5">
        <f>'Data Aset'!M95</f>
        <v/>
      </c>
      <c r="I93" s="3">
        <f>'Data Aset'!O95</f>
        <v/>
      </c>
      <c r="J93" s="5" t="n">
        <v>0</v>
      </c>
      <c r="K93" s="3" t="inlineStr">
        <is>
          <t>Garis Lurus</t>
        </is>
      </c>
      <c r="L93" s="5">
        <f>IFERROR(M93/12,"")</f>
        <v/>
      </c>
      <c r="M93" s="5">
        <f>IFERROR((H93-J93)/I93,"")</f>
        <v/>
      </c>
      <c r="N93" s="5">
        <f>IFERROR(M93,"")</f>
        <v/>
      </c>
      <c r="O93" s="5">
        <f>IFERROR(H93-N93,"")</f>
        <v/>
      </c>
      <c r="P93" s="3" t="inlineStr">
        <is>
          <t>Belum dihitung</t>
        </is>
      </c>
      <c r="Q93" s="3" t="n"/>
    </row>
    <row r="94">
      <c r="A94" s="3" t="n">
        <v>93</v>
      </c>
      <c r="B94" s="3" t="inlineStr">
        <is>
          <t>Desember 2025</t>
        </is>
      </c>
      <c r="C94" s="3">
        <f>'Data Aset'!B96</f>
        <v/>
      </c>
      <c r="D94" s="3">
        <f>'Data Aset'!F96</f>
        <v/>
      </c>
      <c r="E94" s="3" t="inlineStr">
        <is>
          <t>Elektronik</t>
        </is>
      </c>
      <c r="F94" s="3">
        <f>'Data Aset'!C96</f>
        <v/>
      </c>
      <c r="G94" s="3">
        <f>'Data Aset'!K96</f>
        <v/>
      </c>
      <c r="H94" s="5">
        <f>'Data Aset'!M96</f>
        <v/>
      </c>
      <c r="I94" s="3">
        <f>'Data Aset'!O96</f>
        <v/>
      </c>
      <c r="J94" s="5" t="n">
        <v>0</v>
      </c>
      <c r="K94" s="3" t="inlineStr">
        <is>
          <t>Garis Lurus</t>
        </is>
      </c>
      <c r="L94" s="5">
        <f>IFERROR(M94/12,"")</f>
        <v/>
      </c>
      <c r="M94" s="5">
        <f>IFERROR((H94-J94)/I94,"")</f>
        <v/>
      </c>
      <c r="N94" s="5">
        <f>IFERROR(M94,"")</f>
        <v/>
      </c>
      <c r="O94" s="5">
        <f>IFERROR(H94-N94,"")</f>
        <v/>
      </c>
      <c r="P94" s="3" t="inlineStr">
        <is>
          <t>Belum dihitung</t>
        </is>
      </c>
      <c r="Q94" s="3" t="n"/>
    </row>
    <row r="95">
      <c r="A95" s="3" t="n">
        <v>94</v>
      </c>
      <c r="B95" s="3" t="inlineStr">
        <is>
          <t>Desember 2025</t>
        </is>
      </c>
      <c r="C95" s="3">
        <f>'Data Aset'!B97</f>
        <v/>
      </c>
      <c r="D95" s="3">
        <f>'Data Aset'!F97</f>
        <v/>
      </c>
      <c r="E95" s="3" t="inlineStr">
        <is>
          <t>Elektronik</t>
        </is>
      </c>
      <c r="F95" s="3">
        <f>'Data Aset'!C97</f>
        <v/>
      </c>
      <c r="G95" s="3">
        <f>'Data Aset'!K97</f>
        <v/>
      </c>
      <c r="H95" s="5">
        <f>'Data Aset'!M97</f>
        <v/>
      </c>
      <c r="I95" s="3">
        <f>'Data Aset'!O97</f>
        <v/>
      </c>
      <c r="J95" s="5" t="n">
        <v>0</v>
      </c>
      <c r="K95" s="3" t="inlineStr">
        <is>
          <t>Garis Lurus</t>
        </is>
      </c>
      <c r="L95" s="5">
        <f>IFERROR(M95/12,"")</f>
        <v/>
      </c>
      <c r="M95" s="5">
        <f>IFERROR((H95-J95)/I95,"")</f>
        <v/>
      </c>
      <c r="N95" s="5">
        <f>IFERROR(M95,"")</f>
        <v/>
      </c>
      <c r="O95" s="5">
        <f>IFERROR(H95-N95,"")</f>
        <v/>
      </c>
      <c r="P95" s="3" t="inlineStr">
        <is>
          <t>Belum dihitung</t>
        </is>
      </c>
      <c r="Q95" s="3" t="n"/>
    </row>
    <row r="96">
      <c r="A96" s="3" t="n">
        <v>95</v>
      </c>
      <c r="B96" s="3" t="inlineStr">
        <is>
          <t>Desember 2025</t>
        </is>
      </c>
      <c r="C96" s="3">
        <f>'Data Aset'!B98</f>
        <v/>
      </c>
      <c r="D96" s="3">
        <f>'Data Aset'!F98</f>
        <v/>
      </c>
      <c r="E96" s="3" t="inlineStr">
        <is>
          <t>Elektronik</t>
        </is>
      </c>
      <c r="F96" s="3">
        <f>'Data Aset'!C98</f>
        <v/>
      </c>
      <c r="G96" s="3">
        <f>'Data Aset'!K98</f>
        <v/>
      </c>
      <c r="H96" s="5">
        <f>'Data Aset'!M98</f>
        <v/>
      </c>
      <c r="I96" s="3">
        <f>'Data Aset'!O98</f>
        <v/>
      </c>
      <c r="J96" s="5" t="n">
        <v>0</v>
      </c>
      <c r="K96" s="3" t="inlineStr">
        <is>
          <t>Garis Lurus</t>
        </is>
      </c>
      <c r="L96" s="5">
        <f>IFERROR(M96/12,"")</f>
        <v/>
      </c>
      <c r="M96" s="5">
        <f>IFERROR((H96-J96)/I96,"")</f>
        <v/>
      </c>
      <c r="N96" s="5">
        <f>IFERROR(M96,"")</f>
        <v/>
      </c>
      <c r="O96" s="5">
        <f>IFERROR(H96-N96,"")</f>
        <v/>
      </c>
      <c r="P96" s="3" t="inlineStr">
        <is>
          <t>Belum dihitung</t>
        </is>
      </c>
      <c r="Q96" s="3" t="n"/>
    </row>
    <row r="97">
      <c r="A97" s="3" t="n">
        <v>96</v>
      </c>
      <c r="B97" s="3" t="inlineStr">
        <is>
          <t>Desember 2025</t>
        </is>
      </c>
      <c r="C97" s="3">
        <f>'Data Aset'!B99</f>
        <v/>
      </c>
      <c r="D97" s="3">
        <f>'Data Aset'!F99</f>
        <v/>
      </c>
      <c r="E97" s="3" t="inlineStr">
        <is>
          <t>Elektronik</t>
        </is>
      </c>
      <c r="F97" s="3">
        <f>'Data Aset'!C99</f>
        <v/>
      </c>
      <c r="G97" s="3">
        <f>'Data Aset'!K99</f>
        <v/>
      </c>
      <c r="H97" s="5">
        <f>'Data Aset'!M99</f>
        <v/>
      </c>
      <c r="I97" s="3">
        <f>'Data Aset'!O99</f>
        <v/>
      </c>
      <c r="J97" s="5" t="n">
        <v>0</v>
      </c>
      <c r="K97" s="3" t="inlineStr">
        <is>
          <t>Garis Lurus</t>
        </is>
      </c>
      <c r="L97" s="5">
        <f>IFERROR(M97/12,"")</f>
        <v/>
      </c>
      <c r="M97" s="5">
        <f>IFERROR((H97-J97)/I97,"")</f>
        <v/>
      </c>
      <c r="N97" s="5">
        <f>IFERROR(M97,"")</f>
        <v/>
      </c>
      <c r="O97" s="5">
        <f>IFERROR(H97-N97,"")</f>
        <v/>
      </c>
      <c r="P97" s="3" t="inlineStr">
        <is>
          <t>Belum dihitung</t>
        </is>
      </c>
      <c r="Q97" s="3" t="n"/>
    </row>
    <row r="98">
      <c r="A98" s="3" t="n">
        <v>97</v>
      </c>
      <c r="B98" s="3" t="inlineStr">
        <is>
          <t>Desember 2025</t>
        </is>
      </c>
      <c r="C98" s="3">
        <f>'Data Aset'!B100</f>
        <v/>
      </c>
      <c r="D98" s="3">
        <f>'Data Aset'!F100</f>
        <v/>
      </c>
      <c r="E98" s="3" t="inlineStr">
        <is>
          <t>Elektronik</t>
        </is>
      </c>
      <c r="F98" s="3">
        <f>'Data Aset'!C100</f>
        <v/>
      </c>
      <c r="G98" s="3">
        <f>'Data Aset'!K100</f>
        <v/>
      </c>
      <c r="H98" s="5">
        <f>'Data Aset'!M100</f>
        <v/>
      </c>
      <c r="I98" s="3">
        <f>'Data Aset'!O100</f>
        <v/>
      </c>
      <c r="J98" s="5" t="n">
        <v>0</v>
      </c>
      <c r="K98" s="3" t="inlineStr">
        <is>
          <t>Garis Lurus</t>
        </is>
      </c>
      <c r="L98" s="5">
        <f>IFERROR(M98/12,"")</f>
        <v/>
      </c>
      <c r="M98" s="5">
        <f>IFERROR((H98-J98)/I98,"")</f>
        <v/>
      </c>
      <c r="N98" s="5">
        <f>IFERROR(M98,"")</f>
        <v/>
      </c>
      <c r="O98" s="5">
        <f>IFERROR(H98-N98,"")</f>
        <v/>
      </c>
      <c r="P98" s="3" t="inlineStr">
        <is>
          <t>Belum dihitung</t>
        </is>
      </c>
      <c r="Q98" s="3" t="n"/>
    </row>
    <row r="99">
      <c r="A99" s="3" t="n">
        <v>98</v>
      </c>
      <c r="B99" s="3" t="inlineStr">
        <is>
          <t>Desember 2025</t>
        </is>
      </c>
      <c r="C99" s="3">
        <f>'Data Aset'!B101</f>
        <v/>
      </c>
      <c r="D99" s="3">
        <f>'Data Aset'!F101</f>
        <v/>
      </c>
      <c r="E99" s="3" t="inlineStr">
        <is>
          <t>Elektronik</t>
        </is>
      </c>
      <c r="F99" s="3">
        <f>'Data Aset'!C101</f>
        <v/>
      </c>
      <c r="G99" s="3">
        <f>'Data Aset'!K101</f>
        <v/>
      </c>
      <c r="H99" s="5">
        <f>'Data Aset'!M101</f>
        <v/>
      </c>
      <c r="I99" s="3">
        <f>'Data Aset'!O101</f>
        <v/>
      </c>
      <c r="J99" s="5" t="n">
        <v>0</v>
      </c>
      <c r="K99" s="3" t="inlineStr">
        <is>
          <t>Garis Lurus</t>
        </is>
      </c>
      <c r="L99" s="5">
        <f>IFERROR(M99/12,"")</f>
        <v/>
      </c>
      <c r="M99" s="5">
        <f>IFERROR((H99-J99)/I99,"")</f>
        <v/>
      </c>
      <c r="N99" s="5">
        <f>IFERROR(M99,"")</f>
        <v/>
      </c>
      <c r="O99" s="5">
        <f>IFERROR(H99-N99,"")</f>
        <v/>
      </c>
      <c r="P99" s="3" t="inlineStr">
        <is>
          <t>Belum dihitung</t>
        </is>
      </c>
      <c r="Q99" s="3" t="n"/>
    </row>
    <row r="100">
      <c r="A100" s="3" t="n">
        <v>99</v>
      </c>
      <c r="B100" s="3" t="inlineStr">
        <is>
          <t>Desember 2025</t>
        </is>
      </c>
      <c r="C100" s="3">
        <f>'Data Aset'!B102</f>
        <v/>
      </c>
      <c r="D100" s="3">
        <f>'Data Aset'!F102</f>
        <v/>
      </c>
      <c r="E100" s="3" t="inlineStr">
        <is>
          <t>Elektronik</t>
        </is>
      </c>
      <c r="F100" s="3">
        <f>'Data Aset'!C102</f>
        <v/>
      </c>
      <c r="G100" s="3">
        <f>'Data Aset'!K102</f>
        <v/>
      </c>
      <c r="H100" s="5">
        <f>'Data Aset'!M102</f>
        <v/>
      </c>
      <c r="I100" s="3">
        <f>'Data Aset'!O102</f>
        <v/>
      </c>
      <c r="J100" s="5" t="n">
        <v>0</v>
      </c>
      <c r="K100" s="3" t="inlineStr">
        <is>
          <t>Garis Lurus</t>
        </is>
      </c>
      <c r="L100" s="5">
        <f>IFERROR(M100/12,"")</f>
        <v/>
      </c>
      <c r="M100" s="5">
        <f>IFERROR((H100-J100)/I100,"")</f>
        <v/>
      </c>
      <c r="N100" s="5">
        <f>IFERROR(M100,"")</f>
        <v/>
      </c>
      <c r="O100" s="5">
        <f>IFERROR(H100-N100,"")</f>
        <v/>
      </c>
      <c r="P100" s="3" t="inlineStr">
        <is>
          <t>Belum dihitung</t>
        </is>
      </c>
      <c r="Q100" s="3" t="n"/>
    </row>
    <row r="101">
      <c r="A101" s="3" t="n">
        <v>100</v>
      </c>
      <c r="B101" s="3" t="inlineStr">
        <is>
          <t>Desember 2025</t>
        </is>
      </c>
      <c r="C101" s="3">
        <f>'Data Aset'!B103</f>
        <v/>
      </c>
      <c r="D101" s="3">
        <f>'Data Aset'!F103</f>
        <v/>
      </c>
      <c r="E101" s="3" t="inlineStr">
        <is>
          <t>Elektronik</t>
        </is>
      </c>
      <c r="F101" s="3">
        <f>'Data Aset'!C103</f>
        <v/>
      </c>
      <c r="G101" s="3">
        <f>'Data Aset'!K103</f>
        <v/>
      </c>
      <c r="H101" s="5">
        <f>'Data Aset'!M103</f>
        <v/>
      </c>
      <c r="I101" s="3">
        <f>'Data Aset'!O103</f>
        <v/>
      </c>
      <c r="J101" s="5" t="n">
        <v>0</v>
      </c>
      <c r="K101" s="3" t="inlineStr">
        <is>
          <t>Garis Lurus</t>
        </is>
      </c>
      <c r="L101" s="5">
        <f>IFERROR(M101/12,"")</f>
        <v/>
      </c>
      <c r="M101" s="5">
        <f>IFERROR((H101-J101)/I101,"")</f>
        <v/>
      </c>
      <c r="N101" s="5">
        <f>IFERROR(M101,"")</f>
        <v/>
      </c>
      <c r="O101" s="5">
        <f>IFERROR(H101-N101,"")</f>
        <v/>
      </c>
      <c r="P101" s="3" t="inlineStr">
        <is>
          <t>Belum dihitung</t>
        </is>
      </c>
      <c r="Q101" s="3" t="n"/>
    </row>
    <row r="102">
      <c r="A102" s="3" t="n">
        <v>101</v>
      </c>
      <c r="B102" s="3" t="inlineStr">
        <is>
          <t>Desember 2025</t>
        </is>
      </c>
      <c r="C102" s="3">
        <f>'Data Aset'!B104</f>
        <v/>
      </c>
      <c r="D102" s="3">
        <f>'Data Aset'!F104</f>
        <v/>
      </c>
      <c r="E102" s="3" t="inlineStr">
        <is>
          <t>Elektronik</t>
        </is>
      </c>
      <c r="F102" s="3">
        <f>'Data Aset'!C104</f>
        <v/>
      </c>
      <c r="G102" s="3">
        <f>'Data Aset'!K104</f>
        <v/>
      </c>
      <c r="H102" s="5">
        <f>'Data Aset'!M104</f>
        <v/>
      </c>
      <c r="I102" s="3">
        <f>'Data Aset'!O104</f>
        <v/>
      </c>
      <c r="J102" s="5" t="n">
        <v>0</v>
      </c>
      <c r="K102" s="3" t="inlineStr">
        <is>
          <t>Garis Lurus</t>
        </is>
      </c>
      <c r="L102" s="5">
        <f>IFERROR(M102/12,"")</f>
        <v/>
      </c>
      <c r="M102" s="5">
        <f>IFERROR((H102-J102)/I102,"")</f>
        <v/>
      </c>
      <c r="N102" s="5">
        <f>IFERROR(M102,"")</f>
        <v/>
      </c>
      <c r="O102" s="5">
        <f>IFERROR(H102-N102,"")</f>
        <v/>
      </c>
      <c r="P102" s="3" t="inlineStr">
        <is>
          <t>Belum dihitung</t>
        </is>
      </c>
      <c r="Q102" s="3" t="n"/>
    </row>
    <row r="103">
      <c r="A103" s="3" t="n">
        <v>102</v>
      </c>
      <c r="B103" s="3" t="inlineStr">
        <is>
          <t>Desember 2025</t>
        </is>
      </c>
      <c r="C103" s="3">
        <f>'Data Aset'!B105</f>
        <v/>
      </c>
      <c r="D103" s="3">
        <f>'Data Aset'!F105</f>
        <v/>
      </c>
      <c r="E103" s="3" t="inlineStr">
        <is>
          <t>Elektronik</t>
        </is>
      </c>
      <c r="F103" s="3">
        <f>'Data Aset'!C105</f>
        <v/>
      </c>
      <c r="G103" s="3">
        <f>'Data Aset'!K105</f>
        <v/>
      </c>
      <c r="H103" s="5">
        <f>'Data Aset'!M105</f>
        <v/>
      </c>
      <c r="I103" s="3">
        <f>'Data Aset'!O105</f>
        <v/>
      </c>
      <c r="J103" s="5" t="n">
        <v>0</v>
      </c>
      <c r="K103" s="3" t="inlineStr">
        <is>
          <t>Garis Lurus</t>
        </is>
      </c>
      <c r="L103" s="5">
        <f>IFERROR(M103/12,"")</f>
        <v/>
      </c>
      <c r="M103" s="5">
        <f>IFERROR((H103-J103)/I103,"")</f>
        <v/>
      </c>
      <c r="N103" s="5">
        <f>IFERROR(M103,"")</f>
        <v/>
      </c>
      <c r="O103" s="5">
        <f>IFERROR(H103-N103,"")</f>
        <v/>
      </c>
      <c r="P103" s="3" t="inlineStr">
        <is>
          <t>Belum dihitung</t>
        </is>
      </c>
      <c r="Q103" s="3" t="n"/>
    </row>
    <row r="104">
      <c r="A104" s="3" t="n">
        <v>103</v>
      </c>
      <c r="B104" s="3" t="inlineStr">
        <is>
          <t>Desember 2025</t>
        </is>
      </c>
      <c r="C104" s="3">
        <f>'Data Aset'!B106</f>
        <v/>
      </c>
      <c r="D104" s="3">
        <f>'Data Aset'!F106</f>
        <v/>
      </c>
      <c r="E104" s="3" t="inlineStr">
        <is>
          <t>Elektronik</t>
        </is>
      </c>
      <c r="F104" s="3">
        <f>'Data Aset'!C106</f>
        <v/>
      </c>
      <c r="G104" s="3">
        <f>'Data Aset'!K106</f>
        <v/>
      </c>
      <c r="H104" s="5">
        <f>'Data Aset'!M106</f>
        <v/>
      </c>
      <c r="I104" s="3">
        <f>'Data Aset'!O106</f>
        <v/>
      </c>
      <c r="J104" s="5" t="n">
        <v>0</v>
      </c>
      <c r="K104" s="3" t="inlineStr">
        <is>
          <t>Garis Lurus</t>
        </is>
      </c>
      <c r="L104" s="5">
        <f>IFERROR(M104/12,"")</f>
        <v/>
      </c>
      <c r="M104" s="5">
        <f>IFERROR((H104-J104)/I104,"")</f>
        <v/>
      </c>
      <c r="N104" s="5">
        <f>IFERROR(M104,"")</f>
        <v/>
      </c>
      <c r="O104" s="5">
        <f>IFERROR(H104-N104,"")</f>
        <v/>
      </c>
      <c r="P104" s="3" t="inlineStr">
        <is>
          <t>Belum dihitung</t>
        </is>
      </c>
      <c r="Q104" s="3" t="n"/>
    </row>
  </sheetData>
  <autoFilter ref="A1:Q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0" t="inlineStr">
        <is>
          <t>No Jurnal</t>
        </is>
      </c>
      <c r="B1" s="10" t="inlineStr">
        <is>
          <t>Tanggal Jurnal</t>
        </is>
      </c>
      <c r="C1" s="10" t="inlineStr">
        <is>
          <t>Periode</t>
        </is>
      </c>
      <c r="D1" s="10" t="inlineStr">
        <is>
          <t>Kode Aset</t>
        </is>
      </c>
      <c r="E1" s="10" t="inlineStr">
        <is>
          <t>Nama Aset</t>
        </is>
      </c>
      <c r="F1" s="10" t="inlineStr">
        <is>
          <t>Kategori Aset</t>
        </is>
      </c>
      <c r="G1" s="10" t="inlineStr">
        <is>
          <t>Kode Akun Debit</t>
        </is>
      </c>
      <c r="H1" s="10" t="inlineStr">
        <is>
          <t>Nama Akun Debit</t>
        </is>
      </c>
      <c r="I1" s="10" t="inlineStr">
        <is>
          <t>Debit</t>
        </is>
      </c>
      <c r="J1" s="10" t="inlineStr">
        <is>
          <t>Kode Akun Kredit</t>
        </is>
      </c>
      <c r="K1" s="10" t="inlineStr">
        <is>
          <t>Nama Akun Kredit</t>
        </is>
      </c>
      <c r="L1" s="10" t="inlineStr">
        <is>
          <t>Kredit</t>
        </is>
      </c>
      <c r="M1" s="10" t="inlineStr">
        <is>
          <t>Keterangan</t>
        </is>
      </c>
    </row>
    <row r="2">
      <c r="A2" s="3">
        <f>IF(Penyusutan!D2="","","JRN-"&amp;TEXT(ROW()-1,"0000"))</f>
        <v/>
      </c>
      <c r="B2" s="4" t="n">
        <v>46022</v>
      </c>
      <c r="C2" s="3">
        <f>Penyusutan!B2</f>
        <v/>
      </c>
      <c r="D2" s="3">
        <f>Penyusutan!C2</f>
        <v/>
      </c>
      <c r="E2" s="3">
        <f>Penyusutan!D2</f>
        <v/>
      </c>
      <c r="F2" s="3" t="inlineStr">
        <is>
          <t>Elektronik</t>
        </is>
      </c>
      <c r="G2" s="3" t="inlineStr"/>
      <c r="H2" s="3" t="inlineStr">
        <is>
          <t>Beban Penyusutan Elektronik</t>
        </is>
      </c>
      <c r="I2" s="5">
        <f>Penyusutan!M2</f>
        <v/>
      </c>
      <c r="J2" s="3" t="inlineStr"/>
      <c r="K2" s="3" t="inlineStr">
        <is>
          <t>Akumulasi Penyusutan Elektronik</t>
        </is>
      </c>
      <c r="L2" s="5">
        <f>Penyusutan!M2</f>
        <v/>
      </c>
      <c r="M2" s="3">
        <f>IF(E2="","","Penyusutan "&amp;E2&amp;" periode "&amp;C2)</f>
        <v/>
      </c>
    </row>
    <row r="3">
      <c r="A3" s="3">
        <f>IF(Penyusutan!D3="","","JRN-"&amp;TEXT(ROW()-1,"0000"))</f>
        <v/>
      </c>
      <c r="B3" s="4" t="n">
        <v>46022</v>
      </c>
      <c r="C3" s="3">
        <f>Penyusutan!B3</f>
        <v/>
      </c>
      <c r="D3" s="3">
        <f>Penyusutan!C3</f>
        <v/>
      </c>
      <c r="E3" s="3">
        <f>Penyusutan!D3</f>
        <v/>
      </c>
      <c r="F3" s="3" t="inlineStr">
        <is>
          <t>Elektronik</t>
        </is>
      </c>
      <c r="G3" s="3" t="inlineStr"/>
      <c r="H3" s="3" t="inlineStr">
        <is>
          <t>Beban Penyusutan Elektronik</t>
        </is>
      </c>
      <c r="I3" s="5">
        <f>Penyusutan!M3</f>
        <v/>
      </c>
      <c r="J3" s="3" t="inlineStr"/>
      <c r="K3" s="3" t="inlineStr">
        <is>
          <t>Akumulasi Penyusutan Elektronik</t>
        </is>
      </c>
      <c r="L3" s="5">
        <f>Penyusutan!M3</f>
        <v/>
      </c>
      <c r="M3" s="3">
        <f>IF(E3="","","Penyusutan "&amp;E3&amp;" periode "&amp;C3)</f>
        <v/>
      </c>
    </row>
    <row r="4">
      <c r="A4" s="3">
        <f>IF(Penyusutan!D4="","","JRN-"&amp;TEXT(ROW()-1,"0000"))</f>
        <v/>
      </c>
      <c r="B4" s="4" t="n">
        <v>46022</v>
      </c>
      <c r="C4" s="3">
        <f>Penyusutan!B4</f>
        <v/>
      </c>
      <c r="D4" s="3">
        <f>Penyusutan!C4</f>
        <v/>
      </c>
      <c r="E4" s="3">
        <f>Penyusutan!D4</f>
        <v/>
      </c>
      <c r="F4" s="3" t="inlineStr">
        <is>
          <t>Elektronik</t>
        </is>
      </c>
      <c r="G4" s="3" t="inlineStr"/>
      <c r="H4" s="3" t="inlineStr">
        <is>
          <t>Beban Penyusutan Elektronik</t>
        </is>
      </c>
      <c r="I4" s="5">
        <f>Penyusutan!M4</f>
        <v/>
      </c>
      <c r="J4" s="3" t="inlineStr"/>
      <c r="K4" s="3" t="inlineStr">
        <is>
          <t>Akumulasi Penyusutan Elektronik</t>
        </is>
      </c>
      <c r="L4" s="5">
        <f>Penyusutan!M4</f>
        <v/>
      </c>
      <c r="M4" s="3">
        <f>IF(E4="","","Penyusutan "&amp;E4&amp;" periode "&amp;C4)</f>
        <v/>
      </c>
    </row>
    <row r="5">
      <c r="A5" s="3">
        <f>IF(Penyusutan!D5="","","JRN-"&amp;TEXT(ROW()-1,"0000"))</f>
        <v/>
      </c>
      <c r="B5" s="4" t="n">
        <v>46022</v>
      </c>
      <c r="C5" s="3">
        <f>Penyusutan!B5</f>
        <v/>
      </c>
      <c r="D5" s="3">
        <f>Penyusutan!C5</f>
        <v/>
      </c>
      <c r="E5" s="3">
        <f>Penyusutan!D5</f>
        <v/>
      </c>
      <c r="F5" s="3" t="inlineStr">
        <is>
          <t>Elektronik</t>
        </is>
      </c>
      <c r="G5" s="3" t="inlineStr"/>
      <c r="H5" s="3" t="inlineStr">
        <is>
          <t>Beban Penyusutan Elektronik</t>
        </is>
      </c>
      <c r="I5" s="5">
        <f>Penyusutan!M5</f>
        <v/>
      </c>
      <c r="J5" s="3" t="inlineStr"/>
      <c r="K5" s="3" t="inlineStr">
        <is>
          <t>Akumulasi Penyusutan Elektronik</t>
        </is>
      </c>
      <c r="L5" s="5">
        <f>Penyusutan!M5</f>
        <v/>
      </c>
      <c r="M5" s="3">
        <f>IF(E5="","","Penyusutan "&amp;E5&amp;" periode "&amp;C5)</f>
        <v/>
      </c>
    </row>
    <row r="6">
      <c r="A6" s="3">
        <f>IF(Penyusutan!D6="","","JRN-"&amp;TEXT(ROW()-1,"0000"))</f>
        <v/>
      </c>
      <c r="B6" s="4" t="n">
        <v>46022</v>
      </c>
      <c r="C6" s="3">
        <f>Penyusutan!B6</f>
        <v/>
      </c>
      <c r="D6" s="3">
        <f>Penyusutan!C6</f>
        <v/>
      </c>
      <c r="E6" s="3">
        <f>Penyusutan!D6</f>
        <v/>
      </c>
      <c r="F6" s="3" t="inlineStr">
        <is>
          <t>Elektronik</t>
        </is>
      </c>
      <c r="G6" s="3" t="inlineStr"/>
      <c r="H6" s="3" t="inlineStr">
        <is>
          <t>Beban Penyusutan Elektronik</t>
        </is>
      </c>
      <c r="I6" s="5">
        <f>Penyusutan!M6</f>
        <v/>
      </c>
      <c r="J6" s="3" t="inlineStr"/>
      <c r="K6" s="3" t="inlineStr">
        <is>
          <t>Akumulasi Penyusutan Elektronik</t>
        </is>
      </c>
      <c r="L6" s="5">
        <f>Penyusutan!M6</f>
        <v/>
      </c>
      <c r="M6" s="3">
        <f>IF(E6="","","Penyusutan "&amp;E6&amp;" periode "&amp;C6)</f>
        <v/>
      </c>
    </row>
    <row r="7">
      <c r="A7" s="3">
        <f>IF(Penyusutan!D7="","","JRN-"&amp;TEXT(ROW()-1,"0000"))</f>
        <v/>
      </c>
      <c r="B7" s="4" t="n">
        <v>46022</v>
      </c>
      <c r="C7" s="3">
        <f>Penyusutan!B7</f>
        <v/>
      </c>
      <c r="D7" s="3">
        <f>Penyusutan!C7</f>
        <v/>
      </c>
      <c r="E7" s="3">
        <f>Penyusutan!D7</f>
        <v/>
      </c>
      <c r="F7" s="3" t="inlineStr">
        <is>
          <t>Elektronik</t>
        </is>
      </c>
      <c r="G7" s="3" t="inlineStr"/>
      <c r="H7" s="3" t="inlineStr">
        <is>
          <t>Beban Penyusutan Elektronik</t>
        </is>
      </c>
      <c r="I7" s="5">
        <f>Penyusutan!M7</f>
        <v/>
      </c>
      <c r="J7" s="3" t="inlineStr"/>
      <c r="K7" s="3" t="inlineStr">
        <is>
          <t>Akumulasi Penyusutan Elektronik</t>
        </is>
      </c>
      <c r="L7" s="5">
        <f>Penyusutan!M7</f>
        <v/>
      </c>
      <c r="M7" s="3">
        <f>IF(E7="","","Penyusutan "&amp;E7&amp;" periode "&amp;C7)</f>
        <v/>
      </c>
    </row>
    <row r="8">
      <c r="A8" s="3">
        <f>IF(Penyusutan!D8="","","JRN-"&amp;TEXT(ROW()-1,"0000"))</f>
        <v/>
      </c>
      <c r="B8" s="4" t="n">
        <v>46022</v>
      </c>
      <c r="C8" s="3">
        <f>Penyusutan!B8</f>
        <v/>
      </c>
      <c r="D8" s="3">
        <f>Penyusutan!C8</f>
        <v/>
      </c>
      <c r="E8" s="3">
        <f>Penyusutan!D8</f>
        <v/>
      </c>
      <c r="F8" s="3" t="inlineStr">
        <is>
          <t>Elektronik</t>
        </is>
      </c>
      <c r="G8" s="3" t="inlineStr"/>
      <c r="H8" s="3" t="inlineStr">
        <is>
          <t>Beban Penyusutan Elektronik</t>
        </is>
      </c>
      <c r="I8" s="5">
        <f>Penyusutan!M8</f>
        <v/>
      </c>
      <c r="J8" s="3" t="inlineStr"/>
      <c r="K8" s="3" t="inlineStr">
        <is>
          <t>Akumulasi Penyusutan Elektronik</t>
        </is>
      </c>
      <c r="L8" s="5">
        <f>Penyusutan!M8</f>
        <v/>
      </c>
      <c r="M8" s="3">
        <f>IF(E8="","","Penyusutan "&amp;E8&amp;" periode "&amp;C8)</f>
        <v/>
      </c>
    </row>
    <row r="9">
      <c r="A9" s="3">
        <f>IF(Penyusutan!D9="","","JRN-"&amp;TEXT(ROW()-1,"0000"))</f>
        <v/>
      </c>
      <c r="B9" s="4" t="n">
        <v>46022</v>
      </c>
      <c r="C9" s="3">
        <f>Penyusutan!B9</f>
        <v/>
      </c>
      <c r="D9" s="3">
        <f>Penyusutan!C9</f>
        <v/>
      </c>
      <c r="E9" s="3">
        <f>Penyusutan!D9</f>
        <v/>
      </c>
      <c r="F9" s="3" t="inlineStr">
        <is>
          <t>Elektronik</t>
        </is>
      </c>
      <c r="G9" s="3" t="inlineStr"/>
      <c r="H9" s="3" t="inlineStr">
        <is>
          <t>Beban Penyusutan Elektronik</t>
        </is>
      </c>
      <c r="I9" s="5">
        <f>Penyusutan!M9</f>
        <v/>
      </c>
      <c r="J9" s="3" t="inlineStr"/>
      <c r="K9" s="3" t="inlineStr">
        <is>
          <t>Akumulasi Penyusutan Elektronik</t>
        </is>
      </c>
      <c r="L9" s="5">
        <f>Penyusutan!M9</f>
        <v/>
      </c>
      <c r="M9" s="3">
        <f>IF(E9="","","Penyusutan "&amp;E9&amp;" periode "&amp;C9)</f>
        <v/>
      </c>
    </row>
    <row r="10">
      <c r="A10" s="3">
        <f>IF(Penyusutan!D10="","","JRN-"&amp;TEXT(ROW()-1,"0000"))</f>
        <v/>
      </c>
      <c r="B10" s="4" t="n">
        <v>46022</v>
      </c>
      <c r="C10" s="3">
        <f>Penyusutan!B10</f>
        <v/>
      </c>
      <c r="D10" s="3">
        <f>Penyusutan!C10</f>
        <v/>
      </c>
      <c r="E10" s="3">
        <f>Penyusutan!D10</f>
        <v/>
      </c>
      <c r="F10" s="3" t="inlineStr">
        <is>
          <t>Elektronik</t>
        </is>
      </c>
      <c r="G10" s="3" t="inlineStr"/>
      <c r="H10" s="3" t="inlineStr">
        <is>
          <t>Beban Penyusutan Elektronik</t>
        </is>
      </c>
      <c r="I10" s="5">
        <f>Penyusutan!M10</f>
        <v/>
      </c>
      <c r="J10" s="3" t="inlineStr"/>
      <c r="K10" s="3" t="inlineStr">
        <is>
          <t>Akumulasi Penyusutan Elektronik</t>
        </is>
      </c>
      <c r="L10" s="5">
        <f>Penyusutan!M10</f>
        <v/>
      </c>
      <c r="M10" s="3">
        <f>IF(E10="","","Penyusutan "&amp;E10&amp;" periode "&amp;C10)</f>
        <v/>
      </c>
    </row>
    <row r="11">
      <c r="A11" s="3">
        <f>IF(Penyusutan!D11="","","JRN-"&amp;TEXT(ROW()-1,"0000"))</f>
        <v/>
      </c>
      <c r="B11" s="4" t="n">
        <v>46022</v>
      </c>
      <c r="C11" s="3">
        <f>Penyusutan!B11</f>
        <v/>
      </c>
      <c r="D11" s="3">
        <f>Penyusutan!C11</f>
        <v/>
      </c>
      <c r="E11" s="3">
        <f>Penyusutan!D11</f>
        <v/>
      </c>
      <c r="F11" s="3" t="inlineStr">
        <is>
          <t>Elektronik</t>
        </is>
      </c>
      <c r="G11" s="3" t="inlineStr"/>
      <c r="H11" s="3" t="inlineStr">
        <is>
          <t>Beban Penyusutan Elektronik</t>
        </is>
      </c>
      <c r="I11" s="5">
        <f>Penyusutan!M11</f>
        <v/>
      </c>
      <c r="J11" s="3" t="inlineStr"/>
      <c r="K11" s="3" t="inlineStr">
        <is>
          <t>Akumulasi Penyusutan Elektronik</t>
        </is>
      </c>
      <c r="L11" s="5">
        <f>Penyusutan!M11</f>
        <v/>
      </c>
      <c r="M11" s="3">
        <f>IF(E11="","","Penyusutan "&amp;E11&amp;" periode "&amp;C11)</f>
        <v/>
      </c>
    </row>
    <row r="12">
      <c r="A12" s="3">
        <f>IF(Penyusutan!D12="","","JRN-"&amp;TEXT(ROW()-1,"0000"))</f>
        <v/>
      </c>
      <c r="B12" s="4" t="n">
        <v>46022</v>
      </c>
      <c r="C12" s="3">
        <f>Penyusutan!B12</f>
        <v/>
      </c>
      <c r="D12" s="3">
        <f>Penyusutan!C12</f>
        <v/>
      </c>
      <c r="E12" s="3">
        <f>Penyusutan!D12</f>
        <v/>
      </c>
      <c r="F12" s="3" t="inlineStr">
        <is>
          <t>Elektronik</t>
        </is>
      </c>
      <c r="G12" s="3" t="inlineStr"/>
      <c r="H12" s="3" t="inlineStr">
        <is>
          <t>Beban Penyusutan Elektronik</t>
        </is>
      </c>
      <c r="I12" s="5">
        <f>Penyusutan!M12</f>
        <v/>
      </c>
      <c r="J12" s="3" t="inlineStr"/>
      <c r="K12" s="3" t="inlineStr">
        <is>
          <t>Akumulasi Penyusutan Elektronik</t>
        </is>
      </c>
      <c r="L12" s="5">
        <f>Penyusutan!M12</f>
        <v/>
      </c>
      <c r="M12" s="3">
        <f>IF(E12="","","Penyusutan "&amp;E12&amp;" periode "&amp;C12)</f>
        <v/>
      </c>
    </row>
    <row r="13">
      <c r="A13" s="3">
        <f>IF(Penyusutan!D13="","","JRN-"&amp;TEXT(ROW()-1,"0000"))</f>
        <v/>
      </c>
      <c r="B13" s="4" t="n">
        <v>46022</v>
      </c>
      <c r="C13" s="3">
        <f>Penyusutan!B13</f>
        <v/>
      </c>
      <c r="D13" s="3">
        <f>Penyusutan!C13</f>
        <v/>
      </c>
      <c r="E13" s="3">
        <f>Penyusutan!D13</f>
        <v/>
      </c>
      <c r="F13" s="3" t="inlineStr">
        <is>
          <t>Elektronik</t>
        </is>
      </c>
      <c r="G13" s="3" t="inlineStr"/>
      <c r="H13" s="3" t="inlineStr">
        <is>
          <t>Beban Penyusutan Elektronik</t>
        </is>
      </c>
      <c r="I13" s="5">
        <f>Penyusutan!M13</f>
        <v/>
      </c>
      <c r="J13" s="3" t="inlineStr"/>
      <c r="K13" s="3" t="inlineStr">
        <is>
          <t>Akumulasi Penyusutan Elektronik</t>
        </is>
      </c>
      <c r="L13" s="5">
        <f>Penyusutan!M13</f>
        <v/>
      </c>
      <c r="M13" s="3">
        <f>IF(E13="","","Penyusutan "&amp;E13&amp;" periode "&amp;C13)</f>
        <v/>
      </c>
    </row>
    <row r="14">
      <c r="A14" s="3">
        <f>IF(Penyusutan!D14="","","JRN-"&amp;TEXT(ROW()-1,"0000"))</f>
        <v/>
      </c>
      <c r="B14" s="4" t="n">
        <v>46022</v>
      </c>
      <c r="C14" s="3">
        <f>Penyusutan!B14</f>
        <v/>
      </c>
      <c r="D14" s="3">
        <f>Penyusutan!C14</f>
        <v/>
      </c>
      <c r="E14" s="3">
        <f>Penyusutan!D14</f>
        <v/>
      </c>
      <c r="F14" s="3" t="inlineStr">
        <is>
          <t>Elektronik</t>
        </is>
      </c>
      <c r="G14" s="3" t="inlineStr"/>
      <c r="H14" s="3" t="inlineStr">
        <is>
          <t>Beban Penyusutan Elektronik</t>
        </is>
      </c>
      <c r="I14" s="5">
        <f>Penyusutan!M14</f>
        <v/>
      </c>
      <c r="J14" s="3" t="inlineStr"/>
      <c r="K14" s="3" t="inlineStr">
        <is>
          <t>Akumulasi Penyusutan Elektronik</t>
        </is>
      </c>
      <c r="L14" s="5">
        <f>Penyusutan!M14</f>
        <v/>
      </c>
      <c r="M14" s="3">
        <f>IF(E14="","","Penyusutan "&amp;E14&amp;" periode "&amp;C14)</f>
        <v/>
      </c>
    </row>
    <row r="15">
      <c r="A15" s="3">
        <f>IF(Penyusutan!D15="","","JRN-"&amp;TEXT(ROW()-1,"0000"))</f>
        <v/>
      </c>
      <c r="B15" s="4" t="n">
        <v>46022</v>
      </c>
      <c r="C15" s="3">
        <f>Penyusutan!B15</f>
        <v/>
      </c>
      <c r="D15" s="3">
        <f>Penyusutan!C15</f>
        <v/>
      </c>
      <c r="E15" s="3">
        <f>Penyusutan!D15</f>
        <v/>
      </c>
      <c r="F15" s="3" t="inlineStr">
        <is>
          <t>Elektronik</t>
        </is>
      </c>
      <c r="G15" s="3" t="inlineStr"/>
      <c r="H15" s="3" t="inlineStr">
        <is>
          <t>Beban Penyusutan Elektronik</t>
        </is>
      </c>
      <c r="I15" s="5">
        <f>Penyusutan!M15</f>
        <v/>
      </c>
      <c r="J15" s="3" t="inlineStr"/>
      <c r="K15" s="3" t="inlineStr">
        <is>
          <t>Akumulasi Penyusutan Elektronik</t>
        </is>
      </c>
      <c r="L15" s="5">
        <f>Penyusutan!M15</f>
        <v/>
      </c>
      <c r="M15" s="3">
        <f>IF(E15="","","Penyusutan "&amp;E15&amp;" periode "&amp;C15)</f>
        <v/>
      </c>
    </row>
    <row r="16">
      <c r="A16" s="3">
        <f>IF(Penyusutan!D16="","","JRN-"&amp;TEXT(ROW()-1,"0000"))</f>
        <v/>
      </c>
      <c r="B16" s="4" t="n">
        <v>46022</v>
      </c>
      <c r="C16" s="3">
        <f>Penyusutan!B16</f>
        <v/>
      </c>
      <c r="D16" s="3">
        <f>Penyusutan!C16</f>
        <v/>
      </c>
      <c r="E16" s="3">
        <f>Penyusutan!D16</f>
        <v/>
      </c>
      <c r="F16" s="3" t="inlineStr">
        <is>
          <t>Elektronik</t>
        </is>
      </c>
      <c r="G16" s="3" t="inlineStr"/>
      <c r="H16" s="3" t="inlineStr">
        <is>
          <t>Beban Penyusutan Elektronik</t>
        </is>
      </c>
      <c r="I16" s="5">
        <f>Penyusutan!M16</f>
        <v/>
      </c>
      <c r="J16" s="3" t="inlineStr"/>
      <c r="K16" s="3" t="inlineStr">
        <is>
          <t>Akumulasi Penyusutan Elektronik</t>
        </is>
      </c>
      <c r="L16" s="5">
        <f>Penyusutan!M16</f>
        <v/>
      </c>
      <c r="M16" s="3">
        <f>IF(E16="","","Penyusutan "&amp;E16&amp;" periode "&amp;C16)</f>
        <v/>
      </c>
    </row>
    <row r="17">
      <c r="A17" s="3">
        <f>IF(Penyusutan!D17="","","JRN-"&amp;TEXT(ROW()-1,"0000"))</f>
        <v/>
      </c>
      <c r="B17" s="4" t="n">
        <v>46022</v>
      </c>
      <c r="C17" s="3">
        <f>Penyusutan!B17</f>
        <v/>
      </c>
      <c r="D17" s="3">
        <f>Penyusutan!C17</f>
        <v/>
      </c>
      <c r="E17" s="3">
        <f>Penyusutan!D17</f>
        <v/>
      </c>
      <c r="F17" s="3" t="inlineStr">
        <is>
          <t>Elektronik</t>
        </is>
      </c>
      <c r="G17" s="3" t="inlineStr"/>
      <c r="H17" s="3" t="inlineStr">
        <is>
          <t>Beban Penyusutan Elektronik</t>
        </is>
      </c>
      <c r="I17" s="5">
        <f>Penyusutan!M17</f>
        <v/>
      </c>
      <c r="J17" s="3" t="inlineStr"/>
      <c r="K17" s="3" t="inlineStr">
        <is>
          <t>Akumulasi Penyusutan Elektronik</t>
        </is>
      </c>
      <c r="L17" s="5">
        <f>Penyusutan!M17</f>
        <v/>
      </c>
      <c r="M17" s="3">
        <f>IF(E17="","","Penyusutan "&amp;E17&amp;" periode "&amp;C17)</f>
        <v/>
      </c>
    </row>
    <row r="18">
      <c r="A18" s="3">
        <f>IF(Penyusutan!D18="","","JRN-"&amp;TEXT(ROW()-1,"0000"))</f>
        <v/>
      </c>
      <c r="B18" s="4" t="n">
        <v>46022</v>
      </c>
      <c r="C18" s="3">
        <f>Penyusutan!B18</f>
        <v/>
      </c>
      <c r="D18" s="3">
        <f>Penyusutan!C18</f>
        <v/>
      </c>
      <c r="E18" s="3">
        <f>Penyusutan!D18</f>
        <v/>
      </c>
      <c r="F18" s="3" t="inlineStr">
        <is>
          <t>Elektronik</t>
        </is>
      </c>
      <c r="G18" s="3" t="inlineStr"/>
      <c r="H18" s="3" t="inlineStr">
        <is>
          <t>Beban Penyusutan Elektronik</t>
        </is>
      </c>
      <c r="I18" s="5">
        <f>Penyusutan!M18</f>
        <v/>
      </c>
      <c r="J18" s="3" t="inlineStr"/>
      <c r="K18" s="3" t="inlineStr">
        <is>
          <t>Akumulasi Penyusutan Elektronik</t>
        </is>
      </c>
      <c r="L18" s="5">
        <f>Penyusutan!M18</f>
        <v/>
      </c>
      <c r="M18" s="3">
        <f>IF(E18="","","Penyusutan "&amp;E18&amp;" periode "&amp;C18)</f>
        <v/>
      </c>
    </row>
    <row r="19">
      <c r="A19" s="3">
        <f>IF(Penyusutan!D19="","","JRN-"&amp;TEXT(ROW()-1,"0000"))</f>
        <v/>
      </c>
      <c r="B19" s="4" t="n">
        <v>46022</v>
      </c>
      <c r="C19" s="3">
        <f>Penyusutan!B19</f>
        <v/>
      </c>
      <c r="D19" s="3">
        <f>Penyusutan!C19</f>
        <v/>
      </c>
      <c r="E19" s="3">
        <f>Penyusutan!D19</f>
        <v/>
      </c>
      <c r="F19" s="3" t="inlineStr">
        <is>
          <t>Elektronik</t>
        </is>
      </c>
      <c r="G19" s="3" t="inlineStr"/>
      <c r="H19" s="3" t="inlineStr">
        <is>
          <t>Beban Penyusutan Elektronik</t>
        </is>
      </c>
      <c r="I19" s="5">
        <f>Penyusutan!M19</f>
        <v/>
      </c>
      <c r="J19" s="3" t="inlineStr"/>
      <c r="K19" s="3" t="inlineStr">
        <is>
          <t>Akumulasi Penyusutan Elektronik</t>
        </is>
      </c>
      <c r="L19" s="5">
        <f>Penyusutan!M19</f>
        <v/>
      </c>
      <c r="M19" s="3">
        <f>IF(E19="","","Penyusutan "&amp;E19&amp;" periode "&amp;C19)</f>
        <v/>
      </c>
    </row>
    <row r="20">
      <c r="A20" s="3">
        <f>IF(Penyusutan!D20="","","JRN-"&amp;TEXT(ROW()-1,"0000"))</f>
        <v/>
      </c>
      <c r="B20" s="4" t="n">
        <v>46022</v>
      </c>
      <c r="C20" s="3">
        <f>Penyusutan!B20</f>
        <v/>
      </c>
      <c r="D20" s="3">
        <f>Penyusutan!C20</f>
        <v/>
      </c>
      <c r="E20" s="3">
        <f>Penyusutan!D20</f>
        <v/>
      </c>
      <c r="F20" s="3" t="inlineStr">
        <is>
          <t>Elektronik</t>
        </is>
      </c>
      <c r="G20" s="3" t="inlineStr"/>
      <c r="H20" s="3" t="inlineStr">
        <is>
          <t>Beban Penyusutan Elektronik</t>
        </is>
      </c>
      <c r="I20" s="5">
        <f>Penyusutan!M20</f>
        <v/>
      </c>
      <c r="J20" s="3" t="inlineStr"/>
      <c r="K20" s="3" t="inlineStr">
        <is>
          <t>Akumulasi Penyusutan Elektronik</t>
        </is>
      </c>
      <c r="L20" s="5">
        <f>Penyusutan!M20</f>
        <v/>
      </c>
      <c r="M20" s="3">
        <f>IF(E20="","","Penyusutan "&amp;E20&amp;" periode "&amp;C20)</f>
        <v/>
      </c>
    </row>
    <row r="21">
      <c r="A21" s="3">
        <f>IF(Penyusutan!D21="","","JRN-"&amp;TEXT(ROW()-1,"0000"))</f>
        <v/>
      </c>
      <c r="B21" s="4" t="n">
        <v>46022</v>
      </c>
      <c r="C21" s="3">
        <f>Penyusutan!B21</f>
        <v/>
      </c>
      <c r="D21" s="3">
        <f>Penyusutan!C21</f>
        <v/>
      </c>
      <c r="E21" s="3">
        <f>Penyusutan!D21</f>
        <v/>
      </c>
      <c r="F21" s="3" t="inlineStr">
        <is>
          <t>Elektronik</t>
        </is>
      </c>
      <c r="G21" s="3" t="inlineStr"/>
      <c r="H21" s="3" t="inlineStr">
        <is>
          <t>Beban Penyusutan Elektronik</t>
        </is>
      </c>
      <c r="I21" s="5">
        <f>Penyusutan!M21</f>
        <v/>
      </c>
      <c r="J21" s="3" t="inlineStr"/>
      <c r="K21" s="3" t="inlineStr">
        <is>
          <t>Akumulasi Penyusutan Elektronik</t>
        </is>
      </c>
      <c r="L21" s="5">
        <f>Penyusutan!M21</f>
        <v/>
      </c>
      <c r="M21" s="3">
        <f>IF(E21="","","Penyusutan "&amp;E21&amp;" periode "&amp;C21)</f>
        <v/>
      </c>
    </row>
    <row r="22">
      <c r="A22" s="3">
        <f>IF(Penyusutan!D22="","","JRN-"&amp;TEXT(ROW()-1,"0000"))</f>
        <v/>
      </c>
      <c r="B22" s="4" t="n">
        <v>46022</v>
      </c>
      <c r="C22" s="3">
        <f>Penyusutan!B22</f>
        <v/>
      </c>
      <c r="D22" s="3">
        <f>Penyusutan!C22</f>
        <v/>
      </c>
      <c r="E22" s="3">
        <f>Penyusutan!D22</f>
        <v/>
      </c>
      <c r="F22" s="3" t="inlineStr">
        <is>
          <t>Elektronik</t>
        </is>
      </c>
      <c r="G22" s="3" t="inlineStr"/>
      <c r="H22" s="3" t="inlineStr">
        <is>
          <t>Beban Penyusutan Elektronik</t>
        </is>
      </c>
      <c r="I22" s="5">
        <f>Penyusutan!M22</f>
        <v/>
      </c>
      <c r="J22" s="3" t="inlineStr"/>
      <c r="K22" s="3" t="inlineStr">
        <is>
          <t>Akumulasi Penyusutan Elektronik</t>
        </is>
      </c>
      <c r="L22" s="5">
        <f>Penyusutan!M22</f>
        <v/>
      </c>
      <c r="M22" s="3">
        <f>IF(E22="","","Penyusutan "&amp;E22&amp;" periode "&amp;C22)</f>
        <v/>
      </c>
    </row>
    <row r="23">
      <c r="A23" s="3">
        <f>IF(Penyusutan!D23="","","JRN-"&amp;TEXT(ROW()-1,"0000"))</f>
        <v/>
      </c>
      <c r="B23" s="4" t="n">
        <v>46022</v>
      </c>
      <c r="C23" s="3">
        <f>Penyusutan!B23</f>
        <v/>
      </c>
      <c r="D23" s="3">
        <f>Penyusutan!C23</f>
        <v/>
      </c>
      <c r="E23" s="3">
        <f>Penyusutan!D23</f>
        <v/>
      </c>
      <c r="F23" s="3" t="inlineStr">
        <is>
          <t>Elektronik</t>
        </is>
      </c>
      <c r="G23" s="3" t="inlineStr"/>
      <c r="H23" s="3" t="inlineStr">
        <is>
          <t>Beban Penyusutan Elektronik</t>
        </is>
      </c>
      <c r="I23" s="5">
        <f>Penyusutan!M23</f>
        <v/>
      </c>
      <c r="J23" s="3" t="inlineStr"/>
      <c r="K23" s="3" t="inlineStr">
        <is>
          <t>Akumulasi Penyusutan Elektronik</t>
        </is>
      </c>
      <c r="L23" s="5">
        <f>Penyusutan!M23</f>
        <v/>
      </c>
      <c r="M23" s="3">
        <f>IF(E23="","","Penyusutan "&amp;E23&amp;" periode "&amp;C23)</f>
        <v/>
      </c>
    </row>
    <row r="24">
      <c r="A24" s="3">
        <f>IF(Penyusutan!D24="","","JRN-"&amp;TEXT(ROW()-1,"0000"))</f>
        <v/>
      </c>
      <c r="B24" s="4" t="n">
        <v>46022</v>
      </c>
      <c r="C24" s="3">
        <f>Penyusutan!B24</f>
        <v/>
      </c>
      <c r="D24" s="3">
        <f>Penyusutan!C24</f>
        <v/>
      </c>
      <c r="E24" s="3">
        <f>Penyusutan!D24</f>
        <v/>
      </c>
      <c r="F24" s="3" t="inlineStr">
        <is>
          <t>Elektronik</t>
        </is>
      </c>
      <c r="G24" s="3" t="inlineStr"/>
      <c r="H24" s="3" t="inlineStr">
        <is>
          <t>Beban Penyusutan Elektronik</t>
        </is>
      </c>
      <c r="I24" s="5">
        <f>Penyusutan!M24</f>
        <v/>
      </c>
      <c r="J24" s="3" t="inlineStr"/>
      <c r="K24" s="3" t="inlineStr">
        <is>
          <t>Akumulasi Penyusutan Elektronik</t>
        </is>
      </c>
      <c r="L24" s="5">
        <f>Penyusutan!M24</f>
        <v/>
      </c>
      <c r="M24" s="3">
        <f>IF(E24="","","Penyusutan "&amp;E24&amp;" periode "&amp;C24)</f>
        <v/>
      </c>
    </row>
    <row r="25">
      <c r="A25" s="3">
        <f>IF(Penyusutan!D25="","","JRN-"&amp;TEXT(ROW()-1,"0000"))</f>
        <v/>
      </c>
      <c r="B25" s="4" t="n">
        <v>46022</v>
      </c>
      <c r="C25" s="3">
        <f>Penyusutan!B25</f>
        <v/>
      </c>
      <c r="D25" s="3">
        <f>Penyusutan!C25</f>
        <v/>
      </c>
      <c r="E25" s="3">
        <f>Penyusutan!D25</f>
        <v/>
      </c>
      <c r="F25" s="3" t="inlineStr">
        <is>
          <t>Elektronik</t>
        </is>
      </c>
      <c r="G25" s="3" t="inlineStr"/>
      <c r="H25" s="3" t="inlineStr">
        <is>
          <t>Beban Penyusutan Elektronik</t>
        </is>
      </c>
      <c r="I25" s="5">
        <f>Penyusutan!M25</f>
        <v/>
      </c>
      <c r="J25" s="3" t="inlineStr"/>
      <c r="K25" s="3" t="inlineStr">
        <is>
          <t>Akumulasi Penyusutan Elektronik</t>
        </is>
      </c>
      <c r="L25" s="5">
        <f>Penyusutan!M25</f>
        <v/>
      </c>
      <c r="M25" s="3">
        <f>IF(E25="","","Penyusutan "&amp;E25&amp;" periode "&amp;C25)</f>
        <v/>
      </c>
    </row>
    <row r="26">
      <c r="A26" s="3">
        <f>IF(Penyusutan!D26="","","JRN-"&amp;TEXT(ROW()-1,"0000"))</f>
        <v/>
      </c>
      <c r="B26" s="4" t="n">
        <v>46022</v>
      </c>
      <c r="C26" s="3">
        <f>Penyusutan!B26</f>
        <v/>
      </c>
      <c r="D26" s="3">
        <f>Penyusutan!C26</f>
        <v/>
      </c>
      <c r="E26" s="3">
        <f>Penyusutan!D26</f>
        <v/>
      </c>
      <c r="F26" s="3" t="inlineStr">
        <is>
          <t>Elektronik</t>
        </is>
      </c>
      <c r="G26" s="3" t="inlineStr"/>
      <c r="H26" s="3" t="inlineStr">
        <is>
          <t>Beban Penyusutan Elektronik</t>
        </is>
      </c>
      <c r="I26" s="5">
        <f>Penyusutan!M26</f>
        <v/>
      </c>
      <c r="J26" s="3" t="inlineStr"/>
      <c r="K26" s="3" t="inlineStr">
        <is>
          <t>Akumulasi Penyusutan Elektronik</t>
        </is>
      </c>
      <c r="L26" s="5">
        <f>Penyusutan!M26</f>
        <v/>
      </c>
      <c r="M26" s="3">
        <f>IF(E26="","","Penyusutan "&amp;E26&amp;" periode "&amp;C26)</f>
        <v/>
      </c>
    </row>
    <row r="27">
      <c r="A27" s="3">
        <f>IF(Penyusutan!D27="","","JRN-"&amp;TEXT(ROW()-1,"0000"))</f>
        <v/>
      </c>
      <c r="B27" s="4" t="n">
        <v>46022</v>
      </c>
      <c r="C27" s="3">
        <f>Penyusutan!B27</f>
        <v/>
      </c>
      <c r="D27" s="3">
        <f>Penyusutan!C27</f>
        <v/>
      </c>
      <c r="E27" s="3">
        <f>Penyusutan!D27</f>
        <v/>
      </c>
      <c r="F27" s="3" t="inlineStr">
        <is>
          <t>Elektronik</t>
        </is>
      </c>
      <c r="G27" s="3" t="inlineStr"/>
      <c r="H27" s="3" t="inlineStr">
        <is>
          <t>Beban Penyusutan Elektronik</t>
        </is>
      </c>
      <c r="I27" s="5">
        <f>Penyusutan!M27</f>
        <v/>
      </c>
      <c r="J27" s="3" t="inlineStr"/>
      <c r="K27" s="3" t="inlineStr">
        <is>
          <t>Akumulasi Penyusutan Elektronik</t>
        </is>
      </c>
      <c r="L27" s="5">
        <f>Penyusutan!M27</f>
        <v/>
      </c>
      <c r="M27" s="3">
        <f>IF(E27="","","Penyusutan "&amp;E27&amp;" periode "&amp;C27)</f>
        <v/>
      </c>
    </row>
    <row r="28">
      <c r="A28" s="3">
        <f>IF(Penyusutan!D28="","","JRN-"&amp;TEXT(ROW()-1,"0000"))</f>
        <v/>
      </c>
      <c r="B28" s="4" t="n">
        <v>46022</v>
      </c>
      <c r="C28" s="3">
        <f>Penyusutan!B28</f>
        <v/>
      </c>
      <c r="D28" s="3">
        <f>Penyusutan!C28</f>
        <v/>
      </c>
      <c r="E28" s="3">
        <f>Penyusutan!D28</f>
        <v/>
      </c>
      <c r="F28" s="3" t="inlineStr">
        <is>
          <t>Elektronik</t>
        </is>
      </c>
      <c r="G28" s="3" t="inlineStr"/>
      <c r="H28" s="3" t="inlineStr">
        <is>
          <t>Beban Penyusutan Elektronik</t>
        </is>
      </c>
      <c r="I28" s="5">
        <f>Penyusutan!M28</f>
        <v/>
      </c>
      <c r="J28" s="3" t="inlineStr"/>
      <c r="K28" s="3" t="inlineStr">
        <is>
          <t>Akumulasi Penyusutan Elektronik</t>
        </is>
      </c>
      <c r="L28" s="5">
        <f>Penyusutan!M28</f>
        <v/>
      </c>
      <c r="M28" s="3">
        <f>IF(E28="","","Penyusutan "&amp;E28&amp;" periode "&amp;C28)</f>
        <v/>
      </c>
    </row>
    <row r="29">
      <c r="A29" s="3">
        <f>IF(Penyusutan!D29="","","JRN-"&amp;TEXT(ROW()-1,"0000"))</f>
        <v/>
      </c>
      <c r="B29" s="4" t="n">
        <v>46022</v>
      </c>
      <c r="C29" s="3">
        <f>Penyusutan!B29</f>
        <v/>
      </c>
      <c r="D29" s="3">
        <f>Penyusutan!C29</f>
        <v/>
      </c>
      <c r="E29" s="3">
        <f>Penyusutan!D29</f>
        <v/>
      </c>
      <c r="F29" s="3" t="inlineStr">
        <is>
          <t>Elektronik</t>
        </is>
      </c>
      <c r="G29" s="3" t="inlineStr"/>
      <c r="H29" s="3" t="inlineStr">
        <is>
          <t>Beban Penyusutan Elektronik</t>
        </is>
      </c>
      <c r="I29" s="5">
        <f>Penyusutan!M29</f>
        <v/>
      </c>
      <c r="J29" s="3" t="inlineStr"/>
      <c r="K29" s="3" t="inlineStr">
        <is>
          <t>Akumulasi Penyusutan Elektronik</t>
        </is>
      </c>
      <c r="L29" s="5">
        <f>Penyusutan!M29</f>
        <v/>
      </c>
      <c r="M29" s="3">
        <f>IF(E29="","","Penyusutan "&amp;E29&amp;" periode "&amp;C29)</f>
        <v/>
      </c>
    </row>
    <row r="30">
      <c r="A30" s="3">
        <f>IF(Penyusutan!D30="","","JRN-"&amp;TEXT(ROW()-1,"0000"))</f>
        <v/>
      </c>
      <c r="B30" s="4" t="n">
        <v>46022</v>
      </c>
      <c r="C30" s="3">
        <f>Penyusutan!B30</f>
        <v/>
      </c>
      <c r="D30" s="3">
        <f>Penyusutan!C30</f>
        <v/>
      </c>
      <c r="E30" s="3">
        <f>Penyusutan!D30</f>
        <v/>
      </c>
      <c r="F30" s="3" t="inlineStr">
        <is>
          <t>Elektronik</t>
        </is>
      </c>
      <c r="G30" s="3" t="inlineStr"/>
      <c r="H30" s="3" t="inlineStr">
        <is>
          <t>Beban Penyusutan Elektronik</t>
        </is>
      </c>
      <c r="I30" s="5">
        <f>Penyusutan!M30</f>
        <v/>
      </c>
      <c r="J30" s="3" t="inlineStr"/>
      <c r="K30" s="3" t="inlineStr">
        <is>
          <t>Akumulasi Penyusutan Elektronik</t>
        </is>
      </c>
      <c r="L30" s="5">
        <f>Penyusutan!M30</f>
        <v/>
      </c>
      <c r="M30" s="3">
        <f>IF(E30="","","Penyusutan "&amp;E30&amp;" periode "&amp;C30)</f>
        <v/>
      </c>
    </row>
    <row r="31">
      <c r="A31" s="3">
        <f>IF(Penyusutan!D31="","","JRN-"&amp;TEXT(ROW()-1,"0000"))</f>
        <v/>
      </c>
      <c r="B31" s="4" t="n">
        <v>46022</v>
      </c>
      <c r="C31" s="3">
        <f>Penyusutan!B31</f>
        <v/>
      </c>
      <c r="D31" s="3">
        <f>Penyusutan!C31</f>
        <v/>
      </c>
      <c r="E31" s="3">
        <f>Penyusutan!D31</f>
        <v/>
      </c>
      <c r="F31" s="3" t="inlineStr">
        <is>
          <t>Elektronik</t>
        </is>
      </c>
      <c r="G31" s="3" t="inlineStr"/>
      <c r="H31" s="3" t="inlineStr">
        <is>
          <t>Beban Penyusutan Elektronik</t>
        </is>
      </c>
      <c r="I31" s="5">
        <f>Penyusutan!M31</f>
        <v/>
      </c>
      <c r="J31" s="3" t="inlineStr"/>
      <c r="K31" s="3" t="inlineStr">
        <is>
          <t>Akumulasi Penyusutan Elektronik</t>
        </is>
      </c>
      <c r="L31" s="5">
        <f>Penyusutan!M31</f>
        <v/>
      </c>
      <c r="M31" s="3">
        <f>IF(E31="","","Penyusutan "&amp;E31&amp;" periode "&amp;C31)</f>
        <v/>
      </c>
    </row>
    <row r="32">
      <c r="A32" s="3">
        <f>IF(Penyusutan!D32="","","JRN-"&amp;TEXT(ROW()-1,"0000"))</f>
        <v/>
      </c>
      <c r="B32" s="4" t="n">
        <v>46022</v>
      </c>
      <c r="C32" s="3">
        <f>Penyusutan!B32</f>
        <v/>
      </c>
      <c r="D32" s="3">
        <f>Penyusutan!C32</f>
        <v/>
      </c>
      <c r="E32" s="3">
        <f>Penyusutan!D32</f>
        <v/>
      </c>
      <c r="F32" s="3" t="inlineStr">
        <is>
          <t>Elektronik</t>
        </is>
      </c>
      <c r="G32" s="3" t="inlineStr"/>
      <c r="H32" s="3" t="inlineStr">
        <is>
          <t>Beban Penyusutan Elektronik</t>
        </is>
      </c>
      <c r="I32" s="5">
        <f>Penyusutan!M32</f>
        <v/>
      </c>
      <c r="J32" s="3" t="inlineStr"/>
      <c r="K32" s="3" t="inlineStr">
        <is>
          <t>Akumulasi Penyusutan Elektronik</t>
        </is>
      </c>
      <c r="L32" s="5">
        <f>Penyusutan!M32</f>
        <v/>
      </c>
      <c r="M32" s="3">
        <f>IF(E32="","","Penyusutan "&amp;E32&amp;" periode "&amp;C32)</f>
        <v/>
      </c>
    </row>
    <row r="33">
      <c r="A33" s="3">
        <f>IF(Penyusutan!D33="","","JRN-"&amp;TEXT(ROW()-1,"0000"))</f>
        <v/>
      </c>
      <c r="B33" s="4" t="n">
        <v>46022</v>
      </c>
      <c r="C33" s="3">
        <f>Penyusutan!B33</f>
        <v/>
      </c>
      <c r="D33" s="3">
        <f>Penyusutan!C33</f>
        <v/>
      </c>
      <c r="E33" s="3">
        <f>Penyusutan!D33</f>
        <v/>
      </c>
      <c r="F33" s="3" t="inlineStr">
        <is>
          <t>Elektronik</t>
        </is>
      </c>
      <c r="G33" s="3" t="inlineStr"/>
      <c r="H33" s="3" t="inlineStr">
        <is>
          <t>Beban Penyusutan Elektronik</t>
        </is>
      </c>
      <c r="I33" s="5">
        <f>Penyusutan!M33</f>
        <v/>
      </c>
      <c r="J33" s="3" t="inlineStr"/>
      <c r="K33" s="3" t="inlineStr">
        <is>
          <t>Akumulasi Penyusutan Elektronik</t>
        </is>
      </c>
      <c r="L33" s="5">
        <f>Penyusutan!M33</f>
        <v/>
      </c>
      <c r="M33" s="3">
        <f>IF(E33="","","Penyusutan "&amp;E33&amp;" periode "&amp;C33)</f>
        <v/>
      </c>
    </row>
    <row r="34">
      <c r="A34" s="3">
        <f>IF(Penyusutan!D34="","","JRN-"&amp;TEXT(ROW()-1,"0000"))</f>
        <v/>
      </c>
      <c r="B34" s="4" t="n">
        <v>46022</v>
      </c>
      <c r="C34" s="3">
        <f>Penyusutan!B34</f>
        <v/>
      </c>
      <c r="D34" s="3">
        <f>Penyusutan!C34</f>
        <v/>
      </c>
      <c r="E34" s="3">
        <f>Penyusutan!D34</f>
        <v/>
      </c>
      <c r="F34" s="3" t="inlineStr">
        <is>
          <t>Elektronik</t>
        </is>
      </c>
      <c r="G34" s="3" t="inlineStr"/>
      <c r="H34" s="3" t="inlineStr">
        <is>
          <t>Beban Penyusutan Elektronik</t>
        </is>
      </c>
      <c r="I34" s="5">
        <f>Penyusutan!M34</f>
        <v/>
      </c>
      <c r="J34" s="3" t="inlineStr"/>
      <c r="K34" s="3" t="inlineStr">
        <is>
          <t>Akumulasi Penyusutan Elektronik</t>
        </is>
      </c>
      <c r="L34" s="5">
        <f>Penyusutan!M34</f>
        <v/>
      </c>
      <c r="M34" s="3">
        <f>IF(E34="","","Penyusutan "&amp;E34&amp;" periode "&amp;C34)</f>
        <v/>
      </c>
    </row>
    <row r="35">
      <c r="A35" s="3">
        <f>IF(Penyusutan!D35="","","JRN-"&amp;TEXT(ROW()-1,"0000"))</f>
        <v/>
      </c>
      <c r="B35" s="4" t="n">
        <v>46022</v>
      </c>
      <c r="C35" s="3">
        <f>Penyusutan!B35</f>
        <v/>
      </c>
      <c r="D35" s="3">
        <f>Penyusutan!C35</f>
        <v/>
      </c>
      <c r="E35" s="3">
        <f>Penyusutan!D35</f>
        <v/>
      </c>
      <c r="F35" s="3" t="inlineStr">
        <is>
          <t>Elektronik</t>
        </is>
      </c>
      <c r="G35" s="3" t="inlineStr"/>
      <c r="H35" s="3" t="inlineStr">
        <is>
          <t>Beban Penyusutan Elektronik</t>
        </is>
      </c>
      <c r="I35" s="5">
        <f>Penyusutan!M35</f>
        <v/>
      </c>
      <c r="J35" s="3" t="inlineStr"/>
      <c r="K35" s="3" t="inlineStr">
        <is>
          <t>Akumulasi Penyusutan Elektronik</t>
        </is>
      </c>
      <c r="L35" s="5">
        <f>Penyusutan!M35</f>
        <v/>
      </c>
      <c r="M35" s="3">
        <f>IF(E35="","","Penyusutan "&amp;E35&amp;" periode "&amp;C35)</f>
        <v/>
      </c>
    </row>
    <row r="36">
      <c r="A36" s="3">
        <f>IF(Penyusutan!D36="","","JRN-"&amp;TEXT(ROW()-1,"0000"))</f>
        <v/>
      </c>
      <c r="B36" s="4" t="n">
        <v>46022</v>
      </c>
      <c r="C36" s="3">
        <f>Penyusutan!B36</f>
        <v/>
      </c>
      <c r="D36" s="3">
        <f>Penyusutan!C36</f>
        <v/>
      </c>
      <c r="E36" s="3">
        <f>Penyusutan!D36</f>
        <v/>
      </c>
      <c r="F36" s="3" t="inlineStr">
        <is>
          <t>Elektronik</t>
        </is>
      </c>
      <c r="G36" s="3" t="inlineStr"/>
      <c r="H36" s="3" t="inlineStr">
        <is>
          <t>Beban Penyusutan Elektronik</t>
        </is>
      </c>
      <c r="I36" s="5">
        <f>Penyusutan!M36</f>
        <v/>
      </c>
      <c r="J36" s="3" t="inlineStr"/>
      <c r="K36" s="3" t="inlineStr">
        <is>
          <t>Akumulasi Penyusutan Elektronik</t>
        </is>
      </c>
      <c r="L36" s="5">
        <f>Penyusutan!M36</f>
        <v/>
      </c>
      <c r="M36" s="3">
        <f>IF(E36="","","Penyusutan "&amp;E36&amp;" periode "&amp;C36)</f>
        <v/>
      </c>
    </row>
    <row r="37">
      <c r="A37" s="3">
        <f>IF(Penyusutan!D37="","","JRN-"&amp;TEXT(ROW()-1,"0000"))</f>
        <v/>
      </c>
      <c r="B37" s="4" t="n">
        <v>46022</v>
      </c>
      <c r="C37" s="3">
        <f>Penyusutan!B37</f>
        <v/>
      </c>
      <c r="D37" s="3">
        <f>Penyusutan!C37</f>
        <v/>
      </c>
      <c r="E37" s="3">
        <f>Penyusutan!D37</f>
        <v/>
      </c>
      <c r="F37" s="3" t="inlineStr">
        <is>
          <t>Elektronik</t>
        </is>
      </c>
      <c r="G37" s="3" t="inlineStr"/>
      <c r="H37" s="3" t="inlineStr">
        <is>
          <t>Beban Penyusutan Elektronik</t>
        </is>
      </c>
      <c r="I37" s="5">
        <f>Penyusutan!M37</f>
        <v/>
      </c>
      <c r="J37" s="3" t="inlineStr"/>
      <c r="K37" s="3" t="inlineStr">
        <is>
          <t>Akumulasi Penyusutan Elektronik</t>
        </is>
      </c>
      <c r="L37" s="5">
        <f>Penyusutan!M37</f>
        <v/>
      </c>
      <c r="M37" s="3">
        <f>IF(E37="","","Penyusutan "&amp;E37&amp;" periode "&amp;C37)</f>
        <v/>
      </c>
    </row>
    <row r="38">
      <c r="A38" s="3">
        <f>IF(Penyusutan!D38="","","JRN-"&amp;TEXT(ROW()-1,"0000"))</f>
        <v/>
      </c>
      <c r="B38" s="4" t="n">
        <v>46022</v>
      </c>
      <c r="C38" s="3">
        <f>Penyusutan!B38</f>
        <v/>
      </c>
      <c r="D38" s="3">
        <f>Penyusutan!C38</f>
        <v/>
      </c>
      <c r="E38" s="3">
        <f>Penyusutan!D38</f>
        <v/>
      </c>
      <c r="F38" s="3" t="inlineStr">
        <is>
          <t>Elektronik</t>
        </is>
      </c>
      <c r="G38" s="3" t="inlineStr"/>
      <c r="H38" s="3" t="inlineStr">
        <is>
          <t>Beban Penyusutan Elektronik</t>
        </is>
      </c>
      <c r="I38" s="5">
        <f>Penyusutan!M38</f>
        <v/>
      </c>
      <c r="J38" s="3" t="inlineStr"/>
      <c r="K38" s="3" t="inlineStr">
        <is>
          <t>Akumulasi Penyusutan Elektronik</t>
        </is>
      </c>
      <c r="L38" s="5">
        <f>Penyusutan!M38</f>
        <v/>
      </c>
      <c r="M38" s="3">
        <f>IF(E38="","","Penyusutan "&amp;E38&amp;" periode "&amp;C38)</f>
        <v/>
      </c>
    </row>
    <row r="39">
      <c r="A39" s="3">
        <f>IF(Penyusutan!D39="","","JRN-"&amp;TEXT(ROW()-1,"0000"))</f>
        <v/>
      </c>
      <c r="B39" s="4" t="n">
        <v>46022</v>
      </c>
      <c r="C39" s="3">
        <f>Penyusutan!B39</f>
        <v/>
      </c>
      <c r="D39" s="3">
        <f>Penyusutan!C39</f>
        <v/>
      </c>
      <c r="E39" s="3">
        <f>Penyusutan!D39</f>
        <v/>
      </c>
      <c r="F39" s="3" t="inlineStr">
        <is>
          <t>Elektronik</t>
        </is>
      </c>
      <c r="G39" s="3" t="inlineStr"/>
      <c r="H39" s="3" t="inlineStr">
        <is>
          <t>Beban Penyusutan Elektronik</t>
        </is>
      </c>
      <c r="I39" s="5">
        <f>Penyusutan!M39</f>
        <v/>
      </c>
      <c r="J39" s="3" t="inlineStr"/>
      <c r="K39" s="3" t="inlineStr">
        <is>
          <t>Akumulasi Penyusutan Elektronik</t>
        </is>
      </c>
      <c r="L39" s="5">
        <f>Penyusutan!M39</f>
        <v/>
      </c>
      <c r="M39" s="3">
        <f>IF(E39="","","Penyusutan "&amp;E39&amp;" periode "&amp;C39)</f>
        <v/>
      </c>
    </row>
    <row r="40">
      <c r="A40" s="3">
        <f>IF(Penyusutan!D40="","","JRN-"&amp;TEXT(ROW()-1,"0000"))</f>
        <v/>
      </c>
      <c r="B40" s="4" t="n">
        <v>46022</v>
      </c>
      <c r="C40" s="3">
        <f>Penyusutan!B40</f>
        <v/>
      </c>
      <c r="D40" s="3">
        <f>Penyusutan!C40</f>
        <v/>
      </c>
      <c r="E40" s="3">
        <f>Penyusutan!D40</f>
        <v/>
      </c>
      <c r="F40" s="3" t="inlineStr">
        <is>
          <t>Elektronik</t>
        </is>
      </c>
      <c r="G40" s="3" t="inlineStr"/>
      <c r="H40" s="3" t="inlineStr">
        <is>
          <t>Beban Penyusutan Elektronik</t>
        </is>
      </c>
      <c r="I40" s="5">
        <f>Penyusutan!M40</f>
        <v/>
      </c>
      <c r="J40" s="3" t="inlineStr"/>
      <c r="K40" s="3" t="inlineStr">
        <is>
          <t>Akumulasi Penyusutan Elektronik</t>
        </is>
      </c>
      <c r="L40" s="5">
        <f>Penyusutan!M40</f>
        <v/>
      </c>
      <c r="M40" s="3">
        <f>IF(E40="","","Penyusutan "&amp;E40&amp;" periode "&amp;C40)</f>
        <v/>
      </c>
    </row>
    <row r="41">
      <c r="A41" s="3">
        <f>IF(Penyusutan!D41="","","JRN-"&amp;TEXT(ROW()-1,"0000"))</f>
        <v/>
      </c>
      <c r="B41" s="4" t="n">
        <v>46022</v>
      </c>
      <c r="C41" s="3">
        <f>Penyusutan!B41</f>
        <v/>
      </c>
      <c r="D41" s="3">
        <f>Penyusutan!C41</f>
        <v/>
      </c>
      <c r="E41" s="3">
        <f>Penyusutan!D41</f>
        <v/>
      </c>
      <c r="F41" s="3" t="inlineStr">
        <is>
          <t>Elektronik</t>
        </is>
      </c>
      <c r="G41" s="3" t="inlineStr"/>
      <c r="H41" s="3" t="inlineStr">
        <is>
          <t>Beban Penyusutan Elektronik</t>
        </is>
      </c>
      <c r="I41" s="5">
        <f>Penyusutan!M41</f>
        <v/>
      </c>
      <c r="J41" s="3" t="inlineStr"/>
      <c r="K41" s="3" t="inlineStr">
        <is>
          <t>Akumulasi Penyusutan Elektronik</t>
        </is>
      </c>
      <c r="L41" s="5">
        <f>Penyusutan!M41</f>
        <v/>
      </c>
      <c r="M41" s="3">
        <f>IF(E41="","","Penyusutan "&amp;E41&amp;" periode "&amp;C41)</f>
        <v/>
      </c>
    </row>
    <row r="42">
      <c r="A42" s="3">
        <f>IF(Penyusutan!D42="","","JRN-"&amp;TEXT(ROW()-1,"0000"))</f>
        <v/>
      </c>
      <c r="B42" s="4" t="n">
        <v>46022</v>
      </c>
      <c r="C42" s="3">
        <f>Penyusutan!B42</f>
        <v/>
      </c>
      <c r="D42" s="3">
        <f>Penyusutan!C42</f>
        <v/>
      </c>
      <c r="E42" s="3">
        <f>Penyusutan!D42</f>
        <v/>
      </c>
      <c r="F42" s="3" t="inlineStr">
        <is>
          <t>Elektronik</t>
        </is>
      </c>
      <c r="G42" s="3" t="inlineStr"/>
      <c r="H42" s="3" t="inlineStr">
        <is>
          <t>Beban Penyusutan Elektronik</t>
        </is>
      </c>
      <c r="I42" s="5">
        <f>Penyusutan!M42</f>
        <v/>
      </c>
      <c r="J42" s="3" t="inlineStr"/>
      <c r="K42" s="3" t="inlineStr">
        <is>
          <t>Akumulasi Penyusutan Elektronik</t>
        </is>
      </c>
      <c r="L42" s="5">
        <f>Penyusutan!M42</f>
        <v/>
      </c>
      <c r="M42" s="3">
        <f>IF(E42="","","Penyusutan "&amp;E42&amp;" periode "&amp;C42)</f>
        <v/>
      </c>
    </row>
    <row r="43">
      <c r="A43" s="3">
        <f>IF(Penyusutan!D43="","","JRN-"&amp;TEXT(ROW()-1,"0000"))</f>
        <v/>
      </c>
      <c r="B43" s="4" t="n">
        <v>46022</v>
      </c>
      <c r="C43" s="3">
        <f>Penyusutan!B43</f>
        <v/>
      </c>
      <c r="D43" s="3">
        <f>Penyusutan!C43</f>
        <v/>
      </c>
      <c r="E43" s="3">
        <f>Penyusutan!D43</f>
        <v/>
      </c>
      <c r="F43" s="3" t="inlineStr">
        <is>
          <t>Elektronik</t>
        </is>
      </c>
      <c r="G43" s="3" t="inlineStr"/>
      <c r="H43" s="3" t="inlineStr">
        <is>
          <t>Beban Penyusutan Elektronik</t>
        </is>
      </c>
      <c r="I43" s="5">
        <f>Penyusutan!M43</f>
        <v/>
      </c>
      <c r="J43" s="3" t="inlineStr"/>
      <c r="K43" s="3" t="inlineStr">
        <is>
          <t>Akumulasi Penyusutan Elektronik</t>
        </is>
      </c>
      <c r="L43" s="5">
        <f>Penyusutan!M43</f>
        <v/>
      </c>
      <c r="M43" s="3">
        <f>IF(E43="","","Penyusutan "&amp;E43&amp;" periode "&amp;C43)</f>
        <v/>
      </c>
    </row>
    <row r="44">
      <c r="A44" s="3">
        <f>IF(Penyusutan!D44="","","JRN-"&amp;TEXT(ROW()-1,"0000"))</f>
        <v/>
      </c>
      <c r="B44" s="4" t="n">
        <v>46022</v>
      </c>
      <c r="C44" s="3">
        <f>Penyusutan!B44</f>
        <v/>
      </c>
      <c r="D44" s="3">
        <f>Penyusutan!C44</f>
        <v/>
      </c>
      <c r="E44" s="3">
        <f>Penyusutan!D44</f>
        <v/>
      </c>
      <c r="F44" s="3" t="inlineStr">
        <is>
          <t>Elektronik</t>
        </is>
      </c>
      <c r="G44" s="3" t="inlineStr"/>
      <c r="H44" s="3" t="inlineStr">
        <is>
          <t>Beban Penyusutan Elektronik</t>
        </is>
      </c>
      <c r="I44" s="5">
        <f>Penyusutan!M44</f>
        <v/>
      </c>
      <c r="J44" s="3" t="inlineStr"/>
      <c r="K44" s="3" t="inlineStr">
        <is>
          <t>Akumulasi Penyusutan Elektronik</t>
        </is>
      </c>
      <c r="L44" s="5">
        <f>Penyusutan!M44</f>
        <v/>
      </c>
      <c r="M44" s="3">
        <f>IF(E44="","","Penyusutan "&amp;E44&amp;" periode "&amp;C44)</f>
        <v/>
      </c>
    </row>
    <row r="45">
      <c r="A45" s="3">
        <f>IF(Penyusutan!D45="","","JRN-"&amp;TEXT(ROW()-1,"0000"))</f>
        <v/>
      </c>
      <c r="B45" s="4" t="n">
        <v>46022</v>
      </c>
      <c r="C45" s="3">
        <f>Penyusutan!B45</f>
        <v/>
      </c>
      <c r="D45" s="3">
        <f>Penyusutan!C45</f>
        <v/>
      </c>
      <c r="E45" s="3">
        <f>Penyusutan!D45</f>
        <v/>
      </c>
      <c r="F45" s="3" t="inlineStr">
        <is>
          <t>Elektronik</t>
        </is>
      </c>
      <c r="G45" s="3" t="inlineStr"/>
      <c r="H45" s="3" t="inlineStr">
        <is>
          <t>Beban Penyusutan Elektronik</t>
        </is>
      </c>
      <c r="I45" s="5">
        <f>Penyusutan!M45</f>
        <v/>
      </c>
      <c r="J45" s="3" t="inlineStr"/>
      <c r="K45" s="3" t="inlineStr">
        <is>
          <t>Akumulasi Penyusutan Elektronik</t>
        </is>
      </c>
      <c r="L45" s="5">
        <f>Penyusutan!M45</f>
        <v/>
      </c>
      <c r="M45" s="3">
        <f>IF(E45="","","Penyusutan "&amp;E45&amp;" periode "&amp;C45)</f>
        <v/>
      </c>
    </row>
    <row r="46">
      <c r="A46" s="3">
        <f>IF(Penyusutan!D46="","","JRN-"&amp;TEXT(ROW()-1,"0000"))</f>
        <v/>
      </c>
      <c r="B46" s="4" t="n">
        <v>46022</v>
      </c>
      <c r="C46" s="3">
        <f>Penyusutan!B46</f>
        <v/>
      </c>
      <c r="D46" s="3">
        <f>Penyusutan!C46</f>
        <v/>
      </c>
      <c r="E46" s="3">
        <f>Penyusutan!D46</f>
        <v/>
      </c>
      <c r="F46" s="3" t="inlineStr">
        <is>
          <t>Elektronik</t>
        </is>
      </c>
      <c r="G46" s="3" t="inlineStr"/>
      <c r="H46" s="3" t="inlineStr">
        <is>
          <t>Beban Penyusutan Elektronik</t>
        </is>
      </c>
      <c r="I46" s="5">
        <f>Penyusutan!M46</f>
        <v/>
      </c>
      <c r="J46" s="3" t="inlineStr"/>
      <c r="K46" s="3" t="inlineStr">
        <is>
          <t>Akumulasi Penyusutan Elektronik</t>
        </is>
      </c>
      <c r="L46" s="5">
        <f>Penyusutan!M46</f>
        <v/>
      </c>
      <c r="M46" s="3">
        <f>IF(E46="","","Penyusutan "&amp;E46&amp;" periode "&amp;C46)</f>
        <v/>
      </c>
    </row>
    <row r="47">
      <c r="A47" s="3">
        <f>IF(Penyusutan!D47="","","JRN-"&amp;TEXT(ROW()-1,"0000"))</f>
        <v/>
      </c>
      <c r="B47" s="4" t="n">
        <v>46022</v>
      </c>
      <c r="C47" s="3">
        <f>Penyusutan!B47</f>
        <v/>
      </c>
      <c r="D47" s="3">
        <f>Penyusutan!C47</f>
        <v/>
      </c>
      <c r="E47" s="3">
        <f>Penyusutan!D47</f>
        <v/>
      </c>
      <c r="F47" s="3" t="inlineStr">
        <is>
          <t>Elektronik</t>
        </is>
      </c>
      <c r="G47" s="3" t="inlineStr"/>
      <c r="H47" s="3" t="inlineStr">
        <is>
          <t>Beban Penyusutan Elektronik</t>
        </is>
      </c>
      <c r="I47" s="5">
        <f>Penyusutan!M47</f>
        <v/>
      </c>
      <c r="J47" s="3" t="inlineStr"/>
      <c r="K47" s="3" t="inlineStr">
        <is>
          <t>Akumulasi Penyusutan Elektronik</t>
        </is>
      </c>
      <c r="L47" s="5">
        <f>Penyusutan!M47</f>
        <v/>
      </c>
      <c r="M47" s="3">
        <f>IF(E47="","","Penyusutan "&amp;E47&amp;" periode "&amp;C47)</f>
        <v/>
      </c>
    </row>
    <row r="48">
      <c r="A48" s="3">
        <f>IF(Penyusutan!D48="","","JRN-"&amp;TEXT(ROW()-1,"0000"))</f>
        <v/>
      </c>
      <c r="B48" s="4" t="n">
        <v>46022</v>
      </c>
      <c r="C48" s="3">
        <f>Penyusutan!B48</f>
        <v/>
      </c>
      <c r="D48" s="3">
        <f>Penyusutan!C48</f>
        <v/>
      </c>
      <c r="E48" s="3">
        <f>Penyusutan!D48</f>
        <v/>
      </c>
      <c r="F48" s="3" t="inlineStr">
        <is>
          <t>Elektronik</t>
        </is>
      </c>
      <c r="G48" s="3" t="inlineStr"/>
      <c r="H48" s="3" t="inlineStr">
        <is>
          <t>Beban Penyusutan Elektronik</t>
        </is>
      </c>
      <c r="I48" s="5">
        <f>Penyusutan!M48</f>
        <v/>
      </c>
      <c r="J48" s="3" t="inlineStr"/>
      <c r="K48" s="3" t="inlineStr">
        <is>
          <t>Akumulasi Penyusutan Elektronik</t>
        </is>
      </c>
      <c r="L48" s="5">
        <f>Penyusutan!M48</f>
        <v/>
      </c>
      <c r="M48" s="3">
        <f>IF(E48="","","Penyusutan "&amp;E48&amp;" periode "&amp;C48)</f>
        <v/>
      </c>
    </row>
    <row r="49">
      <c r="A49" s="3">
        <f>IF(Penyusutan!D49="","","JRN-"&amp;TEXT(ROW()-1,"0000"))</f>
        <v/>
      </c>
      <c r="B49" s="4" t="n">
        <v>46022</v>
      </c>
      <c r="C49" s="3">
        <f>Penyusutan!B49</f>
        <v/>
      </c>
      <c r="D49" s="3">
        <f>Penyusutan!C49</f>
        <v/>
      </c>
      <c r="E49" s="3">
        <f>Penyusutan!D49</f>
        <v/>
      </c>
      <c r="F49" s="3" t="inlineStr">
        <is>
          <t>Elektronik</t>
        </is>
      </c>
      <c r="G49" s="3" t="inlineStr"/>
      <c r="H49" s="3" t="inlineStr">
        <is>
          <t>Beban Penyusutan Elektronik</t>
        </is>
      </c>
      <c r="I49" s="5">
        <f>Penyusutan!M49</f>
        <v/>
      </c>
      <c r="J49" s="3" t="inlineStr"/>
      <c r="K49" s="3" t="inlineStr">
        <is>
          <t>Akumulasi Penyusutan Elektronik</t>
        </is>
      </c>
      <c r="L49" s="5">
        <f>Penyusutan!M49</f>
        <v/>
      </c>
      <c r="M49" s="3">
        <f>IF(E49="","","Penyusutan "&amp;E49&amp;" periode "&amp;C49)</f>
        <v/>
      </c>
    </row>
    <row r="50">
      <c r="A50" s="3">
        <f>IF(Penyusutan!D50="","","JRN-"&amp;TEXT(ROW()-1,"0000"))</f>
        <v/>
      </c>
      <c r="B50" s="4" t="n">
        <v>46022</v>
      </c>
      <c r="C50" s="3">
        <f>Penyusutan!B50</f>
        <v/>
      </c>
      <c r="D50" s="3">
        <f>Penyusutan!C50</f>
        <v/>
      </c>
      <c r="E50" s="3">
        <f>Penyusutan!D50</f>
        <v/>
      </c>
      <c r="F50" s="3" t="inlineStr">
        <is>
          <t>Elektronik</t>
        </is>
      </c>
      <c r="G50" s="3" t="inlineStr"/>
      <c r="H50" s="3" t="inlineStr">
        <is>
          <t>Beban Penyusutan Elektronik</t>
        </is>
      </c>
      <c r="I50" s="5">
        <f>Penyusutan!M50</f>
        <v/>
      </c>
      <c r="J50" s="3" t="inlineStr"/>
      <c r="K50" s="3" t="inlineStr">
        <is>
          <t>Akumulasi Penyusutan Elektronik</t>
        </is>
      </c>
      <c r="L50" s="5">
        <f>Penyusutan!M50</f>
        <v/>
      </c>
      <c r="M50" s="3">
        <f>IF(E50="","","Penyusutan "&amp;E50&amp;" periode "&amp;C50)</f>
        <v/>
      </c>
    </row>
    <row r="51">
      <c r="A51" s="3">
        <f>IF(Penyusutan!D51="","","JRN-"&amp;TEXT(ROW()-1,"0000"))</f>
        <v/>
      </c>
      <c r="B51" s="4" t="n">
        <v>46022</v>
      </c>
      <c r="C51" s="3">
        <f>Penyusutan!B51</f>
        <v/>
      </c>
      <c r="D51" s="3">
        <f>Penyusutan!C51</f>
        <v/>
      </c>
      <c r="E51" s="3">
        <f>Penyusutan!D51</f>
        <v/>
      </c>
      <c r="F51" s="3" t="inlineStr">
        <is>
          <t>Elektronik</t>
        </is>
      </c>
      <c r="G51" s="3" t="inlineStr"/>
      <c r="H51" s="3" t="inlineStr">
        <is>
          <t>Beban Penyusutan Elektronik</t>
        </is>
      </c>
      <c r="I51" s="5">
        <f>Penyusutan!M51</f>
        <v/>
      </c>
      <c r="J51" s="3" t="inlineStr"/>
      <c r="K51" s="3" t="inlineStr">
        <is>
          <t>Akumulasi Penyusutan Elektronik</t>
        </is>
      </c>
      <c r="L51" s="5">
        <f>Penyusutan!M51</f>
        <v/>
      </c>
      <c r="M51" s="3">
        <f>IF(E51="","","Penyusutan "&amp;E51&amp;" periode "&amp;C51)</f>
        <v/>
      </c>
    </row>
    <row r="52">
      <c r="A52" s="3">
        <f>IF(Penyusutan!D52="","","JRN-"&amp;TEXT(ROW()-1,"0000"))</f>
        <v/>
      </c>
      <c r="B52" s="4" t="n">
        <v>46022</v>
      </c>
      <c r="C52" s="3">
        <f>Penyusutan!B52</f>
        <v/>
      </c>
      <c r="D52" s="3">
        <f>Penyusutan!C52</f>
        <v/>
      </c>
      <c r="E52" s="3">
        <f>Penyusutan!D52</f>
        <v/>
      </c>
      <c r="F52" s="3" t="inlineStr">
        <is>
          <t>Elektronik</t>
        </is>
      </c>
      <c r="G52" s="3" t="inlineStr"/>
      <c r="H52" s="3" t="inlineStr">
        <is>
          <t>Beban Penyusutan Elektronik</t>
        </is>
      </c>
      <c r="I52" s="5">
        <f>Penyusutan!M52</f>
        <v/>
      </c>
      <c r="J52" s="3" t="inlineStr"/>
      <c r="K52" s="3" t="inlineStr">
        <is>
          <t>Akumulasi Penyusutan Elektronik</t>
        </is>
      </c>
      <c r="L52" s="5">
        <f>Penyusutan!M52</f>
        <v/>
      </c>
      <c r="M52" s="3">
        <f>IF(E52="","","Penyusutan "&amp;E52&amp;" periode "&amp;C52)</f>
        <v/>
      </c>
    </row>
    <row r="53">
      <c r="A53" s="3">
        <f>IF(Penyusutan!D53="","","JRN-"&amp;TEXT(ROW()-1,"0000"))</f>
        <v/>
      </c>
      <c r="B53" s="4" t="n">
        <v>46022</v>
      </c>
      <c r="C53" s="3">
        <f>Penyusutan!B53</f>
        <v/>
      </c>
      <c r="D53" s="3">
        <f>Penyusutan!C53</f>
        <v/>
      </c>
      <c r="E53" s="3">
        <f>Penyusutan!D53</f>
        <v/>
      </c>
      <c r="F53" s="3" t="inlineStr">
        <is>
          <t>Elektronik</t>
        </is>
      </c>
      <c r="G53" s="3" t="inlineStr"/>
      <c r="H53" s="3" t="inlineStr">
        <is>
          <t>Beban Penyusutan Elektronik</t>
        </is>
      </c>
      <c r="I53" s="5">
        <f>Penyusutan!M53</f>
        <v/>
      </c>
      <c r="J53" s="3" t="inlineStr"/>
      <c r="K53" s="3" t="inlineStr">
        <is>
          <t>Akumulasi Penyusutan Elektronik</t>
        </is>
      </c>
      <c r="L53" s="5">
        <f>Penyusutan!M53</f>
        <v/>
      </c>
      <c r="M53" s="3">
        <f>IF(E53="","","Penyusutan "&amp;E53&amp;" periode "&amp;C53)</f>
        <v/>
      </c>
    </row>
    <row r="54">
      <c r="A54" s="3">
        <f>IF(Penyusutan!D54="","","JRN-"&amp;TEXT(ROW()-1,"0000"))</f>
        <v/>
      </c>
      <c r="B54" s="4" t="n">
        <v>46022</v>
      </c>
      <c r="C54" s="3">
        <f>Penyusutan!B54</f>
        <v/>
      </c>
      <c r="D54" s="3">
        <f>Penyusutan!C54</f>
        <v/>
      </c>
      <c r="E54" s="3">
        <f>Penyusutan!D54</f>
        <v/>
      </c>
      <c r="F54" s="3" t="inlineStr">
        <is>
          <t>Elektronik</t>
        </is>
      </c>
      <c r="G54" s="3" t="inlineStr"/>
      <c r="H54" s="3" t="inlineStr">
        <is>
          <t>Beban Penyusutan Elektronik</t>
        </is>
      </c>
      <c r="I54" s="5">
        <f>Penyusutan!M54</f>
        <v/>
      </c>
      <c r="J54" s="3" t="inlineStr"/>
      <c r="K54" s="3" t="inlineStr">
        <is>
          <t>Akumulasi Penyusutan Elektronik</t>
        </is>
      </c>
      <c r="L54" s="5">
        <f>Penyusutan!M54</f>
        <v/>
      </c>
      <c r="M54" s="3">
        <f>IF(E54="","","Penyusutan "&amp;E54&amp;" periode "&amp;C54)</f>
        <v/>
      </c>
    </row>
    <row r="55">
      <c r="A55" s="3">
        <f>IF(Penyusutan!D55="","","JRN-"&amp;TEXT(ROW()-1,"0000"))</f>
        <v/>
      </c>
      <c r="B55" s="4" t="n">
        <v>46022</v>
      </c>
      <c r="C55" s="3">
        <f>Penyusutan!B55</f>
        <v/>
      </c>
      <c r="D55" s="3">
        <f>Penyusutan!C55</f>
        <v/>
      </c>
      <c r="E55" s="3">
        <f>Penyusutan!D55</f>
        <v/>
      </c>
      <c r="F55" s="3" t="inlineStr">
        <is>
          <t>Elektronik</t>
        </is>
      </c>
      <c r="G55" s="3" t="inlineStr"/>
      <c r="H55" s="3" t="inlineStr">
        <is>
          <t>Beban Penyusutan Elektronik</t>
        </is>
      </c>
      <c r="I55" s="5">
        <f>Penyusutan!M55</f>
        <v/>
      </c>
      <c r="J55" s="3" t="inlineStr"/>
      <c r="K55" s="3" t="inlineStr">
        <is>
          <t>Akumulasi Penyusutan Elektronik</t>
        </is>
      </c>
      <c r="L55" s="5">
        <f>Penyusutan!M55</f>
        <v/>
      </c>
      <c r="M55" s="3">
        <f>IF(E55="","","Penyusutan "&amp;E55&amp;" periode "&amp;C55)</f>
        <v/>
      </c>
    </row>
    <row r="56">
      <c r="A56" s="3">
        <f>IF(Penyusutan!D56="","","JRN-"&amp;TEXT(ROW()-1,"0000"))</f>
        <v/>
      </c>
      <c r="B56" s="4" t="n">
        <v>46022</v>
      </c>
      <c r="C56" s="3">
        <f>Penyusutan!B56</f>
        <v/>
      </c>
      <c r="D56" s="3">
        <f>Penyusutan!C56</f>
        <v/>
      </c>
      <c r="E56" s="3">
        <f>Penyusutan!D56</f>
        <v/>
      </c>
      <c r="F56" s="3" t="inlineStr">
        <is>
          <t>Elektronik</t>
        </is>
      </c>
      <c r="G56" s="3" t="inlineStr"/>
      <c r="H56" s="3" t="inlineStr">
        <is>
          <t>Beban Penyusutan Elektronik</t>
        </is>
      </c>
      <c r="I56" s="5">
        <f>Penyusutan!M56</f>
        <v/>
      </c>
      <c r="J56" s="3" t="inlineStr"/>
      <c r="K56" s="3" t="inlineStr">
        <is>
          <t>Akumulasi Penyusutan Elektronik</t>
        </is>
      </c>
      <c r="L56" s="5">
        <f>Penyusutan!M56</f>
        <v/>
      </c>
      <c r="M56" s="3">
        <f>IF(E56="","","Penyusutan "&amp;E56&amp;" periode "&amp;C56)</f>
        <v/>
      </c>
    </row>
    <row r="57">
      <c r="A57" s="3">
        <f>IF(Penyusutan!D57="","","JRN-"&amp;TEXT(ROW()-1,"0000"))</f>
        <v/>
      </c>
      <c r="B57" s="4" t="n">
        <v>46022</v>
      </c>
      <c r="C57" s="3">
        <f>Penyusutan!B57</f>
        <v/>
      </c>
      <c r="D57" s="3">
        <f>Penyusutan!C57</f>
        <v/>
      </c>
      <c r="E57" s="3">
        <f>Penyusutan!D57</f>
        <v/>
      </c>
      <c r="F57" s="3" t="inlineStr">
        <is>
          <t>Elektronik</t>
        </is>
      </c>
      <c r="G57" s="3" t="inlineStr"/>
      <c r="H57" s="3" t="inlineStr">
        <is>
          <t>Beban Penyusutan Elektronik</t>
        </is>
      </c>
      <c r="I57" s="5">
        <f>Penyusutan!M57</f>
        <v/>
      </c>
      <c r="J57" s="3" t="inlineStr"/>
      <c r="K57" s="3" t="inlineStr">
        <is>
          <t>Akumulasi Penyusutan Elektronik</t>
        </is>
      </c>
      <c r="L57" s="5">
        <f>Penyusutan!M57</f>
        <v/>
      </c>
      <c r="M57" s="3">
        <f>IF(E57="","","Penyusutan "&amp;E57&amp;" periode "&amp;C57)</f>
        <v/>
      </c>
    </row>
    <row r="58">
      <c r="A58" s="3">
        <f>IF(Penyusutan!D58="","","JRN-"&amp;TEXT(ROW()-1,"0000"))</f>
        <v/>
      </c>
      <c r="B58" s="4" t="n">
        <v>46022</v>
      </c>
      <c r="C58" s="3">
        <f>Penyusutan!B58</f>
        <v/>
      </c>
      <c r="D58" s="3">
        <f>Penyusutan!C58</f>
        <v/>
      </c>
      <c r="E58" s="3">
        <f>Penyusutan!D58</f>
        <v/>
      </c>
      <c r="F58" s="3" t="inlineStr">
        <is>
          <t>Elektronik</t>
        </is>
      </c>
      <c r="G58" s="3" t="inlineStr"/>
      <c r="H58" s="3" t="inlineStr">
        <is>
          <t>Beban Penyusutan Elektronik</t>
        </is>
      </c>
      <c r="I58" s="5">
        <f>Penyusutan!M58</f>
        <v/>
      </c>
      <c r="J58" s="3" t="inlineStr"/>
      <c r="K58" s="3" t="inlineStr">
        <is>
          <t>Akumulasi Penyusutan Elektronik</t>
        </is>
      </c>
      <c r="L58" s="5">
        <f>Penyusutan!M58</f>
        <v/>
      </c>
      <c r="M58" s="3">
        <f>IF(E58="","","Penyusutan "&amp;E58&amp;" periode "&amp;C58)</f>
        <v/>
      </c>
    </row>
    <row r="59">
      <c r="A59" s="3">
        <f>IF(Penyusutan!D59="","","JRN-"&amp;TEXT(ROW()-1,"0000"))</f>
        <v/>
      </c>
      <c r="B59" s="4" t="n">
        <v>46022</v>
      </c>
      <c r="C59" s="3">
        <f>Penyusutan!B59</f>
        <v/>
      </c>
      <c r="D59" s="3">
        <f>Penyusutan!C59</f>
        <v/>
      </c>
      <c r="E59" s="3">
        <f>Penyusutan!D59</f>
        <v/>
      </c>
      <c r="F59" s="3" t="inlineStr">
        <is>
          <t>Elektronik</t>
        </is>
      </c>
      <c r="G59" s="3" t="inlineStr"/>
      <c r="H59" s="3" t="inlineStr">
        <is>
          <t>Beban Penyusutan Elektronik</t>
        </is>
      </c>
      <c r="I59" s="5">
        <f>Penyusutan!M59</f>
        <v/>
      </c>
      <c r="J59" s="3" t="inlineStr"/>
      <c r="K59" s="3" t="inlineStr">
        <is>
          <t>Akumulasi Penyusutan Elektronik</t>
        </is>
      </c>
      <c r="L59" s="5">
        <f>Penyusutan!M59</f>
        <v/>
      </c>
      <c r="M59" s="3">
        <f>IF(E59="","","Penyusutan "&amp;E59&amp;" periode "&amp;C59)</f>
        <v/>
      </c>
    </row>
    <row r="60">
      <c r="A60" s="3">
        <f>IF(Penyusutan!D60="","","JRN-"&amp;TEXT(ROW()-1,"0000"))</f>
        <v/>
      </c>
      <c r="B60" s="4" t="n">
        <v>46022</v>
      </c>
      <c r="C60" s="3">
        <f>Penyusutan!B60</f>
        <v/>
      </c>
      <c r="D60" s="3">
        <f>Penyusutan!C60</f>
        <v/>
      </c>
      <c r="E60" s="3">
        <f>Penyusutan!D60</f>
        <v/>
      </c>
      <c r="F60" s="3" t="inlineStr">
        <is>
          <t>Elektronik</t>
        </is>
      </c>
      <c r="G60" s="3" t="inlineStr"/>
      <c r="H60" s="3" t="inlineStr">
        <is>
          <t>Beban Penyusutan Elektronik</t>
        </is>
      </c>
      <c r="I60" s="5">
        <f>Penyusutan!M60</f>
        <v/>
      </c>
      <c r="J60" s="3" t="inlineStr"/>
      <c r="K60" s="3" t="inlineStr">
        <is>
          <t>Akumulasi Penyusutan Elektronik</t>
        </is>
      </c>
      <c r="L60" s="5">
        <f>Penyusutan!M60</f>
        <v/>
      </c>
      <c r="M60" s="3">
        <f>IF(E60="","","Penyusutan "&amp;E60&amp;" periode "&amp;C60)</f>
        <v/>
      </c>
    </row>
    <row r="61">
      <c r="A61" s="3">
        <f>IF(Penyusutan!D61="","","JRN-"&amp;TEXT(ROW()-1,"0000"))</f>
        <v/>
      </c>
      <c r="B61" s="4" t="n">
        <v>46022</v>
      </c>
      <c r="C61" s="3">
        <f>Penyusutan!B61</f>
        <v/>
      </c>
      <c r="D61" s="3">
        <f>Penyusutan!C61</f>
        <v/>
      </c>
      <c r="E61" s="3">
        <f>Penyusutan!D61</f>
        <v/>
      </c>
      <c r="F61" s="3" t="inlineStr">
        <is>
          <t>Elektronik</t>
        </is>
      </c>
      <c r="G61" s="3" t="inlineStr"/>
      <c r="H61" s="3" t="inlineStr">
        <is>
          <t>Beban Penyusutan Elektronik</t>
        </is>
      </c>
      <c r="I61" s="5">
        <f>Penyusutan!M61</f>
        <v/>
      </c>
      <c r="J61" s="3" t="inlineStr"/>
      <c r="K61" s="3" t="inlineStr">
        <is>
          <t>Akumulasi Penyusutan Elektronik</t>
        </is>
      </c>
      <c r="L61" s="5">
        <f>Penyusutan!M61</f>
        <v/>
      </c>
      <c r="M61" s="3">
        <f>IF(E61="","","Penyusutan "&amp;E61&amp;" periode "&amp;C61)</f>
        <v/>
      </c>
    </row>
    <row r="62">
      <c r="A62" s="3">
        <f>IF(Penyusutan!D62="","","JRN-"&amp;TEXT(ROW()-1,"0000"))</f>
        <v/>
      </c>
      <c r="B62" s="4" t="n">
        <v>46022</v>
      </c>
      <c r="C62" s="3">
        <f>Penyusutan!B62</f>
        <v/>
      </c>
      <c r="D62" s="3">
        <f>Penyusutan!C62</f>
        <v/>
      </c>
      <c r="E62" s="3">
        <f>Penyusutan!D62</f>
        <v/>
      </c>
      <c r="F62" s="3" t="inlineStr">
        <is>
          <t>Elektronik</t>
        </is>
      </c>
      <c r="G62" s="3" t="inlineStr"/>
      <c r="H62" s="3" t="inlineStr">
        <is>
          <t>Beban Penyusutan Elektronik</t>
        </is>
      </c>
      <c r="I62" s="5">
        <f>Penyusutan!M62</f>
        <v/>
      </c>
      <c r="J62" s="3" t="inlineStr"/>
      <c r="K62" s="3" t="inlineStr">
        <is>
          <t>Akumulasi Penyusutan Elektronik</t>
        </is>
      </c>
      <c r="L62" s="5">
        <f>Penyusutan!M62</f>
        <v/>
      </c>
      <c r="M62" s="3">
        <f>IF(E62="","","Penyusutan "&amp;E62&amp;" periode "&amp;C62)</f>
        <v/>
      </c>
    </row>
    <row r="63">
      <c r="A63" s="3">
        <f>IF(Penyusutan!D63="","","JRN-"&amp;TEXT(ROW()-1,"0000"))</f>
        <v/>
      </c>
      <c r="B63" s="4" t="n">
        <v>46022</v>
      </c>
      <c r="C63" s="3">
        <f>Penyusutan!B63</f>
        <v/>
      </c>
      <c r="D63" s="3">
        <f>Penyusutan!C63</f>
        <v/>
      </c>
      <c r="E63" s="3">
        <f>Penyusutan!D63</f>
        <v/>
      </c>
      <c r="F63" s="3" t="inlineStr">
        <is>
          <t>Elektronik</t>
        </is>
      </c>
      <c r="G63" s="3" t="inlineStr"/>
      <c r="H63" s="3" t="inlineStr">
        <is>
          <t>Beban Penyusutan Elektronik</t>
        </is>
      </c>
      <c r="I63" s="5">
        <f>Penyusutan!M63</f>
        <v/>
      </c>
      <c r="J63" s="3" t="inlineStr"/>
      <c r="K63" s="3" t="inlineStr">
        <is>
          <t>Akumulasi Penyusutan Elektronik</t>
        </is>
      </c>
      <c r="L63" s="5">
        <f>Penyusutan!M63</f>
        <v/>
      </c>
      <c r="M63" s="3">
        <f>IF(E63="","","Penyusutan "&amp;E63&amp;" periode "&amp;C63)</f>
        <v/>
      </c>
    </row>
    <row r="64">
      <c r="A64" s="3">
        <f>IF(Penyusutan!D64="","","JRN-"&amp;TEXT(ROW()-1,"0000"))</f>
        <v/>
      </c>
      <c r="B64" s="4" t="n">
        <v>46022</v>
      </c>
      <c r="C64" s="3">
        <f>Penyusutan!B64</f>
        <v/>
      </c>
      <c r="D64" s="3">
        <f>Penyusutan!C64</f>
        <v/>
      </c>
      <c r="E64" s="3">
        <f>Penyusutan!D64</f>
        <v/>
      </c>
      <c r="F64" s="3" t="inlineStr">
        <is>
          <t>Elektronik</t>
        </is>
      </c>
      <c r="G64" s="3" t="inlineStr"/>
      <c r="H64" s="3" t="inlineStr">
        <is>
          <t>Beban Penyusutan Elektronik</t>
        </is>
      </c>
      <c r="I64" s="5">
        <f>Penyusutan!M64</f>
        <v/>
      </c>
      <c r="J64" s="3" t="inlineStr"/>
      <c r="K64" s="3" t="inlineStr">
        <is>
          <t>Akumulasi Penyusutan Elektronik</t>
        </is>
      </c>
      <c r="L64" s="5">
        <f>Penyusutan!M64</f>
        <v/>
      </c>
      <c r="M64" s="3">
        <f>IF(E64="","","Penyusutan "&amp;E64&amp;" periode "&amp;C64)</f>
        <v/>
      </c>
    </row>
    <row r="65">
      <c r="A65" s="3">
        <f>IF(Penyusutan!D65="","","JRN-"&amp;TEXT(ROW()-1,"0000"))</f>
        <v/>
      </c>
      <c r="B65" s="4" t="n">
        <v>46022</v>
      </c>
      <c r="C65" s="3">
        <f>Penyusutan!B65</f>
        <v/>
      </c>
      <c r="D65" s="3">
        <f>Penyusutan!C65</f>
        <v/>
      </c>
      <c r="E65" s="3">
        <f>Penyusutan!D65</f>
        <v/>
      </c>
      <c r="F65" s="3" t="inlineStr">
        <is>
          <t>Elektronik</t>
        </is>
      </c>
      <c r="G65" s="3" t="inlineStr"/>
      <c r="H65" s="3" t="inlineStr">
        <is>
          <t>Beban Penyusutan Elektronik</t>
        </is>
      </c>
      <c r="I65" s="5">
        <f>Penyusutan!M65</f>
        <v/>
      </c>
      <c r="J65" s="3" t="inlineStr"/>
      <c r="K65" s="3" t="inlineStr">
        <is>
          <t>Akumulasi Penyusutan Elektronik</t>
        </is>
      </c>
      <c r="L65" s="5">
        <f>Penyusutan!M65</f>
        <v/>
      </c>
      <c r="M65" s="3">
        <f>IF(E65="","","Penyusutan "&amp;E65&amp;" periode "&amp;C65)</f>
        <v/>
      </c>
    </row>
    <row r="66">
      <c r="A66" s="3">
        <f>IF(Penyusutan!D66="","","JRN-"&amp;TEXT(ROW()-1,"0000"))</f>
        <v/>
      </c>
      <c r="B66" s="4" t="n">
        <v>46022</v>
      </c>
      <c r="C66" s="3">
        <f>Penyusutan!B66</f>
        <v/>
      </c>
      <c r="D66" s="3">
        <f>Penyusutan!C66</f>
        <v/>
      </c>
      <c r="E66" s="3">
        <f>Penyusutan!D66</f>
        <v/>
      </c>
      <c r="F66" s="3" t="inlineStr">
        <is>
          <t>Elektronik</t>
        </is>
      </c>
      <c r="G66" s="3" t="inlineStr"/>
      <c r="H66" s="3" t="inlineStr">
        <is>
          <t>Beban Penyusutan Elektronik</t>
        </is>
      </c>
      <c r="I66" s="5">
        <f>Penyusutan!M66</f>
        <v/>
      </c>
      <c r="J66" s="3" t="inlineStr"/>
      <c r="K66" s="3" t="inlineStr">
        <is>
          <t>Akumulasi Penyusutan Elektronik</t>
        </is>
      </c>
      <c r="L66" s="5">
        <f>Penyusutan!M66</f>
        <v/>
      </c>
      <c r="M66" s="3">
        <f>IF(E66="","","Penyusutan "&amp;E66&amp;" periode "&amp;C66)</f>
        <v/>
      </c>
    </row>
    <row r="67">
      <c r="A67" s="3">
        <f>IF(Penyusutan!D67="","","JRN-"&amp;TEXT(ROW()-1,"0000"))</f>
        <v/>
      </c>
      <c r="B67" s="4" t="n">
        <v>46022</v>
      </c>
      <c r="C67" s="3">
        <f>Penyusutan!B67</f>
        <v/>
      </c>
      <c r="D67" s="3">
        <f>Penyusutan!C67</f>
        <v/>
      </c>
      <c r="E67" s="3">
        <f>Penyusutan!D67</f>
        <v/>
      </c>
      <c r="F67" s="3" t="inlineStr">
        <is>
          <t>Elektronik</t>
        </is>
      </c>
      <c r="G67" s="3" t="inlineStr"/>
      <c r="H67" s="3" t="inlineStr">
        <is>
          <t>Beban Penyusutan Elektronik</t>
        </is>
      </c>
      <c r="I67" s="5">
        <f>Penyusutan!M67</f>
        <v/>
      </c>
      <c r="J67" s="3" t="inlineStr"/>
      <c r="K67" s="3" t="inlineStr">
        <is>
          <t>Akumulasi Penyusutan Elektronik</t>
        </is>
      </c>
      <c r="L67" s="5">
        <f>Penyusutan!M67</f>
        <v/>
      </c>
      <c r="M67" s="3">
        <f>IF(E67="","","Penyusutan "&amp;E67&amp;" periode "&amp;C67)</f>
        <v/>
      </c>
    </row>
    <row r="68">
      <c r="A68" s="3">
        <f>IF(Penyusutan!D68="","","JRN-"&amp;TEXT(ROW()-1,"0000"))</f>
        <v/>
      </c>
      <c r="B68" s="4" t="n">
        <v>46022</v>
      </c>
      <c r="C68" s="3">
        <f>Penyusutan!B68</f>
        <v/>
      </c>
      <c r="D68" s="3">
        <f>Penyusutan!C68</f>
        <v/>
      </c>
      <c r="E68" s="3">
        <f>Penyusutan!D68</f>
        <v/>
      </c>
      <c r="F68" s="3" t="inlineStr">
        <is>
          <t>Elektronik</t>
        </is>
      </c>
      <c r="G68" s="3" t="inlineStr"/>
      <c r="H68" s="3" t="inlineStr">
        <is>
          <t>Beban Penyusutan Elektronik</t>
        </is>
      </c>
      <c r="I68" s="5">
        <f>Penyusutan!M68</f>
        <v/>
      </c>
      <c r="J68" s="3" t="inlineStr"/>
      <c r="K68" s="3" t="inlineStr">
        <is>
          <t>Akumulasi Penyusutan Elektronik</t>
        </is>
      </c>
      <c r="L68" s="5">
        <f>Penyusutan!M68</f>
        <v/>
      </c>
      <c r="M68" s="3">
        <f>IF(E68="","","Penyusutan "&amp;E68&amp;" periode "&amp;C68)</f>
        <v/>
      </c>
    </row>
    <row r="69">
      <c r="A69" s="3">
        <f>IF(Penyusutan!D69="","","JRN-"&amp;TEXT(ROW()-1,"0000"))</f>
        <v/>
      </c>
      <c r="B69" s="4" t="n">
        <v>46022</v>
      </c>
      <c r="C69" s="3">
        <f>Penyusutan!B69</f>
        <v/>
      </c>
      <c r="D69" s="3">
        <f>Penyusutan!C69</f>
        <v/>
      </c>
      <c r="E69" s="3">
        <f>Penyusutan!D69</f>
        <v/>
      </c>
      <c r="F69" s="3" t="inlineStr">
        <is>
          <t>Elektronik</t>
        </is>
      </c>
      <c r="G69" s="3" t="inlineStr"/>
      <c r="H69" s="3" t="inlineStr">
        <is>
          <t>Beban Penyusutan Elektronik</t>
        </is>
      </c>
      <c r="I69" s="5">
        <f>Penyusutan!M69</f>
        <v/>
      </c>
      <c r="J69" s="3" t="inlineStr"/>
      <c r="K69" s="3" t="inlineStr">
        <is>
          <t>Akumulasi Penyusutan Elektronik</t>
        </is>
      </c>
      <c r="L69" s="5">
        <f>Penyusutan!M69</f>
        <v/>
      </c>
      <c r="M69" s="3">
        <f>IF(E69="","","Penyusutan "&amp;E69&amp;" periode "&amp;C69)</f>
        <v/>
      </c>
    </row>
    <row r="70">
      <c r="A70" s="3">
        <f>IF(Penyusutan!D70="","","JRN-"&amp;TEXT(ROW()-1,"0000"))</f>
        <v/>
      </c>
      <c r="B70" s="4" t="n">
        <v>46022</v>
      </c>
      <c r="C70" s="3">
        <f>Penyusutan!B70</f>
        <v/>
      </c>
      <c r="D70" s="3">
        <f>Penyusutan!C70</f>
        <v/>
      </c>
      <c r="E70" s="3">
        <f>Penyusutan!D70</f>
        <v/>
      </c>
      <c r="F70" s="3" t="inlineStr">
        <is>
          <t>Elektronik</t>
        </is>
      </c>
      <c r="G70" s="3" t="inlineStr"/>
      <c r="H70" s="3" t="inlineStr">
        <is>
          <t>Beban Penyusutan Elektronik</t>
        </is>
      </c>
      <c r="I70" s="5">
        <f>Penyusutan!M70</f>
        <v/>
      </c>
      <c r="J70" s="3" t="inlineStr"/>
      <c r="K70" s="3" t="inlineStr">
        <is>
          <t>Akumulasi Penyusutan Elektronik</t>
        </is>
      </c>
      <c r="L70" s="5">
        <f>Penyusutan!M70</f>
        <v/>
      </c>
      <c r="M70" s="3">
        <f>IF(E70="","","Penyusutan "&amp;E70&amp;" periode "&amp;C70)</f>
        <v/>
      </c>
    </row>
    <row r="71">
      <c r="A71" s="3">
        <f>IF(Penyusutan!D71="","","JRN-"&amp;TEXT(ROW()-1,"0000"))</f>
        <v/>
      </c>
      <c r="B71" s="4" t="n">
        <v>46022</v>
      </c>
      <c r="C71" s="3">
        <f>Penyusutan!B71</f>
        <v/>
      </c>
      <c r="D71" s="3">
        <f>Penyusutan!C71</f>
        <v/>
      </c>
      <c r="E71" s="3">
        <f>Penyusutan!D71</f>
        <v/>
      </c>
      <c r="F71" s="3" t="inlineStr">
        <is>
          <t>Elektronik</t>
        </is>
      </c>
      <c r="G71" s="3" t="inlineStr"/>
      <c r="H71" s="3" t="inlineStr">
        <is>
          <t>Beban Penyusutan Elektronik</t>
        </is>
      </c>
      <c r="I71" s="5">
        <f>Penyusutan!M71</f>
        <v/>
      </c>
      <c r="J71" s="3" t="inlineStr"/>
      <c r="K71" s="3" t="inlineStr">
        <is>
          <t>Akumulasi Penyusutan Elektronik</t>
        </is>
      </c>
      <c r="L71" s="5">
        <f>Penyusutan!M71</f>
        <v/>
      </c>
      <c r="M71" s="3">
        <f>IF(E71="","","Penyusutan "&amp;E71&amp;" periode "&amp;C71)</f>
        <v/>
      </c>
    </row>
    <row r="72">
      <c r="A72" s="3">
        <f>IF(Penyusutan!D72="","","JRN-"&amp;TEXT(ROW()-1,"0000"))</f>
        <v/>
      </c>
      <c r="B72" s="4" t="n">
        <v>46022</v>
      </c>
      <c r="C72" s="3">
        <f>Penyusutan!B72</f>
        <v/>
      </c>
      <c r="D72" s="3">
        <f>Penyusutan!C72</f>
        <v/>
      </c>
      <c r="E72" s="3">
        <f>Penyusutan!D72</f>
        <v/>
      </c>
      <c r="F72" s="3" t="inlineStr">
        <is>
          <t>Elektronik</t>
        </is>
      </c>
      <c r="G72" s="3" t="inlineStr"/>
      <c r="H72" s="3" t="inlineStr">
        <is>
          <t>Beban Penyusutan Elektronik</t>
        </is>
      </c>
      <c r="I72" s="5">
        <f>Penyusutan!M72</f>
        <v/>
      </c>
      <c r="J72" s="3" t="inlineStr"/>
      <c r="K72" s="3" t="inlineStr">
        <is>
          <t>Akumulasi Penyusutan Elektronik</t>
        </is>
      </c>
      <c r="L72" s="5">
        <f>Penyusutan!M72</f>
        <v/>
      </c>
      <c r="M72" s="3">
        <f>IF(E72="","","Penyusutan "&amp;E72&amp;" periode "&amp;C72)</f>
        <v/>
      </c>
    </row>
    <row r="73">
      <c r="A73" s="3">
        <f>IF(Penyusutan!D73="","","JRN-"&amp;TEXT(ROW()-1,"0000"))</f>
        <v/>
      </c>
      <c r="B73" s="4" t="n">
        <v>46022</v>
      </c>
      <c r="C73" s="3">
        <f>Penyusutan!B73</f>
        <v/>
      </c>
      <c r="D73" s="3">
        <f>Penyusutan!C73</f>
        <v/>
      </c>
      <c r="E73" s="3">
        <f>Penyusutan!D73</f>
        <v/>
      </c>
      <c r="F73" s="3" t="inlineStr">
        <is>
          <t>Elektronik</t>
        </is>
      </c>
      <c r="G73" s="3" t="inlineStr"/>
      <c r="H73" s="3" t="inlineStr">
        <is>
          <t>Beban Penyusutan Elektronik</t>
        </is>
      </c>
      <c r="I73" s="5">
        <f>Penyusutan!M73</f>
        <v/>
      </c>
      <c r="J73" s="3" t="inlineStr"/>
      <c r="K73" s="3" t="inlineStr">
        <is>
          <t>Akumulasi Penyusutan Elektronik</t>
        </is>
      </c>
      <c r="L73" s="5">
        <f>Penyusutan!M73</f>
        <v/>
      </c>
      <c r="M73" s="3">
        <f>IF(E73="","","Penyusutan "&amp;E73&amp;" periode "&amp;C73)</f>
        <v/>
      </c>
    </row>
    <row r="74">
      <c r="A74" s="3">
        <f>IF(Penyusutan!D74="","","JRN-"&amp;TEXT(ROW()-1,"0000"))</f>
        <v/>
      </c>
      <c r="B74" s="4" t="n">
        <v>46022</v>
      </c>
      <c r="C74" s="3">
        <f>Penyusutan!B74</f>
        <v/>
      </c>
      <c r="D74" s="3">
        <f>Penyusutan!C74</f>
        <v/>
      </c>
      <c r="E74" s="3">
        <f>Penyusutan!D74</f>
        <v/>
      </c>
      <c r="F74" s="3" t="inlineStr">
        <is>
          <t>Elektronik</t>
        </is>
      </c>
      <c r="G74" s="3" t="inlineStr"/>
      <c r="H74" s="3" t="inlineStr">
        <is>
          <t>Beban Penyusutan Elektronik</t>
        </is>
      </c>
      <c r="I74" s="5">
        <f>Penyusutan!M74</f>
        <v/>
      </c>
      <c r="J74" s="3" t="inlineStr"/>
      <c r="K74" s="3" t="inlineStr">
        <is>
          <t>Akumulasi Penyusutan Elektronik</t>
        </is>
      </c>
      <c r="L74" s="5">
        <f>Penyusutan!M74</f>
        <v/>
      </c>
      <c r="M74" s="3">
        <f>IF(E74="","","Penyusutan "&amp;E74&amp;" periode "&amp;C74)</f>
        <v/>
      </c>
    </row>
    <row r="75">
      <c r="A75" s="3">
        <f>IF(Penyusutan!D75="","","JRN-"&amp;TEXT(ROW()-1,"0000"))</f>
        <v/>
      </c>
      <c r="B75" s="4" t="n">
        <v>46022</v>
      </c>
      <c r="C75" s="3">
        <f>Penyusutan!B75</f>
        <v/>
      </c>
      <c r="D75" s="3">
        <f>Penyusutan!C75</f>
        <v/>
      </c>
      <c r="E75" s="3">
        <f>Penyusutan!D75</f>
        <v/>
      </c>
      <c r="F75" s="3" t="inlineStr">
        <is>
          <t>Elektronik</t>
        </is>
      </c>
      <c r="G75" s="3" t="inlineStr"/>
      <c r="H75" s="3" t="inlineStr">
        <is>
          <t>Beban Penyusutan Elektronik</t>
        </is>
      </c>
      <c r="I75" s="5">
        <f>Penyusutan!M75</f>
        <v/>
      </c>
      <c r="J75" s="3" t="inlineStr"/>
      <c r="K75" s="3" t="inlineStr">
        <is>
          <t>Akumulasi Penyusutan Elektronik</t>
        </is>
      </c>
      <c r="L75" s="5">
        <f>Penyusutan!M75</f>
        <v/>
      </c>
      <c r="M75" s="3">
        <f>IF(E75="","","Penyusutan "&amp;E75&amp;" periode "&amp;C75)</f>
        <v/>
      </c>
    </row>
    <row r="76">
      <c r="A76" s="3">
        <f>IF(Penyusutan!D76="","","JRN-"&amp;TEXT(ROW()-1,"0000"))</f>
        <v/>
      </c>
      <c r="B76" s="4" t="n">
        <v>46022</v>
      </c>
      <c r="C76" s="3">
        <f>Penyusutan!B76</f>
        <v/>
      </c>
      <c r="D76" s="3">
        <f>Penyusutan!C76</f>
        <v/>
      </c>
      <c r="E76" s="3">
        <f>Penyusutan!D76</f>
        <v/>
      </c>
      <c r="F76" s="3" t="inlineStr">
        <is>
          <t>Elektronik</t>
        </is>
      </c>
      <c r="G76" s="3" t="inlineStr"/>
      <c r="H76" s="3" t="inlineStr">
        <is>
          <t>Beban Penyusutan Elektronik</t>
        </is>
      </c>
      <c r="I76" s="5">
        <f>Penyusutan!M76</f>
        <v/>
      </c>
      <c r="J76" s="3" t="inlineStr"/>
      <c r="K76" s="3" t="inlineStr">
        <is>
          <t>Akumulasi Penyusutan Elektronik</t>
        </is>
      </c>
      <c r="L76" s="5">
        <f>Penyusutan!M76</f>
        <v/>
      </c>
      <c r="M76" s="3">
        <f>IF(E76="","","Penyusutan "&amp;E76&amp;" periode "&amp;C76)</f>
        <v/>
      </c>
    </row>
    <row r="77">
      <c r="A77" s="3">
        <f>IF(Penyusutan!D77="","","JRN-"&amp;TEXT(ROW()-1,"0000"))</f>
        <v/>
      </c>
      <c r="B77" s="4" t="n">
        <v>46022</v>
      </c>
      <c r="C77" s="3">
        <f>Penyusutan!B77</f>
        <v/>
      </c>
      <c r="D77" s="3">
        <f>Penyusutan!C77</f>
        <v/>
      </c>
      <c r="E77" s="3">
        <f>Penyusutan!D77</f>
        <v/>
      </c>
      <c r="F77" s="3" t="inlineStr">
        <is>
          <t>Elektronik</t>
        </is>
      </c>
      <c r="G77" s="3" t="inlineStr"/>
      <c r="H77" s="3" t="inlineStr">
        <is>
          <t>Beban Penyusutan Elektronik</t>
        </is>
      </c>
      <c r="I77" s="5">
        <f>Penyusutan!M77</f>
        <v/>
      </c>
      <c r="J77" s="3" t="inlineStr"/>
      <c r="K77" s="3" t="inlineStr">
        <is>
          <t>Akumulasi Penyusutan Elektronik</t>
        </is>
      </c>
      <c r="L77" s="5">
        <f>Penyusutan!M77</f>
        <v/>
      </c>
      <c r="M77" s="3">
        <f>IF(E77="","","Penyusutan "&amp;E77&amp;" periode "&amp;C77)</f>
        <v/>
      </c>
    </row>
    <row r="78">
      <c r="A78" s="3">
        <f>IF(Penyusutan!D78="","","JRN-"&amp;TEXT(ROW()-1,"0000"))</f>
        <v/>
      </c>
      <c r="B78" s="4" t="n">
        <v>46022</v>
      </c>
      <c r="C78" s="3">
        <f>Penyusutan!B78</f>
        <v/>
      </c>
      <c r="D78" s="3">
        <f>Penyusutan!C78</f>
        <v/>
      </c>
      <c r="E78" s="3">
        <f>Penyusutan!D78</f>
        <v/>
      </c>
      <c r="F78" s="3" t="inlineStr">
        <is>
          <t>Elektronik</t>
        </is>
      </c>
      <c r="G78" s="3" t="inlineStr"/>
      <c r="H78" s="3" t="inlineStr">
        <is>
          <t>Beban Penyusutan Elektronik</t>
        </is>
      </c>
      <c r="I78" s="5">
        <f>Penyusutan!M78</f>
        <v/>
      </c>
      <c r="J78" s="3" t="inlineStr"/>
      <c r="K78" s="3" t="inlineStr">
        <is>
          <t>Akumulasi Penyusutan Elektronik</t>
        </is>
      </c>
      <c r="L78" s="5">
        <f>Penyusutan!M78</f>
        <v/>
      </c>
      <c r="M78" s="3">
        <f>IF(E78="","","Penyusutan "&amp;E78&amp;" periode "&amp;C78)</f>
        <v/>
      </c>
    </row>
    <row r="79">
      <c r="A79" s="3">
        <f>IF(Penyusutan!D79="","","JRN-"&amp;TEXT(ROW()-1,"0000"))</f>
        <v/>
      </c>
      <c r="B79" s="4" t="n">
        <v>46022</v>
      </c>
      <c r="C79" s="3">
        <f>Penyusutan!B79</f>
        <v/>
      </c>
      <c r="D79" s="3">
        <f>Penyusutan!C79</f>
        <v/>
      </c>
      <c r="E79" s="3">
        <f>Penyusutan!D79</f>
        <v/>
      </c>
      <c r="F79" s="3" t="inlineStr">
        <is>
          <t>Elektronik</t>
        </is>
      </c>
      <c r="G79" s="3" t="inlineStr"/>
      <c r="H79" s="3" t="inlineStr">
        <is>
          <t>Beban Penyusutan Elektronik</t>
        </is>
      </c>
      <c r="I79" s="5">
        <f>Penyusutan!M79</f>
        <v/>
      </c>
      <c r="J79" s="3" t="inlineStr"/>
      <c r="K79" s="3" t="inlineStr">
        <is>
          <t>Akumulasi Penyusutan Elektronik</t>
        </is>
      </c>
      <c r="L79" s="5">
        <f>Penyusutan!M79</f>
        <v/>
      </c>
      <c r="M79" s="3">
        <f>IF(E79="","","Penyusutan "&amp;E79&amp;" periode "&amp;C79)</f>
        <v/>
      </c>
    </row>
    <row r="80">
      <c r="A80" s="3">
        <f>IF(Penyusutan!D80="","","JRN-"&amp;TEXT(ROW()-1,"0000"))</f>
        <v/>
      </c>
      <c r="B80" s="4" t="n">
        <v>46022</v>
      </c>
      <c r="C80" s="3">
        <f>Penyusutan!B80</f>
        <v/>
      </c>
      <c r="D80" s="3">
        <f>Penyusutan!C80</f>
        <v/>
      </c>
      <c r="E80" s="3">
        <f>Penyusutan!D80</f>
        <v/>
      </c>
      <c r="F80" s="3" t="inlineStr">
        <is>
          <t>Elektronik</t>
        </is>
      </c>
      <c r="G80" s="3" t="inlineStr"/>
      <c r="H80" s="3" t="inlineStr">
        <is>
          <t>Beban Penyusutan Elektronik</t>
        </is>
      </c>
      <c r="I80" s="5">
        <f>Penyusutan!M80</f>
        <v/>
      </c>
      <c r="J80" s="3" t="inlineStr"/>
      <c r="K80" s="3" t="inlineStr">
        <is>
          <t>Akumulasi Penyusutan Elektronik</t>
        </is>
      </c>
      <c r="L80" s="5">
        <f>Penyusutan!M80</f>
        <v/>
      </c>
      <c r="M80" s="3">
        <f>IF(E80="","","Penyusutan "&amp;E80&amp;" periode "&amp;C80)</f>
        <v/>
      </c>
    </row>
    <row r="81">
      <c r="A81" s="3">
        <f>IF(Penyusutan!D81="","","JRN-"&amp;TEXT(ROW()-1,"0000"))</f>
        <v/>
      </c>
      <c r="B81" s="4" t="n">
        <v>46022</v>
      </c>
      <c r="C81" s="3">
        <f>Penyusutan!B81</f>
        <v/>
      </c>
      <c r="D81" s="3">
        <f>Penyusutan!C81</f>
        <v/>
      </c>
      <c r="E81" s="3">
        <f>Penyusutan!D81</f>
        <v/>
      </c>
      <c r="F81" s="3" t="inlineStr">
        <is>
          <t>Elektronik</t>
        </is>
      </c>
      <c r="G81" s="3" t="inlineStr"/>
      <c r="H81" s="3" t="inlineStr">
        <is>
          <t>Beban Penyusutan Elektronik</t>
        </is>
      </c>
      <c r="I81" s="5">
        <f>Penyusutan!M81</f>
        <v/>
      </c>
      <c r="J81" s="3" t="inlineStr"/>
      <c r="K81" s="3" t="inlineStr">
        <is>
          <t>Akumulasi Penyusutan Elektronik</t>
        </is>
      </c>
      <c r="L81" s="5">
        <f>Penyusutan!M81</f>
        <v/>
      </c>
      <c r="M81" s="3">
        <f>IF(E81="","","Penyusutan "&amp;E81&amp;" periode "&amp;C81)</f>
        <v/>
      </c>
    </row>
    <row r="82">
      <c r="A82" s="3">
        <f>IF(Penyusutan!D82="","","JRN-"&amp;TEXT(ROW()-1,"0000"))</f>
        <v/>
      </c>
      <c r="B82" s="4" t="n">
        <v>46022</v>
      </c>
      <c r="C82" s="3">
        <f>Penyusutan!B82</f>
        <v/>
      </c>
      <c r="D82" s="3">
        <f>Penyusutan!C82</f>
        <v/>
      </c>
      <c r="E82" s="3">
        <f>Penyusutan!D82</f>
        <v/>
      </c>
      <c r="F82" s="3" t="inlineStr">
        <is>
          <t>Elektronik</t>
        </is>
      </c>
      <c r="G82" s="3" t="inlineStr"/>
      <c r="H82" s="3" t="inlineStr">
        <is>
          <t>Beban Penyusutan Elektronik</t>
        </is>
      </c>
      <c r="I82" s="5">
        <f>Penyusutan!M82</f>
        <v/>
      </c>
      <c r="J82" s="3" t="inlineStr"/>
      <c r="K82" s="3" t="inlineStr">
        <is>
          <t>Akumulasi Penyusutan Elektronik</t>
        </is>
      </c>
      <c r="L82" s="5">
        <f>Penyusutan!M82</f>
        <v/>
      </c>
      <c r="M82" s="3">
        <f>IF(E82="","","Penyusutan "&amp;E82&amp;" periode "&amp;C82)</f>
        <v/>
      </c>
    </row>
    <row r="83">
      <c r="A83" s="3">
        <f>IF(Penyusutan!D83="","","JRN-"&amp;TEXT(ROW()-1,"0000"))</f>
        <v/>
      </c>
      <c r="B83" s="4" t="n">
        <v>46022</v>
      </c>
      <c r="C83" s="3">
        <f>Penyusutan!B83</f>
        <v/>
      </c>
      <c r="D83" s="3">
        <f>Penyusutan!C83</f>
        <v/>
      </c>
      <c r="E83" s="3">
        <f>Penyusutan!D83</f>
        <v/>
      </c>
      <c r="F83" s="3" t="inlineStr">
        <is>
          <t>Elektronik</t>
        </is>
      </c>
      <c r="G83" s="3" t="inlineStr"/>
      <c r="H83" s="3" t="inlineStr">
        <is>
          <t>Beban Penyusutan Elektronik</t>
        </is>
      </c>
      <c r="I83" s="5">
        <f>Penyusutan!M83</f>
        <v/>
      </c>
      <c r="J83" s="3" t="inlineStr"/>
      <c r="K83" s="3" t="inlineStr">
        <is>
          <t>Akumulasi Penyusutan Elektronik</t>
        </is>
      </c>
      <c r="L83" s="5">
        <f>Penyusutan!M83</f>
        <v/>
      </c>
      <c r="M83" s="3">
        <f>IF(E83="","","Penyusutan "&amp;E83&amp;" periode "&amp;C83)</f>
        <v/>
      </c>
    </row>
    <row r="84">
      <c r="A84" s="3">
        <f>IF(Penyusutan!D84="","","JRN-"&amp;TEXT(ROW()-1,"0000"))</f>
        <v/>
      </c>
      <c r="B84" s="4" t="n">
        <v>46022</v>
      </c>
      <c r="C84" s="3">
        <f>Penyusutan!B84</f>
        <v/>
      </c>
      <c r="D84" s="3">
        <f>Penyusutan!C84</f>
        <v/>
      </c>
      <c r="E84" s="3">
        <f>Penyusutan!D84</f>
        <v/>
      </c>
      <c r="F84" s="3" t="inlineStr">
        <is>
          <t>Elektronik</t>
        </is>
      </c>
      <c r="G84" s="3" t="inlineStr"/>
      <c r="H84" s="3" t="inlineStr">
        <is>
          <t>Beban Penyusutan Elektronik</t>
        </is>
      </c>
      <c r="I84" s="5">
        <f>Penyusutan!M84</f>
        <v/>
      </c>
      <c r="J84" s="3" t="inlineStr"/>
      <c r="K84" s="3" t="inlineStr">
        <is>
          <t>Akumulasi Penyusutan Elektronik</t>
        </is>
      </c>
      <c r="L84" s="5">
        <f>Penyusutan!M84</f>
        <v/>
      </c>
      <c r="M84" s="3">
        <f>IF(E84="","","Penyusutan "&amp;E84&amp;" periode "&amp;C84)</f>
        <v/>
      </c>
    </row>
    <row r="85">
      <c r="A85" s="3">
        <f>IF(Penyusutan!D85="","","JRN-"&amp;TEXT(ROW()-1,"0000"))</f>
        <v/>
      </c>
      <c r="B85" s="4" t="n">
        <v>46022</v>
      </c>
      <c r="C85" s="3">
        <f>Penyusutan!B85</f>
        <v/>
      </c>
      <c r="D85" s="3">
        <f>Penyusutan!C85</f>
        <v/>
      </c>
      <c r="E85" s="3">
        <f>Penyusutan!D85</f>
        <v/>
      </c>
      <c r="F85" s="3" t="inlineStr">
        <is>
          <t>Elektronik</t>
        </is>
      </c>
      <c r="G85" s="3" t="inlineStr"/>
      <c r="H85" s="3" t="inlineStr">
        <is>
          <t>Beban Penyusutan Elektronik</t>
        </is>
      </c>
      <c r="I85" s="5">
        <f>Penyusutan!M85</f>
        <v/>
      </c>
      <c r="J85" s="3" t="inlineStr"/>
      <c r="K85" s="3" t="inlineStr">
        <is>
          <t>Akumulasi Penyusutan Elektronik</t>
        </is>
      </c>
      <c r="L85" s="5">
        <f>Penyusutan!M85</f>
        <v/>
      </c>
      <c r="M85" s="3">
        <f>IF(E85="","","Penyusutan "&amp;E85&amp;" periode "&amp;C85)</f>
        <v/>
      </c>
    </row>
    <row r="86">
      <c r="A86" s="3">
        <f>IF(Penyusutan!D86="","","JRN-"&amp;TEXT(ROW()-1,"0000"))</f>
        <v/>
      </c>
      <c r="B86" s="4" t="n">
        <v>46022</v>
      </c>
      <c r="C86" s="3">
        <f>Penyusutan!B86</f>
        <v/>
      </c>
      <c r="D86" s="3">
        <f>Penyusutan!C86</f>
        <v/>
      </c>
      <c r="E86" s="3">
        <f>Penyusutan!D86</f>
        <v/>
      </c>
      <c r="F86" s="3" t="inlineStr">
        <is>
          <t>Elektronik</t>
        </is>
      </c>
      <c r="G86" s="3" t="inlineStr"/>
      <c r="H86" s="3" t="inlineStr">
        <is>
          <t>Beban Penyusutan Elektronik</t>
        </is>
      </c>
      <c r="I86" s="5">
        <f>Penyusutan!M86</f>
        <v/>
      </c>
      <c r="J86" s="3" t="inlineStr"/>
      <c r="K86" s="3" t="inlineStr">
        <is>
          <t>Akumulasi Penyusutan Elektronik</t>
        </is>
      </c>
      <c r="L86" s="5">
        <f>Penyusutan!M86</f>
        <v/>
      </c>
      <c r="M86" s="3">
        <f>IF(E86="","","Penyusutan "&amp;E86&amp;" periode "&amp;C86)</f>
        <v/>
      </c>
    </row>
    <row r="87">
      <c r="A87" s="3">
        <f>IF(Penyusutan!D87="","","JRN-"&amp;TEXT(ROW()-1,"0000"))</f>
        <v/>
      </c>
      <c r="B87" s="4" t="n">
        <v>46022</v>
      </c>
      <c r="C87" s="3">
        <f>Penyusutan!B87</f>
        <v/>
      </c>
      <c r="D87" s="3">
        <f>Penyusutan!C87</f>
        <v/>
      </c>
      <c r="E87" s="3">
        <f>Penyusutan!D87</f>
        <v/>
      </c>
      <c r="F87" s="3" t="inlineStr">
        <is>
          <t>Elektronik</t>
        </is>
      </c>
      <c r="G87" s="3" t="inlineStr"/>
      <c r="H87" s="3" t="inlineStr">
        <is>
          <t>Beban Penyusutan Elektronik</t>
        </is>
      </c>
      <c r="I87" s="5">
        <f>Penyusutan!M87</f>
        <v/>
      </c>
      <c r="J87" s="3" t="inlineStr"/>
      <c r="K87" s="3" t="inlineStr">
        <is>
          <t>Akumulasi Penyusutan Elektronik</t>
        </is>
      </c>
      <c r="L87" s="5">
        <f>Penyusutan!M87</f>
        <v/>
      </c>
      <c r="M87" s="3">
        <f>IF(E87="","","Penyusutan "&amp;E87&amp;" periode "&amp;C87)</f>
        <v/>
      </c>
    </row>
    <row r="88">
      <c r="A88" s="3">
        <f>IF(Penyusutan!D88="","","JRN-"&amp;TEXT(ROW()-1,"0000"))</f>
        <v/>
      </c>
      <c r="B88" s="4" t="n">
        <v>46022</v>
      </c>
      <c r="C88" s="3">
        <f>Penyusutan!B88</f>
        <v/>
      </c>
      <c r="D88" s="3">
        <f>Penyusutan!C88</f>
        <v/>
      </c>
      <c r="E88" s="3">
        <f>Penyusutan!D88</f>
        <v/>
      </c>
      <c r="F88" s="3" t="inlineStr">
        <is>
          <t>Elektronik</t>
        </is>
      </c>
      <c r="G88" s="3" t="inlineStr"/>
      <c r="H88" s="3" t="inlineStr">
        <is>
          <t>Beban Penyusutan Elektronik</t>
        </is>
      </c>
      <c r="I88" s="5">
        <f>Penyusutan!M88</f>
        <v/>
      </c>
      <c r="J88" s="3" t="inlineStr"/>
      <c r="K88" s="3" t="inlineStr">
        <is>
          <t>Akumulasi Penyusutan Elektronik</t>
        </is>
      </c>
      <c r="L88" s="5">
        <f>Penyusutan!M88</f>
        <v/>
      </c>
      <c r="M88" s="3">
        <f>IF(E88="","","Penyusutan "&amp;E88&amp;" periode "&amp;C88)</f>
        <v/>
      </c>
    </row>
    <row r="89">
      <c r="A89" s="3">
        <f>IF(Penyusutan!D89="","","JRN-"&amp;TEXT(ROW()-1,"0000"))</f>
        <v/>
      </c>
      <c r="B89" s="4" t="n">
        <v>46022</v>
      </c>
      <c r="C89" s="3">
        <f>Penyusutan!B89</f>
        <v/>
      </c>
      <c r="D89" s="3">
        <f>Penyusutan!C89</f>
        <v/>
      </c>
      <c r="E89" s="3">
        <f>Penyusutan!D89</f>
        <v/>
      </c>
      <c r="F89" s="3" t="inlineStr">
        <is>
          <t>Elektronik</t>
        </is>
      </c>
      <c r="G89" s="3" t="inlineStr"/>
      <c r="H89" s="3" t="inlineStr">
        <is>
          <t>Beban Penyusutan Elektronik</t>
        </is>
      </c>
      <c r="I89" s="5">
        <f>Penyusutan!M89</f>
        <v/>
      </c>
      <c r="J89" s="3" t="inlineStr"/>
      <c r="K89" s="3" t="inlineStr">
        <is>
          <t>Akumulasi Penyusutan Elektronik</t>
        </is>
      </c>
      <c r="L89" s="5">
        <f>Penyusutan!M89</f>
        <v/>
      </c>
      <c r="M89" s="3">
        <f>IF(E89="","","Penyusutan "&amp;E89&amp;" periode "&amp;C89)</f>
        <v/>
      </c>
    </row>
    <row r="90">
      <c r="A90" s="3">
        <f>IF(Penyusutan!D90="","","JRN-"&amp;TEXT(ROW()-1,"0000"))</f>
        <v/>
      </c>
      <c r="B90" s="4" t="n">
        <v>46022</v>
      </c>
      <c r="C90" s="3">
        <f>Penyusutan!B90</f>
        <v/>
      </c>
      <c r="D90" s="3">
        <f>Penyusutan!C90</f>
        <v/>
      </c>
      <c r="E90" s="3">
        <f>Penyusutan!D90</f>
        <v/>
      </c>
      <c r="F90" s="3" t="inlineStr">
        <is>
          <t>Elektronik</t>
        </is>
      </c>
      <c r="G90" s="3" t="inlineStr"/>
      <c r="H90" s="3" t="inlineStr">
        <is>
          <t>Beban Penyusutan Elektronik</t>
        </is>
      </c>
      <c r="I90" s="5">
        <f>Penyusutan!M90</f>
        <v/>
      </c>
      <c r="J90" s="3" t="inlineStr"/>
      <c r="K90" s="3" t="inlineStr">
        <is>
          <t>Akumulasi Penyusutan Elektronik</t>
        </is>
      </c>
      <c r="L90" s="5">
        <f>Penyusutan!M90</f>
        <v/>
      </c>
      <c r="M90" s="3">
        <f>IF(E90="","","Penyusutan "&amp;E90&amp;" periode "&amp;C90)</f>
        <v/>
      </c>
    </row>
    <row r="91">
      <c r="A91" s="3">
        <f>IF(Penyusutan!D91="","","JRN-"&amp;TEXT(ROW()-1,"0000"))</f>
        <v/>
      </c>
      <c r="B91" s="4" t="n">
        <v>46022</v>
      </c>
      <c r="C91" s="3">
        <f>Penyusutan!B91</f>
        <v/>
      </c>
      <c r="D91" s="3">
        <f>Penyusutan!C91</f>
        <v/>
      </c>
      <c r="E91" s="3">
        <f>Penyusutan!D91</f>
        <v/>
      </c>
      <c r="F91" s="3" t="inlineStr">
        <is>
          <t>Elektronik</t>
        </is>
      </c>
      <c r="G91" s="3" t="inlineStr"/>
      <c r="H91" s="3" t="inlineStr">
        <is>
          <t>Beban Penyusutan Elektronik</t>
        </is>
      </c>
      <c r="I91" s="5">
        <f>Penyusutan!M91</f>
        <v/>
      </c>
      <c r="J91" s="3" t="inlineStr"/>
      <c r="K91" s="3" t="inlineStr">
        <is>
          <t>Akumulasi Penyusutan Elektronik</t>
        </is>
      </c>
      <c r="L91" s="5">
        <f>Penyusutan!M91</f>
        <v/>
      </c>
      <c r="M91" s="3">
        <f>IF(E91="","","Penyusutan "&amp;E91&amp;" periode "&amp;C91)</f>
        <v/>
      </c>
    </row>
    <row r="92">
      <c r="A92" s="3">
        <f>IF(Penyusutan!D92="","","JRN-"&amp;TEXT(ROW()-1,"0000"))</f>
        <v/>
      </c>
      <c r="B92" s="4" t="n">
        <v>46022</v>
      </c>
      <c r="C92" s="3">
        <f>Penyusutan!B92</f>
        <v/>
      </c>
      <c r="D92" s="3">
        <f>Penyusutan!C92</f>
        <v/>
      </c>
      <c r="E92" s="3">
        <f>Penyusutan!D92</f>
        <v/>
      </c>
      <c r="F92" s="3" t="inlineStr">
        <is>
          <t>Elektronik</t>
        </is>
      </c>
      <c r="G92" s="3" t="inlineStr"/>
      <c r="H92" s="3" t="inlineStr">
        <is>
          <t>Beban Penyusutan Elektronik</t>
        </is>
      </c>
      <c r="I92" s="5">
        <f>Penyusutan!M92</f>
        <v/>
      </c>
      <c r="J92" s="3" t="inlineStr"/>
      <c r="K92" s="3" t="inlineStr">
        <is>
          <t>Akumulasi Penyusutan Elektronik</t>
        </is>
      </c>
      <c r="L92" s="5">
        <f>Penyusutan!M92</f>
        <v/>
      </c>
      <c r="M92" s="3">
        <f>IF(E92="","","Penyusutan "&amp;E92&amp;" periode "&amp;C92)</f>
        <v/>
      </c>
    </row>
    <row r="93">
      <c r="A93" s="3">
        <f>IF(Penyusutan!D93="","","JRN-"&amp;TEXT(ROW()-1,"0000"))</f>
        <v/>
      </c>
      <c r="B93" s="4" t="n">
        <v>46022</v>
      </c>
      <c r="C93" s="3">
        <f>Penyusutan!B93</f>
        <v/>
      </c>
      <c r="D93" s="3">
        <f>Penyusutan!C93</f>
        <v/>
      </c>
      <c r="E93" s="3">
        <f>Penyusutan!D93</f>
        <v/>
      </c>
      <c r="F93" s="3" t="inlineStr">
        <is>
          <t>Elektronik</t>
        </is>
      </c>
      <c r="G93" s="3" t="inlineStr"/>
      <c r="H93" s="3" t="inlineStr">
        <is>
          <t>Beban Penyusutan Elektronik</t>
        </is>
      </c>
      <c r="I93" s="5">
        <f>Penyusutan!M93</f>
        <v/>
      </c>
      <c r="J93" s="3" t="inlineStr"/>
      <c r="K93" s="3" t="inlineStr">
        <is>
          <t>Akumulasi Penyusutan Elektronik</t>
        </is>
      </c>
      <c r="L93" s="5">
        <f>Penyusutan!M93</f>
        <v/>
      </c>
      <c r="M93" s="3">
        <f>IF(E93="","","Penyusutan "&amp;E93&amp;" periode "&amp;C93)</f>
        <v/>
      </c>
    </row>
    <row r="94">
      <c r="A94" s="3">
        <f>IF(Penyusutan!D94="","","JRN-"&amp;TEXT(ROW()-1,"0000"))</f>
        <v/>
      </c>
      <c r="B94" s="4" t="n">
        <v>46022</v>
      </c>
      <c r="C94" s="3">
        <f>Penyusutan!B94</f>
        <v/>
      </c>
      <c r="D94" s="3">
        <f>Penyusutan!C94</f>
        <v/>
      </c>
      <c r="E94" s="3">
        <f>Penyusutan!D94</f>
        <v/>
      </c>
      <c r="F94" s="3" t="inlineStr">
        <is>
          <t>Elektronik</t>
        </is>
      </c>
      <c r="G94" s="3" t="inlineStr"/>
      <c r="H94" s="3" t="inlineStr">
        <is>
          <t>Beban Penyusutan Elektronik</t>
        </is>
      </c>
      <c r="I94" s="5">
        <f>Penyusutan!M94</f>
        <v/>
      </c>
      <c r="J94" s="3" t="inlineStr"/>
      <c r="K94" s="3" t="inlineStr">
        <is>
          <t>Akumulasi Penyusutan Elektronik</t>
        </is>
      </c>
      <c r="L94" s="5">
        <f>Penyusutan!M94</f>
        <v/>
      </c>
      <c r="M94" s="3">
        <f>IF(E94="","","Penyusutan "&amp;E94&amp;" periode "&amp;C94)</f>
        <v/>
      </c>
    </row>
    <row r="95">
      <c r="A95" s="3">
        <f>IF(Penyusutan!D95="","","JRN-"&amp;TEXT(ROW()-1,"0000"))</f>
        <v/>
      </c>
      <c r="B95" s="4" t="n">
        <v>46022</v>
      </c>
      <c r="C95" s="3">
        <f>Penyusutan!B95</f>
        <v/>
      </c>
      <c r="D95" s="3">
        <f>Penyusutan!C95</f>
        <v/>
      </c>
      <c r="E95" s="3">
        <f>Penyusutan!D95</f>
        <v/>
      </c>
      <c r="F95" s="3" t="inlineStr">
        <is>
          <t>Elektronik</t>
        </is>
      </c>
      <c r="G95" s="3" t="inlineStr"/>
      <c r="H95" s="3" t="inlineStr">
        <is>
          <t>Beban Penyusutan Elektronik</t>
        </is>
      </c>
      <c r="I95" s="5">
        <f>Penyusutan!M95</f>
        <v/>
      </c>
      <c r="J95" s="3" t="inlineStr"/>
      <c r="K95" s="3" t="inlineStr">
        <is>
          <t>Akumulasi Penyusutan Elektronik</t>
        </is>
      </c>
      <c r="L95" s="5">
        <f>Penyusutan!M95</f>
        <v/>
      </c>
      <c r="M95" s="3">
        <f>IF(E95="","","Penyusutan "&amp;E95&amp;" periode "&amp;C95)</f>
        <v/>
      </c>
    </row>
    <row r="96">
      <c r="A96" s="3">
        <f>IF(Penyusutan!D96="","","JRN-"&amp;TEXT(ROW()-1,"0000"))</f>
        <v/>
      </c>
      <c r="B96" s="4" t="n">
        <v>46022</v>
      </c>
      <c r="C96" s="3">
        <f>Penyusutan!B96</f>
        <v/>
      </c>
      <c r="D96" s="3">
        <f>Penyusutan!C96</f>
        <v/>
      </c>
      <c r="E96" s="3">
        <f>Penyusutan!D96</f>
        <v/>
      </c>
      <c r="F96" s="3" t="inlineStr">
        <is>
          <t>Elektronik</t>
        </is>
      </c>
      <c r="G96" s="3" t="inlineStr"/>
      <c r="H96" s="3" t="inlineStr">
        <is>
          <t>Beban Penyusutan Elektronik</t>
        </is>
      </c>
      <c r="I96" s="5">
        <f>Penyusutan!M96</f>
        <v/>
      </c>
      <c r="J96" s="3" t="inlineStr"/>
      <c r="K96" s="3" t="inlineStr">
        <is>
          <t>Akumulasi Penyusutan Elektronik</t>
        </is>
      </c>
      <c r="L96" s="5">
        <f>Penyusutan!M96</f>
        <v/>
      </c>
      <c r="M96" s="3">
        <f>IF(E96="","","Penyusutan "&amp;E96&amp;" periode "&amp;C96)</f>
        <v/>
      </c>
    </row>
    <row r="97">
      <c r="A97" s="3">
        <f>IF(Penyusutan!D97="","","JRN-"&amp;TEXT(ROW()-1,"0000"))</f>
        <v/>
      </c>
      <c r="B97" s="4" t="n">
        <v>46022</v>
      </c>
      <c r="C97" s="3">
        <f>Penyusutan!B97</f>
        <v/>
      </c>
      <c r="D97" s="3">
        <f>Penyusutan!C97</f>
        <v/>
      </c>
      <c r="E97" s="3">
        <f>Penyusutan!D97</f>
        <v/>
      </c>
      <c r="F97" s="3" t="inlineStr">
        <is>
          <t>Elektronik</t>
        </is>
      </c>
      <c r="G97" s="3" t="inlineStr"/>
      <c r="H97" s="3" t="inlineStr">
        <is>
          <t>Beban Penyusutan Elektronik</t>
        </is>
      </c>
      <c r="I97" s="5">
        <f>Penyusutan!M97</f>
        <v/>
      </c>
      <c r="J97" s="3" t="inlineStr"/>
      <c r="K97" s="3" t="inlineStr">
        <is>
          <t>Akumulasi Penyusutan Elektronik</t>
        </is>
      </c>
      <c r="L97" s="5">
        <f>Penyusutan!M97</f>
        <v/>
      </c>
      <c r="M97" s="3">
        <f>IF(E97="","","Penyusutan "&amp;E97&amp;" periode "&amp;C97)</f>
        <v/>
      </c>
    </row>
    <row r="98">
      <c r="A98" s="3">
        <f>IF(Penyusutan!D98="","","JRN-"&amp;TEXT(ROW()-1,"0000"))</f>
        <v/>
      </c>
      <c r="B98" s="4" t="n">
        <v>46022</v>
      </c>
      <c r="C98" s="3">
        <f>Penyusutan!B98</f>
        <v/>
      </c>
      <c r="D98" s="3">
        <f>Penyusutan!C98</f>
        <v/>
      </c>
      <c r="E98" s="3">
        <f>Penyusutan!D98</f>
        <v/>
      </c>
      <c r="F98" s="3" t="inlineStr">
        <is>
          <t>Elektronik</t>
        </is>
      </c>
      <c r="G98" s="3" t="inlineStr"/>
      <c r="H98" s="3" t="inlineStr">
        <is>
          <t>Beban Penyusutan Elektronik</t>
        </is>
      </c>
      <c r="I98" s="5">
        <f>Penyusutan!M98</f>
        <v/>
      </c>
      <c r="J98" s="3" t="inlineStr"/>
      <c r="K98" s="3" t="inlineStr">
        <is>
          <t>Akumulasi Penyusutan Elektronik</t>
        </is>
      </c>
      <c r="L98" s="5">
        <f>Penyusutan!M98</f>
        <v/>
      </c>
      <c r="M98" s="3">
        <f>IF(E98="","","Penyusutan "&amp;E98&amp;" periode "&amp;C98)</f>
        <v/>
      </c>
    </row>
    <row r="99">
      <c r="A99" s="3">
        <f>IF(Penyusutan!D99="","","JRN-"&amp;TEXT(ROW()-1,"0000"))</f>
        <v/>
      </c>
      <c r="B99" s="4" t="n">
        <v>46022</v>
      </c>
      <c r="C99" s="3">
        <f>Penyusutan!B99</f>
        <v/>
      </c>
      <c r="D99" s="3">
        <f>Penyusutan!C99</f>
        <v/>
      </c>
      <c r="E99" s="3">
        <f>Penyusutan!D99</f>
        <v/>
      </c>
      <c r="F99" s="3" t="inlineStr">
        <is>
          <t>Elektronik</t>
        </is>
      </c>
      <c r="G99" s="3" t="inlineStr"/>
      <c r="H99" s="3" t="inlineStr">
        <is>
          <t>Beban Penyusutan Elektronik</t>
        </is>
      </c>
      <c r="I99" s="5">
        <f>Penyusutan!M99</f>
        <v/>
      </c>
      <c r="J99" s="3" t="inlineStr"/>
      <c r="K99" s="3" t="inlineStr">
        <is>
          <t>Akumulasi Penyusutan Elektronik</t>
        </is>
      </c>
      <c r="L99" s="5">
        <f>Penyusutan!M99</f>
        <v/>
      </c>
      <c r="M99" s="3">
        <f>IF(E99="","","Penyusutan "&amp;E99&amp;" periode "&amp;C99)</f>
        <v/>
      </c>
    </row>
    <row r="100">
      <c r="A100" s="3">
        <f>IF(Penyusutan!D100="","","JRN-"&amp;TEXT(ROW()-1,"0000"))</f>
        <v/>
      </c>
      <c r="B100" s="4" t="n">
        <v>46022</v>
      </c>
      <c r="C100" s="3">
        <f>Penyusutan!B100</f>
        <v/>
      </c>
      <c r="D100" s="3">
        <f>Penyusutan!C100</f>
        <v/>
      </c>
      <c r="E100" s="3">
        <f>Penyusutan!D100</f>
        <v/>
      </c>
      <c r="F100" s="3" t="inlineStr">
        <is>
          <t>Elektronik</t>
        </is>
      </c>
      <c r="G100" s="3" t="inlineStr"/>
      <c r="H100" s="3" t="inlineStr">
        <is>
          <t>Beban Penyusutan Elektronik</t>
        </is>
      </c>
      <c r="I100" s="5">
        <f>Penyusutan!M100</f>
        <v/>
      </c>
      <c r="J100" s="3" t="inlineStr"/>
      <c r="K100" s="3" t="inlineStr">
        <is>
          <t>Akumulasi Penyusutan Elektronik</t>
        </is>
      </c>
      <c r="L100" s="5">
        <f>Penyusutan!M100</f>
        <v/>
      </c>
      <c r="M100" s="3">
        <f>IF(E100="","","Penyusutan "&amp;E100&amp;" periode "&amp;C100)</f>
        <v/>
      </c>
    </row>
    <row r="101">
      <c r="A101" s="3">
        <f>IF(Penyusutan!D101="","","JRN-"&amp;TEXT(ROW()-1,"0000"))</f>
        <v/>
      </c>
      <c r="B101" s="4" t="n">
        <v>46022</v>
      </c>
      <c r="C101" s="3">
        <f>Penyusutan!B101</f>
        <v/>
      </c>
      <c r="D101" s="3">
        <f>Penyusutan!C101</f>
        <v/>
      </c>
      <c r="E101" s="3">
        <f>Penyusutan!D101</f>
        <v/>
      </c>
      <c r="F101" s="3" t="inlineStr">
        <is>
          <t>Elektronik</t>
        </is>
      </c>
      <c r="G101" s="3" t="inlineStr"/>
      <c r="H101" s="3" t="inlineStr">
        <is>
          <t>Beban Penyusutan Elektronik</t>
        </is>
      </c>
      <c r="I101" s="5">
        <f>Penyusutan!M101</f>
        <v/>
      </c>
      <c r="J101" s="3" t="inlineStr"/>
      <c r="K101" s="3" t="inlineStr">
        <is>
          <t>Akumulasi Penyusutan Elektronik</t>
        </is>
      </c>
      <c r="L101" s="5">
        <f>Penyusutan!M101</f>
        <v/>
      </c>
      <c r="M101" s="3">
        <f>IF(E101="","","Penyusutan "&amp;E101&amp;" periode "&amp;C101)</f>
        <v/>
      </c>
    </row>
    <row r="102">
      <c r="A102" s="3">
        <f>IF(Penyusutan!D102="","","JRN-"&amp;TEXT(ROW()-1,"0000"))</f>
        <v/>
      </c>
      <c r="B102" s="4" t="n">
        <v>46022</v>
      </c>
      <c r="C102" s="3">
        <f>Penyusutan!B102</f>
        <v/>
      </c>
      <c r="D102" s="3">
        <f>Penyusutan!C102</f>
        <v/>
      </c>
      <c r="E102" s="3">
        <f>Penyusutan!D102</f>
        <v/>
      </c>
      <c r="F102" s="3" t="inlineStr">
        <is>
          <t>Elektronik</t>
        </is>
      </c>
      <c r="G102" s="3" t="inlineStr"/>
      <c r="H102" s="3" t="inlineStr">
        <is>
          <t>Beban Penyusutan Elektronik</t>
        </is>
      </c>
      <c r="I102" s="5">
        <f>Penyusutan!M102</f>
        <v/>
      </c>
      <c r="J102" s="3" t="inlineStr"/>
      <c r="K102" s="3" t="inlineStr">
        <is>
          <t>Akumulasi Penyusutan Elektronik</t>
        </is>
      </c>
      <c r="L102" s="5">
        <f>Penyusutan!M102</f>
        <v/>
      </c>
      <c r="M102" s="3">
        <f>IF(E102="","","Penyusutan "&amp;E102&amp;" periode "&amp;C102)</f>
        <v/>
      </c>
    </row>
    <row r="103">
      <c r="A103" s="3">
        <f>IF(Penyusutan!D103="","","JRN-"&amp;TEXT(ROW()-1,"0000"))</f>
        <v/>
      </c>
      <c r="B103" s="4" t="n">
        <v>46022</v>
      </c>
      <c r="C103" s="3">
        <f>Penyusutan!B103</f>
        <v/>
      </c>
      <c r="D103" s="3">
        <f>Penyusutan!C103</f>
        <v/>
      </c>
      <c r="E103" s="3">
        <f>Penyusutan!D103</f>
        <v/>
      </c>
      <c r="F103" s="3" t="inlineStr">
        <is>
          <t>Elektronik</t>
        </is>
      </c>
      <c r="G103" s="3" t="inlineStr"/>
      <c r="H103" s="3" t="inlineStr">
        <is>
          <t>Beban Penyusutan Elektronik</t>
        </is>
      </c>
      <c r="I103" s="5">
        <f>Penyusutan!M103</f>
        <v/>
      </c>
      <c r="J103" s="3" t="inlineStr"/>
      <c r="K103" s="3" t="inlineStr">
        <is>
          <t>Akumulasi Penyusutan Elektronik</t>
        </is>
      </c>
      <c r="L103" s="5">
        <f>Penyusutan!M103</f>
        <v/>
      </c>
      <c r="M103" s="3">
        <f>IF(E103="","","Penyusutan "&amp;E103&amp;" periode "&amp;C103)</f>
        <v/>
      </c>
    </row>
    <row r="104">
      <c r="A104" s="3">
        <f>IF(Penyusutan!D104="","","JRN-"&amp;TEXT(ROW()-1,"0000"))</f>
        <v/>
      </c>
      <c r="B104" s="4" t="n">
        <v>46022</v>
      </c>
      <c r="C104" s="3">
        <f>Penyusutan!B104</f>
        <v/>
      </c>
      <c r="D104" s="3">
        <f>Penyusutan!C104</f>
        <v/>
      </c>
      <c r="E104" s="3">
        <f>Penyusutan!D104</f>
        <v/>
      </c>
      <c r="F104" s="3" t="inlineStr">
        <is>
          <t>Elektronik</t>
        </is>
      </c>
      <c r="G104" s="3" t="inlineStr"/>
      <c r="H104" s="3" t="inlineStr">
        <is>
          <t>Beban Penyusutan Elektronik</t>
        </is>
      </c>
      <c r="I104" s="5">
        <f>Penyusutan!M104</f>
        <v/>
      </c>
      <c r="J104" s="3" t="inlineStr"/>
      <c r="K104" s="3" t="inlineStr">
        <is>
          <t>Akumulasi Penyusutan Elektronik</t>
        </is>
      </c>
      <c r="L104" s="5">
        <f>Penyusutan!M104</f>
        <v/>
      </c>
      <c r="M104" s="3">
        <f>IF(E104="","","Penyusutan "&amp;E104&amp;" periode "&amp;C104)</f>
        <v/>
      </c>
    </row>
  </sheetData>
  <autoFilter ref="A1:M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1" t="inlineStr">
        <is>
          <t>Jenis Referensi</t>
        </is>
      </c>
      <c r="B1" s="11" t="inlineStr">
        <is>
          <t>Nilai</t>
        </is>
      </c>
    </row>
    <row r="2">
      <c r="A2" s="9" t="inlineStr">
        <is>
          <t>Kondisi</t>
        </is>
      </c>
      <c r="B2" s="9" t="inlineStr">
        <is>
          <t>Baik</t>
        </is>
      </c>
    </row>
    <row r="3">
      <c r="A3" s="9" t="inlineStr">
        <is>
          <t>Kondisi</t>
        </is>
      </c>
      <c r="B3" s="9" t="inlineStr">
        <is>
          <t>Kurang Baik</t>
        </is>
      </c>
    </row>
    <row r="4">
      <c r="A4" s="9" t="inlineStr">
        <is>
          <t>Kondisi</t>
        </is>
      </c>
      <c r="B4" s="9" t="inlineStr">
        <is>
          <t>Rusak Ringan</t>
        </is>
      </c>
    </row>
    <row r="5">
      <c r="A5" s="9" t="inlineStr">
        <is>
          <t>Kondisi</t>
        </is>
      </c>
      <c r="B5" s="9" t="inlineStr">
        <is>
          <t>Rusak Berat</t>
        </is>
      </c>
    </row>
    <row r="6">
      <c r="A6" s="9" t="inlineStr">
        <is>
          <t>Kondisi</t>
        </is>
      </c>
      <c r="B6" s="9" t="inlineStr">
        <is>
          <t>Dalam Perbaikan</t>
        </is>
      </c>
    </row>
    <row r="7">
      <c r="A7" s="9" t="inlineStr">
        <is>
          <t>Kondisi</t>
        </is>
      </c>
      <c r="B7" s="9" t="inlineStr">
        <is>
          <t>Hilang</t>
        </is>
      </c>
    </row>
    <row r="8">
      <c r="A8" s="9" t="inlineStr">
        <is>
          <t>Status</t>
        </is>
      </c>
      <c r="B8" s="9" t="inlineStr">
        <is>
          <t>Aktif</t>
        </is>
      </c>
    </row>
    <row r="9">
      <c r="A9" s="9" t="inlineStr">
        <is>
          <t>Status</t>
        </is>
      </c>
      <c r="B9" s="9" t="inlineStr">
        <is>
          <t>Tidak Aktif</t>
        </is>
      </c>
    </row>
    <row r="10">
      <c r="A10" s="9" t="inlineStr">
        <is>
          <t>Status</t>
        </is>
      </c>
      <c r="B10" s="9" t="inlineStr">
        <is>
          <t>Dipindahkan</t>
        </is>
      </c>
    </row>
    <row r="11">
      <c r="A11" s="9" t="inlineStr">
        <is>
          <t>Status</t>
        </is>
      </c>
      <c r="B11" s="9" t="inlineStr">
        <is>
          <t>Dihapuskan</t>
        </is>
      </c>
    </row>
    <row r="12">
      <c r="A12" s="9" t="inlineStr">
        <is>
          <t>Status</t>
        </is>
      </c>
      <c r="B12" s="9" t="inlineStr">
        <is>
          <t>Dijual</t>
        </is>
      </c>
    </row>
    <row r="13">
      <c r="A13" s="9" t="inlineStr">
        <is>
          <t>Metode Penyusutan</t>
        </is>
      </c>
      <c r="B13" s="9" t="inlineStr">
        <is>
          <t>Garis Lurus</t>
        </is>
      </c>
    </row>
    <row r="14">
      <c r="A14" s="9" t="inlineStr">
        <is>
          <t>Metode Penyusutan</t>
        </is>
      </c>
      <c r="B14" s="9" t="inlineStr">
        <is>
          <t>Saldo Menurun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2026-06-07T13:04:04Z</dcterms:created>
  <dcterms:modified xmlns:dcterms="http://purl.org/dc/terms/" xmlns:xsi="http://www.w3.org/2001/XMLSchema-instance" xsi:type="dcterms:W3CDTF">2026-06-07T13:04:04Z</dcterms:modified>
</cp:coreProperties>
</file>