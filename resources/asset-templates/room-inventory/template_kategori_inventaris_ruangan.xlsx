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Aset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Penyusutan" sheetId="3" state="visible" r:id="rId3"/>
    <sheet xmlns:r="http://schemas.openxmlformats.org/officeDocument/2006/relationships" name="Jurnal Penyusutan" sheetId="4" state="visible" r:id="rId4"/>
    <sheet xmlns:r="http://schemas.openxmlformats.org/officeDocument/2006/relationships" name="Referensi" sheetId="5" state="visible" r:id="rId5"/>
  </sheets>
  <definedNames>
    <definedName name="_xlnm._FilterDatabase" localSheetId="0" hidden="1">'Data Aset'!$A$3:$U$894</definedName>
    <definedName name="_xlnm._FilterDatabase" localSheetId="2" hidden="1">'Penyusutan'!$A$1:$Q$892</definedName>
    <definedName name="_xlnm._FilterDatabase" localSheetId="3" hidden="1">'Jurnal Penyusutan'!$A$1:$M$892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 h:mm:ss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1" fillId="2" borderId="0" pivotButton="0" quotePrefix="0" xfId="0"/>
    <xf numFmtId="0" fontId="3" fillId="0" borderId="1" pivotButton="0" quotePrefix="0" xfId="0"/>
    <xf numFmtId="3" fontId="3" fillId="0" borderId="1" pivotButton="0" quotePrefix="0" xfId="0"/>
    <xf numFmtId="0" fontId="0" fillId="0" borderId="1" pivotButton="0" quotePrefix="0" xfId="0"/>
    <xf numFmtId="0" fontId="2" fillId="2" borderId="1" applyAlignment="1" pivotButton="0" quotePrefix="0" xfId="0">
      <alignment vertical="top" wrapText="1"/>
    </xf>
    <xf numFmtId="0" fontId="2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Rekap Inventaris Ruangan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'Dashboard'!$A$7</f>
            </numRef>
          </cat>
          <val>
            <numRef>
              <f>'Dashboard'!$B$7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Kategori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Jumlah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360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Inventaris_Ruangan" displayName="Tbl_Inventaris_Ruangan" ref="A3:U894" headerRowCount="1">
  <autoFilter ref="A3:U894"/>
  <tableColumns count="21">
    <tableColumn id="1" name="No"/>
    <tableColumn id="2" name="Kode Aset"/>
    <tableColumn id="3" name="Unit"/>
    <tableColumn id="4" name="Lokasi/Ruangan"/>
    <tableColumn id="5" name="Jenis Barang"/>
    <tableColumn id="6" name="Nama Barang"/>
    <tableColumn id="7" name="Bahan"/>
    <tableColumn id="8" name="Ukuran"/>
    <tableColumn id="9" name="Jumlah"/>
    <tableColumn id="10" name="Tanggal Perolehan"/>
    <tableColumn id="11" name="Tahun Perolehan"/>
    <tableColumn id="12" name="Harga Satuan"/>
    <tableColumn id="13" name="Total Harga"/>
    <tableColumn id="14" name="Kode Akun Aset"/>
    <tableColumn id="15" name="Umur Manfaat"/>
    <tableColumn id="16" name="Akum. Penyusutan"/>
    <tableColumn id="17" name="Nilai Buku"/>
    <tableColumn id="18" name="Kondisi"/>
    <tableColumn id="19" name="Status"/>
    <tableColumn id="20" name="Keterangan"/>
    <tableColumn id="21" name="Sumber Data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32" customWidth="1" min="4" max="4"/>
    <col width="32" customWidth="1" min="5" max="5"/>
    <col width="32" customWidth="1" min="6" max="6"/>
    <col width="12" customWidth="1" min="7" max="7"/>
    <col width="12" customWidth="1" min="8" max="8"/>
    <col width="12" customWidth="1" min="9" max="9"/>
    <col width="19" customWidth="1" min="10" max="10"/>
    <col width="17" customWidth="1" min="11" max="11"/>
    <col width="14" customWidth="1" min="12" max="12"/>
    <col width="13" customWidth="1" min="13" max="13"/>
    <col width="16" customWidth="1" min="14" max="14"/>
    <col width="14" customWidth="1" min="15" max="15"/>
    <col width="18" customWidth="1" min="16" max="16"/>
    <col width="12" customWidth="1" min="17" max="17"/>
    <col width="12" customWidth="1" min="18" max="18"/>
    <col width="12" customWidth="1" min="19" max="19"/>
    <col width="32" customWidth="1" min="20" max="20"/>
    <col width="32" customWidth="1" min="21" max="21"/>
  </cols>
  <sheetData>
    <row r="1">
      <c r="A1" s="1" t="inlineStr">
        <is>
          <t>TEMPLATE DATA ASET - INVENTARIS RUANGAN</t>
        </is>
      </c>
    </row>
    <row r="3">
      <c r="A3" s="2" t="inlineStr">
        <is>
          <t>No</t>
        </is>
      </c>
      <c r="B3" s="2" t="inlineStr">
        <is>
          <t>Kode Aset</t>
        </is>
      </c>
      <c r="C3" s="2" t="inlineStr">
        <is>
          <t>Unit</t>
        </is>
      </c>
      <c r="D3" s="2" t="inlineStr">
        <is>
          <t>Lokasi/Ruangan</t>
        </is>
      </c>
      <c r="E3" s="2" t="inlineStr">
        <is>
          <t>Jenis Barang</t>
        </is>
      </c>
      <c r="F3" s="2" t="inlineStr">
        <is>
          <t>Nama Barang</t>
        </is>
      </c>
      <c r="G3" s="2" t="inlineStr">
        <is>
          <t>Bahan</t>
        </is>
      </c>
      <c r="H3" s="2" t="inlineStr">
        <is>
          <t>Ukuran</t>
        </is>
      </c>
      <c r="I3" s="2" t="inlineStr">
        <is>
          <t>Jumlah</t>
        </is>
      </c>
      <c r="J3" s="2" t="inlineStr">
        <is>
          <t>Tanggal Perolehan</t>
        </is>
      </c>
      <c r="K3" s="2" t="inlineStr">
        <is>
          <t>Tahun Perolehan</t>
        </is>
      </c>
      <c r="L3" s="2" t="inlineStr">
        <is>
          <t>Harga Satuan</t>
        </is>
      </c>
      <c r="M3" s="2" t="inlineStr">
        <is>
          <t>Total Harga</t>
        </is>
      </c>
      <c r="N3" s="2" t="inlineStr">
        <is>
          <t>Kode Akun Aset</t>
        </is>
      </c>
      <c r="O3" s="2" t="inlineStr">
        <is>
          <t>Umur Manfaat</t>
        </is>
      </c>
      <c r="P3" s="2" t="inlineStr">
        <is>
          <t>Akum. Penyusutan</t>
        </is>
      </c>
      <c r="Q3" s="2" t="inlineStr">
        <is>
          <t>Nilai Buku</t>
        </is>
      </c>
      <c r="R3" s="2" t="inlineStr">
        <is>
          <t>Kondisi</t>
        </is>
      </c>
      <c r="S3" s="2" t="inlineStr">
        <is>
          <t>Status</t>
        </is>
      </c>
      <c r="T3" s="2" t="inlineStr">
        <is>
          <t>Keterangan</t>
        </is>
      </c>
      <c r="U3" s="2" t="inlineStr">
        <is>
          <t>Sumber Data</t>
        </is>
      </c>
    </row>
    <row r="4">
      <c r="A4" s="3" t="n">
        <v>1</v>
      </c>
      <c r="B4" s="3" t="n"/>
      <c r="C4" s="3" t="inlineStr">
        <is>
          <t>TKIA 24 JATIKRAMAT</t>
        </is>
      </c>
      <c r="D4" s="3" t="n"/>
      <c r="E4" s="3" t="inlineStr">
        <is>
          <t>Wastafell</t>
        </is>
      </c>
      <c r="F4" s="3" t="inlineStr">
        <is>
          <t>Wastafell</t>
        </is>
      </c>
      <c r="G4" s="3" t="n"/>
      <c r="H4" s="3" t="n"/>
      <c r="I4" s="3" t="inlineStr">
        <is>
          <t>1 Unit</t>
        </is>
      </c>
      <c r="J4" s="4" t="n"/>
      <c r="K4" s="3" t="n">
        <v>2018</v>
      </c>
      <c r="L4" s="5" t="n"/>
      <c r="M4" s="5" t="n">
        <v>600000</v>
      </c>
      <c r="N4" s="3" t="n"/>
      <c r="O4" s="3" t="n">
        <v>4</v>
      </c>
      <c r="P4" s="5" t="n">
        <v>600000</v>
      </c>
      <c r="Q4" s="5" t="n">
        <v>0</v>
      </c>
      <c r="R4" s="3" t="inlineStr"/>
      <c r="S4" s="3" t="inlineStr">
        <is>
          <t>Aktif</t>
        </is>
      </c>
      <c r="T4" s="3" t="n"/>
      <c r="U4" s="3" t="inlineStr">
        <is>
          <t>LIST ASSET YPIK 2025(1).xlsx | Inv. TKIA</t>
        </is>
      </c>
    </row>
    <row r="5">
      <c r="A5" s="3" t="n">
        <v>2</v>
      </c>
      <c r="B5" s="3" t="n"/>
      <c r="C5" s="3" t="inlineStr">
        <is>
          <t>TKIA 24 JATIKRAMAT</t>
        </is>
      </c>
      <c r="D5" s="3" t="n"/>
      <c r="E5" s="3" t="inlineStr">
        <is>
          <t>Lemari 4 Pintu</t>
        </is>
      </c>
      <c r="F5" s="3" t="inlineStr">
        <is>
          <t>Lemari 4 Pintu</t>
        </is>
      </c>
      <c r="G5" s="3" t="n"/>
      <c r="H5" s="3" t="n"/>
      <c r="I5" s="3" t="inlineStr">
        <is>
          <t>1 Unit</t>
        </is>
      </c>
      <c r="J5" s="4" t="n"/>
      <c r="K5" s="3" t="n">
        <v>2018</v>
      </c>
      <c r="L5" s="5" t="n"/>
      <c r="M5" s="5" t="n">
        <v>1500000</v>
      </c>
      <c r="N5" s="3" t="n"/>
      <c r="O5" s="3" t="n">
        <v>4</v>
      </c>
      <c r="P5" s="5" t="n">
        <v>1500000</v>
      </c>
      <c r="Q5" s="5" t="n">
        <v>0</v>
      </c>
      <c r="R5" s="3" t="inlineStr"/>
      <c r="S5" s="3" t="inlineStr">
        <is>
          <t>Aktif</t>
        </is>
      </c>
      <c r="T5" s="3" t="n"/>
      <c r="U5" s="3" t="inlineStr">
        <is>
          <t>LIST ASSET YPIK 2025(1).xlsx | Inv. TKIA</t>
        </is>
      </c>
    </row>
    <row r="6">
      <c r="A6" s="3" t="n">
        <v>3</v>
      </c>
      <c r="B6" s="3" t="n"/>
      <c r="C6" s="3" t="inlineStr">
        <is>
          <t>TKIA 24 JATIKRAMAT</t>
        </is>
      </c>
      <c r="D6" s="3" t="n"/>
      <c r="E6" s="3" t="inlineStr">
        <is>
          <t>Buffet Kayu</t>
        </is>
      </c>
      <c r="F6" s="3" t="inlineStr">
        <is>
          <t>Buffet Kayu</t>
        </is>
      </c>
      <c r="G6" s="3" t="n"/>
      <c r="H6" s="3" t="n"/>
      <c r="I6" s="3" t="inlineStr">
        <is>
          <t>1 Unit</t>
        </is>
      </c>
      <c r="J6" s="4" t="n"/>
      <c r="K6" s="3" t="n">
        <v>2018</v>
      </c>
      <c r="L6" s="5" t="n"/>
      <c r="M6" s="5" t="n">
        <v>1500000</v>
      </c>
      <c r="N6" s="3" t="n"/>
      <c r="O6" s="3" t="n">
        <v>4</v>
      </c>
      <c r="P6" s="5" t="n">
        <v>1500000</v>
      </c>
      <c r="Q6" s="5" t="n">
        <v>0</v>
      </c>
      <c r="R6" s="3" t="inlineStr"/>
      <c r="S6" s="3" t="inlineStr">
        <is>
          <t>Aktif</t>
        </is>
      </c>
      <c r="T6" s="3" t="n"/>
      <c r="U6" s="3" t="inlineStr">
        <is>
          <t>LIST ASSET YPIK 2025(1).xlsx | Inv. TKIA</t>
        </is>
      </c>
    </row>
    <row r="7">
      <c r="A7" s="3" t="n">
        <v>4</v>
      </c>
      <c r="B7" s="3" t="n"/>
      <c r="C7" s="3" t="inlineStr">
        <is>
          <t>TKIA 24 JATIKRAMAT</t>
        </is>
      </c>
      <c r="D7" s="3" t="n"/>
      <c r="E7" s="3" t="inlineStr">
        <is>
          <t>Kontainer BDX</t>
        </is>
      </c>
      <c r="F7" s="3" t="inlineStr">
        <is>
          <t>Kontainer BDX</t>
        </is>
      </c>
      <c r="G7" s="3" t="n"/>
      <c r="H7" s="3" t="n"/>
      <c r="I7" s="3" t="inlineStr">
        <is>
          <t>1 Unit</t>
        </is>
      </c>
      <c r="J7" s="4" t="n"/>
      <c r="K7" s="3" t="n">
        <v>2018</v>
      </c>
      <c r="L7" s="5" t="n"/>
      <c r="M7" s="5" t="n">
        <v>750000</v>
      </c>
      <c r="N7" s="3" t="n"/>
      <c r="O7" s="3" t="n">
        <v>4</v>
      </c>
      <c r="P7" s="5" t="n">
        <v>750000</v>
      </c>
      <c r="Q7" s="5" t="n">
        <v>0</v>
      </c>
      <c r="R7" s="3" t="inlineStr"/>
      <c r="S7" s="3" t="inlineStr">
        <is>
          <t>Aktif</t>
        </is>
      </c>
      <c r="T7" s="3" t="n"/>
      <c r="U7" s="3" t="inlineStr">
        <is>
          <t>LIST ASSET YPIK 2025(1).xlsx | Inv. TKIA</t>
        </is>
      </c>
    </row>
    <row r="8">
      <c r="A8" s="3" t="n">
        <v>5</v>
      </c>
      <c r="B8" s="3" t="n"/>
      <c r="C8" s="3" t="inlineStr">
        <is>
          <t>TKIA 24 JATIKRAMAT</t>
        </is>
      </c>
      <c r="D8" s="3" t="n"/>
      <c r="E8" s="3" t="inlineStr">
        <is>
          <t>Best Baby</t>
        </is>
      </c>
      <c r="F8" s="3" t="inlineStr">
        <is>
          <t>Best Baby</t>
        </is>
      </c>
      <c r="G8" s="3" t="n"/>
      <c r="H8" s="3" t="n"/>
      <c r="I8" s="3" t="inlineStr">
        <is>
          <t>1 Unit</t>
        </is>
      </c>
      <c r="J8" s="4" t="n"/>
      <c r="K8" s="3" t="n">
        <v>2018</v>
      </c>
      <c r="L8" s="5" t="n"/>
      <c r="M8" s="5" t="n">
        <v>500000</v>
      </c>
      <c r="N8" s="3" t="n"/>
      <c r="O8" s="3" t="n">
        <v>4</v>
      </c>
      <c r="P8" s="5" t="n">
        <v>500000</v>
      </c>
      <c r="Q8" s="5" t="n">
        <v>0</v>
      </c>
      <c r="R8" s="3" t="inlineStr"/>
      <c r="S8" s="3" t="inlineStr">
        <is>
          <t>Aktif</t>
        </is>
      </c>
      <c r="T8" s="3" t="n"/>
      <c r="U8" s="3" t="inlineStr">
        <is>
          <t>LIST ASSET YPIK 2025(1).xlsx | Inv. TKIA</t>
        </is>
      </c>
    </row>
    <row r="9">
      <c r="A9" s="3" t="n">
        <v>6</v>
      </c>
      <c r="B9" s="3" t="n"/>
      <c r="C9" s="3" t="inlineStr">
        <is>
          <t>TKIA 24 JATIKRAMAT</t>
        </is>
      </c>
      <c r="D9" s="3" t="n"/>
      <c r="E9" s="3" t="inlineStr">
        <is>
          <t>Filling Kabinet 4 Rak</t>
        </is>
      </c>
      <c r="F9" s="3" t="inlineStr">
        <is>
          <t>Filling Kabinet 4 Rak</t>
        </is>
      </c>
      <c r="G9" s="3" t="n"/>
      <c r="H9" s="3" t="n"/>
      <c r="I9" s="3" t="inlineStr">
        <is>
          <t>1 Unit</t>
        </is>
      </c>
      <c r="J9" s="4" t="n"/>
      <c r="K9" s="3" t="n">
        <v>2018</v>
      </c>
      <c r="L9" s="5" t="n"/>
      <c r="M9" s="5" t="n">
        <v>1750000</v>
      </c>
      <c r="N9" s="3" t="n"/>
      <c r="O9" s="3" t="n">
        <v>4</v>
      </c>
      <c r="P9" s="5" t="n">
        <v>1750000</v>
      </c>
      <c r="Q9" s="5" t="n">
        <v>0</v>
      </c>
      <c r="R9" s="3" t="inlineStr"/>
      <c r="S9" s="3" t="inlineStr">
        <is>
          <t>Aktif</t>
        </is>
      </c>
      <c r="T9" s="3" t="n"/>
      <c r="U9" s="3" t="inlineStr">
        <is>
          <t>LIST ASSET YPIK 2025(1).xlsx | Inv. TKIA</t>
        </is>
      </c>
    </row>
    <row r="10">
      <c r="A10" s="3" t="n">
        <v>7</v>
      </c>
      <c r="B10" s="3" t="n"/>
      <c r="C10" s="3" t="inlineStr">
        <is>
          <t>TKIA 24 JATIKRAMAT</t>
        </is>
      </c>
      <c r="D10" s="3" t="n"/>
      <c r="E10" s="3" t="inlineStr">
        <is>
          <t>Rak Buku</t>
        </is>
      </c>
      <c r="F10" s="3" t="inlineStr">
        <is>
          <t>Rak Buku</t>
        </is>
      </c>
      <c r="G10" s="3" t="n"/>
      <c r="H10" s="3" t="n"/>
      <c r="I10" s="3" t="inlineStr">
        <is>
          <t>1 Unit</t>
        </is>
      </c>
      <c r="J10" s="4" t="n"/>
      <c r="K10" s="3" t="n">
        <v>2018</v>
      </c>
      <c r="L10" s="5" t="n"/>
      <c r="M10" s="5" t="n">
        <v>2000000</v>
      </c>
      <c r="N10" s="3" t="n"/>
      <c r="O10" s="3" t="n">
        <v>4</v>
      </c>
      <c r="P10" s="5" t="n">
        <v>2000000</v>
      </c>
      <c r="Q10" s="5" t="n">
        <v>0</v>
      </c>
      <c r="R10" s="3" t="inlineStr"/>
      <c r="S10" s="3" t="inlineStr">
        <is>
          <t>Aktif</t>
        </is>
      </c>
      <c r="T10" s="3" t="n"/>
      <c r="U10" s="3" t="inlineStr">
        <is>
          <t>LIST ASSET YPIK 2025(1).xlsx | Inv. TKIA</t>
        </is>
      </c>
    </row>
    <row r="11">
      <c r="A11" s="3" t="n">
        <v>8</v>
      </c>
      <c r="B11" s="3" t="n"/>
      <c r="C11" s="3" t="inlineStr">
        <is>
          <t>TKIA 24 JATIKRAMAT</t>
        </is>
      </c>
      <c r="D11" s="3" t="n"/>
      <c r="E11" s="3" t="inlineStr">
        <is>
          <t>Rak Buku 6 Tingkat</t>
        </is>
      </c>
      <c r="F11" s="3" t="inlineStr">
        <is>
          <t>Rak Buku 6 Tingkat</t>
        </is>
      </c>
      <c r="G11" s="3" t="n"/>
      <c r="H11" s="3" t="n"/>
      <c r="I11" s="3" t="inlineStr">
        <is>
          <t>1 Unit</t>
        </is>
      </c>
      <c r="J11" s="4" t="n"/>
      <c r="K11" s="3" t="n">
        <v>2018</v>
      </c>
      <c r="L11" s="5" t="n"/>
      <c r="M11" s="5" t="n">
        <v>3500000</v>
      </c>
      <c r="N11" s="3" t="n"/>
      <c r="O11" s="3" t="n">
        <v>4</v>
      </c>
      <c r="P11" s="5" t="n">
        <v>3500000</v>
      </c>
      <c r="Q11" s="5" t="n">
        <v>0</v>
      </c>
      <c r="R11" s="3" t="inlineStr"/>
      <c r="S11" s="3" t="inlineStr">
        <is>
          <t>Aktif</t>
        </is>
      </c>
      <c r="T11" s="3" t="n"/>
      <c r="U11" s="3" t="inlineStr">
        <is>
          <t>LIST ASSET YPIK 2025(1).xlsx | Inv. TKIA</t>
        </is>
      </c>
    </row>
    <row r="12">
      <c r="A12" s="3" t="n">
        <v>9</v>
      </c>
      <c r="B12" s="3" t="n"/>
      <c r="C12" s="3" t="inlineStr">
        <is>
          <t>TKIA 24 JATIKRAMAT</t>
        </is>
      </c>
      <c r="D12" s="3" t="n"/>
      <c r="E12" s="3" t="inlineStr">
        <is>
          <t>Lemari 2 Pintu</t>
        </is>
      </c>
      <c r="F12" s="3" t="inlineStr">
        <is>
          <t>Lemari 2 Pintu</t>
        </is>
      </c>
      <c r="G12" s="3" t="n"/>
      <c r="H12" s="3" t="n"/>
      <c r="I12" s="3" t="inlineStr">
        <is>
          <t>1 Unit</t>
        </is>
      </c>
      <c r="J12" s="4" t="n"/>
      <c r="K12" s="3" t="n">
        <v>2018</v>
      </c>
      <c r="L12" s="5" t="n"/>
      <c r="M12" s="5" t="n">
        <v>2000000</v>
      </c>
      <c r="N12" s="3" t="n"/>
      <c r="O12" s="3" t="n">
        <v>4</v>
      </c>
      <c r="P12" s="5" t="n">
        <v>2000000</v>
      </c>
      <c r="Q12" s="5" t="n">
        <v>0</v>
      </c>
      <c r="R12" s="3" t="inlineStr"/>
      <c r="S12" s="3" t="inlineStr">
        <is>
          <t>Aktif</t>
        </is>
      </c>
      <c r="T12" s="3" t="n"/>
      <c r="U12" s="3" t="inlineStr">
        <is>
          <t>LIST ASSET YPIK 2025(1).xlsx | Inv. TKIA</t>
        </is>
      </c>
    </row>
    <row r="13">
      <c r="A13" s="3" t="n">
        <v>10</v>
      </c>
      <c r="B13" s="3" t="n"/>
      <c r="C13" s="3" t="inlineStr">
        <is>
          <t>TKIA 24 JATIKRAMAT</t>
        </is>
      </c>
      <c r="D13" s="3" t="n"/>
      <c r="E13" s="3" t="inlineStr">
        <is>
          <t>Rak Buku Susun</t>
        </is>
      </c>
      <c r="F13" s="3" t="inlineStr">
        <is>
          <t>Rak Buku Susun</t>
        </is>
      </c>
      <c r="G13" s="3" t="n"/>
      <c r="H13" s="3" t="n"/>
      <c r="I13" s="3" t="inlineStr">
        <is>
          <t>1 Unit</t>
        </is>
      </c>
      <c r="J13" s="4" t="n"/>
      <c r="K13" s="3" t="n">
        <v>2018</v>
      </c>
      <c r="L13" s="5" t="n"/>
      <c r="M13" s="5" t="n">
        <v>2000000</v>
      </c>
      <c r="N13" s="3" t="n"/>
      <c r="O13" s="3" t="n">
        <v>4</v>
      </c>
      <c r="P13" s="5" t="n">
        <v>2000000</v>
      </c>
      <c r="Q13" s="5" t="n">
        <v>0</v>
      </c>
      <c r="R13" s="3" t="inlineStr"/>
      <c r="S13" s="3" t="inlineStr">
        <is>
          <t>Aktif</t>
        </is>
      </c>
      <c r="T13" s="3" t="n"/>
      <c r="U13" s="3" t="inlineStr">
        <is>
          <t>LIST ASSET YPIK 2025(1).xlsx | Inv. TKIA</t>
        </is>
      </c>
    </row>
    <row r="14">
      <c r="A14" s="3" t="n">
        <v>11</v>
      </c>
      <c r="B14" s="3" t="n"/>
      <c r="C14" s="3" t="inlineStr">
        <is>
          <t>TKIA 24 JATIKRAMAT</t>
        </is>
      </c>
      <c r="D14" s="3" t="n"/>
      <c r="E14" s="3" t="inlineStr">
        <is>
          <t>Loker Guru</t>
        </is>
      </c>
      <c r="F14" s="3" t="inlineStr">
        <is>
          <t>Loker Guru</t>
        </is>
      </c>
      <c r="G14" s="3" t="n"/>
      <c r="H14" s="3" t="n"/>
      <c r="I14" s="3" t="inlineStr">
        <is>
          <t>2 Unit</t>
        </is>
      </c>
      <c r="J14" s="4" t="n"/>
      <c r="K14" s="3" t="n">
        <v>2018</v>
      </c>
      <c r="L14" s="5" t="n"/>
      <c r="M14" s="5" t="n">
        <v>3000000</v>
      </c>
      <c r="N14" s="3" t="n"/>
      <c r="O14" s="3" t="n">
        <v>4</v>
      </c>
      <c r="P14" s="5" t="n">
        <v>3000000</v>
      </c>
      <c r="Q14" s="5" t="n">
        <v>0</v>
      </c>
      <c r="R14" s="3" t="inlineStr"/>
      <c r="S14" s="3" t="inlineStr">
        <is>
          <t>Aktif</t>
        </is>
      </c>
      <c r="T14" s="3" t="n"/>
      <c r="U14" s="3" t="inlineStr">
        <is>
          <t>LIST ASSET YPIK 2025(1).xlsx | Inv. TKIA</t>
        </is>
      </c>
    </row>
    <row r="15">
      <c r="A15" s="3" t="n">
        <v>12</v>
      </c>
      <c r="B15" s="3" t="n"/>
      <c r="C15" s="3" t="inlineStr">
        <is>
          <t>TKIA 24 JATIKRAMAT</t>
        </is>
      </c>
      <c r="D15" s="3" t="n"/>
      <c r="E15" s="3" t="inlineStr">
        <is>
          <t>TOA</t>
        </is>
      </c>
      <c r="F15" s="3" t="inlineStr">
        <is>
          <t>TOA</t>
        </is>
      </c>
      <c r="G15" s="3" t="n"/>
      <c r="H15" s="3" t="n"/>
      <c r="I15" s="3" t="inlineStr">
        <is>
          <t>1 Unit</t>
        </is>
      </c>
      <c r="J15" s="4" t="n"/>
      <c r="K15" s="3" t="n">
        <v>2018</v>
      </c>
      <c r="L15" s="5" t="n"/>
      <c r="M15" s="5" t="n">
        <v>1500000</v>
      </c>
      <c r="N15" s="3" t="n"/>
      <c r="O15" s="3" t="n">
        <v>4</v>
      </c>
      <c r="P15" s="5" t="n">
        <v>1500000</v>
      </c>
      <c r="Q15" s="5" t="n">
        <v>0</v>
      </c>
      <c r="R15" s="3" t="inlineStr"/>
      <c r="S15" s="3" t="inlineStr">
        <is>
          <t>Aktif</t>
        </is>
      </c>
      <c r="T15" s="3" t="n"/>
      <c r="U15" s="3" t="inlineStr">
        <is>
          <t>LIST ASSET YPIK 2025(1).xlsx | Inv. TKIA</t>
        </is>
      </c>
    </row>
    <row r="16">
      <c r="A16" s="3" t="n">
        <v>13</v>
      </c>
      <c r="B16" s="3" t="n"/>
      <c r="C16" s="3" t="inlineStr">
        <is>
          <t>TKIA 24 JATIKRAMAT</t>
        </is>
      </c>
      <c r="D16" s="3" t="n"/>
      <c r="E16" s="3" t="inlineStr">
        <is>
          <t>Loker Murid</t>
        </is>
      </c>
      <c r="F16" s="3" t="inlineStr">
        <is>
          <t>Loker Murid</t>
        </is>
      </c>
      <c r="G16" s="3" t="n"/>
      <c r="H16" s="3" t="n"/>
      <c r="I16" s="3" t="inlineStr">
        <is>
          <t>2 Unit</t>
        </is>
      </c>
      <c r="J16" s="4" t="n"/>
      <c r="K16" s="3" t="n">
        <v>2018</v>
      </c>
      <c r="L16" s="5" t="n"/>
      <c r="M16" s="5" t="n">
        <v>3000000</v>
      </c>
      <c r="N16" s="3" t="n"/>
      <c r="O16" s="3" t="n">
        <v>4</v>
      </c>
      <c r="P16" s="5" t="n">
        <v>3000000</v>
      </c>
      <c r="Q16" s="5" t="n">
        <v>0</v>
      </c>
      <c r="R16" s="3" t="inlineStr"/>
      <c r="S16" s="3" t="inlineStr">
        <is>
          <t>Aktif</t>
        </is>
      </c>
      <c r="T16" s="3" t="n"/>
      <c r="U16" s="3" t="inlineStr">
        <is>
          <t>LIST ASSET YPIK 2025(1).xlsx | Inv. TKIA</t>
        </is>
      </c>
    </row>
    <row r="17">
      <c r="A17" s="3" t="n">
        <v>14</v>
      </c>
      <c r="B17" s="3" t="n"/>
      <c r="C17" s="3" t="inlineStr">
        <is>
          <t>TKIA 24 JATIKRAMAT</t>
        </is>
      </c>
      <c r="D17" s="3" t="n"/>
      <c r="E17" s="3" t="inlineStr">
        <is>
          <t>Loker Murid</t>
        </is>
      </c>
      <c r="F17" s="3" t="inlineStr">
        <is>
          <t>Loker Murid</t>
        </is>
      </c>
      <c r="G17" s="3" t="n"/>
      <c r="H17" s="3" t="n"/>
      <c r="I17" s="3" t="inlineStr">
        <is>
          <t>1 Unit</t>
        </is>
      </c>
      <c r="J17" s="4" t="n"/>
      <c r="K17" s="3" t="n">
        <v>2018</v>
      </c>
      <c r="L17" s="5" t="n"/>
      <c r="M17" s="5" t="n">
        <v>1500000</v>
      </c>
      <c r="N17" s="3" t="n"/>
      <c r="O17" s="3" t="n">
        <v>4</v>
      </c>
      <c r="P17" s="5" t="n">
        <v>1500000</v>
      </c>
      <c r="Q17" s="5" t="n">
        <v>0</v>
      </c>
      <c r="R17" s="3" t="inlineStr"/>
      <c r="S17" s="3" t="inlineStr">
        <is>
          <t>Aktif</t>
        </is>
      </c>
      <c r="T17" s="3" t="n"/>
      <c r="U17" s="3" t="inlineStr">
        <is>
          <t>LIST ASSET YPIK 2025(1).xlsx | Inv. TKIA</t>
        </is>
      </c>
    </row>
    <row r="18">
      <c r="A18" s="3" t="n">
        <v>15</v>
      </c>
      <c r="B18" s="3" t="n"/>
      <c r="C18" s="3" t="inlineStr">
        <is>
          <t>TKIA 24 JATIKRAMAT</t>
        </is>
      </c>
      <c r="D18" s="3" t="n"/>
      <c r="E18" s="3" t="inlineStr">
        <is>
          <t>Pagar Serbaguna</t>
        </is>
      </c>
      <c r="F18" s="3" t="inlineStr">
        <is>
          <t>Pagar Serbaguna</t>
        </is>
      </c>
      <c r="G18" s="3" t="n"/>
      <c r="H18" s="3" t="n"/>
      <c r="I18" s="3" t="inlineStr">
        <is>
          <t>1 Unit</t>
        </is>
      </c>
      <c r="J18" s="4" t="n"/>
      <c r="K18" s="3" t="n">
        <v>2018</v>
      </c>
      <c r="L18" s="5" t="n"/>
      <c r="M18" s="5" t="n">
        <v>1200000</v>
      </c>
      <c r="N18" s="3" t="n"/>
      <c r="O18" s="3" t="n">
        <v>4</v>
      </c>
      <c r="P18" s="5" t="n">
        <v>1200000</v>
      </c>
      <c r="Q18" s="5" t="n">
        <v>0</v>
      </c>
      <c r="R18" s="3" t="inlineStr"/>
      <c r="S18" s="3" t="inlineStr">
        <is>
          <t>Aktif</t>
        </is>
      </c>
      <c r="T18" s="3" t="n"/>
      <c r="U18" s="3" t="inlineStr">
        <is>
          <t>LIST ASSET YPIK 2025(1).xlsx | Inv. TKIA</t>
        </is>
      </c>
    </row>
    <row r="19">
      <c r="A19" s="3" t="n">
        <v>16</v>
      </c>
      <c r="B19" s="3" t="n"/>
      <c r="C19" s="3" t="inlineStr">
        <is>
          <t>TKIA 24 JATIKRAMAT</t>
        </is>
      </c>
      <c r="D19" s="3" t="n"/>
      <c r="E19" s="3" t="inlineStr">
        <is>
          <t>Meja Bundar</t>
        </is>
      </c>
      <c r="F19" s="3" t="inlineStr">
        <is>
          <t>Meja Bundar</t>
        </is>
      </c>
      <c r="G19" s="3" t="n"/>
      <c r="H19" s="3" t="n"/>
      <c r="I19" s="3" t="inlineStr">
        <is>
          <t>1 Unit</t>
        </is>
      </c>
      <c r="J19" s="4" t="n"/>
      <c r="K19" s="3" t="n">
        <v>2018</v>
      </c>
      <c r="L19" s="5" t="n"/>
      <c r="M19" s="5" t="n">
        <v>1500000</v>
      </c>
      <c r="N19" s="3" t="n"/>
      <c r="O19" s="3" t="n">
        <v>4</v>
      </c>
      <c r="P19" s="5" t="n">
        <v>1500000</v>
      </c>
      <c r="Q19" s="5" t="n">
        <v>0</v>
      </c>
      <c r="R19" s="3" t="inlineStr"/>
      <c r="S19" s="3" t="inlineStr">
        <is>
          <t>Aktif</t>
        </is>
      </c>
      <c r="T19" s="3" t="n"/>
      <c r="U19" s="3" t="inlineStr">
        <is>
          <t>LIST ASSET YPIK 2025(1).xlsx | Inv. TKIA</t>
        </is>
      </c>
    </row>
    <row r="20">
      <c r="A20" s="3" t="n">
        <v>17</v>
      </c>
      <c r="B20" s="3" t="n"/>
      <c r="C20" s="3" t="inlineStr">
        <is>
          <t>TKIA 24 JATIKRAMAT</t>
        </is>
      </c>
      <c r="D20" s="3" t="n"/>
      <c r="E20" s="3" t="inlineStr">
        <is>
          <t>Kursi Murid</t>
        </is>
      </c>
      <c r="F20" s="3" t="inlineStr">
        <is>
          <t>Kursi Murid</t>
        </is>
      </c>
      <c r="G20" s="3" t="n"/>
      <c r="H20" s="3" t="n"/>
      <c r="I20" s="3" t="inlineStr">
        <is>
          <t>5 Unit</t>
        </is>
      </c>
      <c r="J20" s="4" t="n"/>
      <c r="K20" s="3" t="n">
        <v>2018</v>
      </c>
      <c r="L20" s="5" t="n"/>
      <c r="M20" s="5" t="n">
        <v>3750000</v>
      </c>
      <c r="N20" s="3" t="n"/>
      <c r="O20" s="3" t="n">
        <v>4</v>
      </c>
      <c r="P20" s="5" t="n">
        <v>3750000</v>
      </c>
      <c r="Q20" s="5" t="n">
        <v>0</v>
      </c>
      <c r="R20" s="3" t="inlineStr"/>
      <c r="S20" s="3" t="inlineStr">
        <is>
          <t>Aktif</t>
        </is>
      </c>
      <c r="T20" s="3" t="n"/>
      <c r="U20" s="3" t="inlineStr">
        <is>
          <t>LIST ASSET YPIK 2025(1).xlsx | Inv. TKIA</t>
        </is>
      </c>
    </row>
    <row r="21">
      <c r="A21" s="3" t="n">
        <v>18</v>
      </c>
      <c r="B21" s="3" t="n"/>
      <c r="C21" s="3" t="inlineStr">
        <is>
          <t>TKIA 24 JATIKRAMAT</t>
        </is>
      </c>
      <c r="D21" s="3" t="n"/>
      <c r="E21" s="3" t="inlineStr">
        <is>
          <t>Meja Guru</t>
        </is>
      </c>
      <c r="F21" s="3" t="inlineStr">
        <is>
          <t>Meja Guru</t>
        </is>
      </c>
      <c r="G21" s="3" t="n"/>
      <c r="H21" s="3" t="n"/>
      <c r="I21" s="3" t="inlineStr">
        <is>
          <t>1 Unit</t>
        </is>
      </c>
      <c r="J21" s="4" t="n"/>
      <c r="K21" s="3" t="n">
        <v>2018</v>
      </c>
      <c r="L21" s="5" t="n"/>
      <c r="M21" s="5" t="n">
        <v>1250000</v>
      </c>
      <c r="N21" s="3" t="n"/>
      <c r="O21" s="3" t="n">
        <v>4</v>
      </c>
      <c r="P21" s="5" t="n">
        <v>1250000</v>
      </c>
      <c r="Q21" s="5" t="n">
        <v>0</v>
      </c>
      <c r="R21" s="3" t="inlineStr"/>
      <c r="S21" s="3" t="inlineStr">
        <is>
          <t>Aktif</t>
        </is>
      </c>
      <c r="T21" s="3" t="n"/>
      <c r="U21" s="3" t="inlineStr">
        <is>
          <t>LIST ASSET YPIK 2025(1).xlsx | Inv. TKIA</t>
        </is>
      </c>
    </row>
    <row r="22">
      <c r="A22" s="3" t="n">
        <v>19</v>
      </c>
      <c r="B22" s="3" t="n"/>
      <c r="C22" s="3" t="inlineStr">
        <is>
          <t>TKIA 24 JATIKRAMAT</t>
        </is>
      </c>
      <c r="D22" s="3" t="n"/>
      <c r="E22" s="3" t="inlineStr">
        <is>
          <t>Meja Guru</t>
        </is>
      </c>
      <c r="F22" s="3" t="inlineStr">
        <is>
          <t>Meja Guru</t>
        </is>
      </c>
      <c r="G22" s="3" t="n"/>
      <c r="H22" s="3" t="n"/>
      <c r="I22" s="3" t="inlineStr">
        <is>
          <t>2 Unit</t>
        </is>
      </c>
      <c r="J22" s="4" t="n"/>
      <c r="K22" s="3" t="n">
        <v>2018</v>
      </c>
      <c r="L22" s="5" t="n"/>
      <c r="M22" s="5" t="n">
        <v>3000000</v>
      </c>
      <c r="N22" s="3" t="n"/>
      <c r="O22" s="3" t="n">
        <v>4</v>
      </c>
      <c r="P22" s="5" t="n">
        <v>3000000</v>
      </c>
      <c r="Q22" s="5" t="n">
        <v>0</v>
      </c>
      <c r="R22" s="3" t="inlineStr"/>
      <c r="S22" s="3" t="inlineStr">
        <is>
          <t>Aktif</t>
        </is>
      </c>
      <c r="T22" s="3" t="n"/>
      <c r="U22" s="3" t="inlineStr">
        <is>
          <t>LIST ASSET YPIK 2025(1).xlsx | Inv. TKIA</t>
        </is>
      </c>
    </row>
    <row r="23">
      <c r="A23" s="3" t="n">
        <v>20</v>
      </c>
      <c r="B23" s="3" t="n"/>
      <c r="C23" s="3" t="inlineStr">
        <is>
          <t>TKIA 24 JATIKRAMAT</t>
        </is>
      </c>
      <c r="D23" s="3" t="n"/>
      <c r="E23" s="3" t="inlineStr">
        <is>
          <t>Kursi Putar</t>
        </is>
      </c>
      <c r="F23" s="3" t="inlineStr">
        <is>
          <t>Kursi Putar</t>
        </is>
      </c>
      <c r="G23" s="3" t="n"/>
      <c r="H23" s="3" t="n"/>
      <c r="I23" s="3" t="inlineStr">
        <is>
          <t>1 Unit</t>
        </is>
      </c>
      <c r="J23" s="4" t="n"/>
      <c r="K23" s="3" t="n">
        <v>2018</v>
      </c>
      <c r="L23" s="5" t="n"/>
      <c r="M23" s="5" t="n">
        <v>2000000</v>
      </c>
      <c r="N23" s="3" t="n"/>
      <c r="O23" s="3" t="n">
        <v>4</v>
      </c>
      <c r="P23" s="5" t="n">
        <v>2000000</v>
      </c>
      <c r="Q23" s="5" t="n">
        <v>0</v>
      </c>
      <c r="R23" s="3" t="inlineStr"/>
      <c r="S23" s="3" t="inlineStr">
        <is>
          <t>Aktif</t>
        </is>
      </c>
      <c r="T23" s="3" t="n"/>
      <c r="U23" s="3" t="inlineStr">
        <is>
          <t>LIST ASSET YPIK 2025(1).xlsx | Inv. TKIA</t>
        </is>
      </c>
    </row>
    <row r="24">
      <c r="A24" s="3" t="n">
        <v>21</v>
      </c>
      <c r="B24" s="3" t="n"/>
      <c r="C24" s="3" t="inlineStr">
        <is>
          <t>TKIA 24 JATIKRAMAT</t>
        </is>
      </c>
      <c r="D24" s="3" t="n"/>
      <c r="E24" s="3" t="inlineStr">
        <is>
          <t>Meja Tamu</t>
        </is>
      </c>
      <c r="F24" s="3" t="inlineStr">
        <is>
          <t>Meja Tamu</t>
        </is>
      </c>
      <c r="G24" s="3" t="n"/>
      <c r="H24" s="3" t="n"/>
      <c r="I24" s="3" t="inlineStr">
        <is>
          <t>1 Unit</t>
        </is>
      </c>
      <c r="J24" s="4" t="n"/>
      <c r="K24" s="3" t="n">
        <v>2018</v>
      </c>
      <c r="L24" s="5" t="n"/>
      <c r="M24" s="5" t="n">
        <v>1500000</v>
      </c>
      <c r="N24" s="3" t="n"/>
      <c r="O24" s="3" t="n">
        <v>4</v>
      </c>
      <c r="P24" s="5" t="n">
        <v>1500000</v>
      </c>
      <c r="Q24" s="5" t="n">
        <v>0</v>
      </c>
      <c r="R24" s="3" t="inlineStr"/>
      <c r="S24" s="3" t="inlineStr">
        <is>
          <t>Aktif</t>
        </is>
      </c>
      <c r="T24" s="3" t="n"/>
      <c r="U24" s="3" t="inlineStr">
        <is>
          <t>LIST ASSET YPIK 2025(1).xlsx | Inv. TKIA</t>
        </is>
      </c>
    </row>
    <row r="25">
      <c r="A25" s="3" t="n">
        <v>22</v>
      </c>
      <c r="B25" s="3" t="n"/>
      <c r="C25" s="3" t="inlineStr">
        <is>
          <t>TKIA 24 JATIKRAMAT</t>
        </is>
      </c>
      <c r="D25" s="3" t="n"/>
      <c r="E25" s="3" t="inlineStr">
        <is>
          <t>Lemari Fle Kaca</t>
        </is>
      </c>
      <c r="F25" s="3" t="inlineStr">
        <is>
          <t>Lemari Fle Kaca</t>
        </is>
      </c>
      <c r="G25" s="3" t="n"/>
      <c r="H25" s="3" t="n"/>
      <c r="I25" s="3" t="inlineStr">
        <is>
          <t>1 Unit</t>
        </is>
      </c>
      <c r="J25" s="4" t="n"/>
      <c r="K25" s="3" t="n">
        <v>2018</v>
      </c>
      <c r="L25" s="5" t="n"/>
      <c r="M25" s="5" t="n">
        <v>2500000</v>
      </c>
      <c r="N25" s="3" t="n"/>
      <c r="O25" s="3" t="n">
        <v>4</v>
      </c>
      <c r="P25" s="5" t="n">
        <v>2500000</v>
      </c>
      <c r="Q25" s="5" t="n">
        <v>0</v>
      </c>
      <c r="R25" s="3" t="inlineStr"/>
      <c r="S25" s="3" t="inlineStr">
        <is>
          <t>Aktif</t>
        </is>
      </c>
      <c r="T25" s="3" t="n"/>
      <c r="U25" s="3" t="inlineStr">
        <is>
          <t>LIST ASSET YPIK 2025(1).xlsx | Inv. TKIA</t>
        </is>
      </c>
    </row>
    <row r="26">
      <c r="A26" s="3" t="n">
        <v>23</v>
      </c>
      <c r="B26" s="3" t="n"/>
      <c r="C26" s="3" t="inlineStr">
        <is>
          <t>TKIA 24 JATIKRAMAT</t>
        </is>
      </c>
      <c r="D26" s="3" t="n"/>
      <c r="E26" s="3" t="inlineStr">
        <is>
          <t>Meja Guru</t>
        </is>
      </c>
      <c r="F26" s="3" t="inlineStr">
        <is>
          <t>Meja Guru</t>
        </is>
      </c>
      <c r="G26" s="3" t="n"/>
      <c r="H26" s="3" t="n"/>
      <c r="I26" s="3" t="inlineStr">
        <is>
          <t>1 Unit</t>
        </is>
      </c>
      <c r="J26" s="4" t="n"/>
      <c r="K26" s="3" t="n">
        <v>2018</v>
      </c>
      <c r="L26" s="5" t="n"/>
      <c r="M26" s="5" t="n">
        <v>1250000</v>
      </c>
      <c r="N26" s="3" t="n"/>
      <c r="O26" s="3" t="n">
        <v>4</v>
      </c>
      <c r="P26" s="5" t="n">
        <v>1250000</v>
      </c>
      <c r="Q26" s="5" t="n">
        <v>0</v>
      </c>
      <c r="R26" s="3" t="inlineStr"/>
      <c r="S26" s="3" t="inlineStr">
        <is>
          <t>Aktif</t>
        </is>
      </c>
      <c r="T26" s="3" t="n"/>
      <c r="U26" s="3" t="inlineStr">
        <is>
          <t>LIST ASSET YPIK 2025(1).xlsx | Inv. TKIA</t>
        </is>
      </c>
    </row>
    <row r="27">
      <c r="A27" s="3" t="n">
        <v>24</v>
      </c>
      <c r="B27" s="3" t="n"/>
      <c r="C27" s="3" t="inlineStr">
        <is>
          <t>TKIA 24 JATIKRAMAT</t>
        </is>
      </c>
      <c r="D27" s="3" t="n"/>
      <c r="E27" s="3" t="inlineStr">
        <is>
          <t>Kursi Sofa 2 Orang</t>
        </is>
      </c>
      <c r="F27" s="3" t="inlineStr">
        <is>
          <t>Kursi Sofa 2 Orang</t>
        </is>
      </c>
      <c r="G27" s="3" t="n"/>
      <c r="H27" s="3" t="n"/>
      <c r="I27" s="3" t="inlineStr">
        <is>
          <t>1 Unit</t>
        </is>
      </c>
      <c r="J27" s="4" t="n"/>
      <c r="K27" s="3" t="n">
        <v>2018</v>
      </c>
      <c r="L27" s="5" t="n"/>
      <c r="M27" s="5" t="n">
        <v>2000000</v>
      </c>
      <c r="N27" s="3" t="n"/>
      <c r="O27" s="3" t="n">
        <v>4</v>
      </c>
      <c r="P27" s="5" t="n">
        <v>2000000</v>
      </c>
      <c r="Q27" s="5" t="n">
        <v>0</v>
      </c>
      <c r="R27" s="3" t="inlineStr"/>
      <c r="S27" s="3" t="inlineStr">
        <is>
          <t>Aktif</t>
        </is>
      </c>
      <c r="T27" s="3" t="n"/>
      <c r="U27" s="3" t="inlineStr">
        <is>
          <t>LIST ASSET YPIK 2025(1).xlsx | Inv. TKIA</t>
        </is>
      </c>
    </row>
    <row r="28">
      <c r="A28" s="3" t="n">
        <v>25</v>
      </c>
      <c r="B28" s="3" t="n"/>
      <c r="C28" s="3" t="inlineStr">
        <is>
          <t>TKIA 24 JATIKRAMAT</t>
        </is>
      </c>
      <c r="D28" s="3" t="n"/>
      <c r="E28" s="3" t="inlineStr">
        <is>
          <t>Kursi Putar</t>
        </is>
      </c>
      <c r="F28" s="3" t="inlineStr">
        <is>
          <t>Kursi Putar</t>
        </is>
      </c>
      <c r="G28" s="3" t="n"/>
      <c r="H28" s="3" t="n"/>
      <c r="I28" s="3" t="inlineStr">
        <is>
          <t>1 Unit</t>
        </is>
      </c>
      <c r="J28" s="4" t="n"/>
      <c r="K28" s="3" t="n">
        <v>2018</v>
      </c>
      <c r="L28" s="5" t="n"/>
      <c r="M28" s="5" t="n">
        <v>2000000</v>
      </c>
      <c r="N28" s="3" t="n"/>
      <c r="O28" s="3" t="n">
        <v>4</v>
      </c>
      <c r="P28" s="5" t="n">
        <v>2000000</v>
      </c>
      <c r="Q28" s="5" t="n">
        <v>0</v>
      </c>
      <c r="R28" s="3" t="inlineStr"/>
      <c r="S28" s="3" t="inlineStr">
        <is>
          <t>Aktif</t>
        </is>
      </c>
      <c r="T28" s="3" t="n"/>
      <c r="U28" s="3" t="inlineStr">
        <is>
          <t>LIST ASSET YPIK 2025(1).xlsx | Inv. TKIA</t>
        </is>
      </c>
    </row>
    <row r="29">
      <c r="A29" s="3" t="n">
        <v>26</v>
      </c>
      <c r="B29" s="3" t="n"/>
      <c r="C29" s="3" t="inlineStr">
        <is>
          <t>TKIA 24 JATIKRAMAT</t>
        </is>
      </c>
      <c r="D29" s="3" t="n"/>
      <c r="E29" s="3" t="inlineStr">
        <is>
          <t>Kursi Tamu</t>
        </is>
      </c>
      <c r="F29" s="3" t="inlineStr">
        <is>
          <t>Kursi Tamu</t>
        </is>
      </c>
      <c r="G29" s="3" t="n"/>
      <c r="H29" s="3" t="n"/>
      <c r="I29" s="3" t="inlineStr">
        <is>
          <t>2 Unit</t>
        </is>
      </c>
      <c r="J29" s="4" t="n"/>
      <c r="K29" s="3" t="n">
        <v>2018</v>
      </c>
      <c r="L29" s="5" t="n"/>
      <c r="M29" s="5" t="n">
        <v>2000000</v>
      </c>
      <c r="N29" s="3" t="n"/>
      <c r="O29" s="3" t="n">
        <v>4</v>
      </c>
      <c r="P29" s="5" t="n">
        <v>2000000</v>
      </c>
      <c r="Q29" s="5" t="n">
        <v>0</v>
      </c>
      <c r="R29" s="3" t="inlineStr"/>
      <c r="S29" s="3" t="inlineStr">
        <is>
          <t>Aktif</t>
        </is>
      </c>
      <c r="T29" s="3" t="n"/>
      <c r="U29" s="3" t="inlineStr">
        <is>
          <t>LIST ASSET YPIK 2025(1).xlsx | Inv. TKIA</t>
        </is>
      </c>
    </row>
    <row r="30">
      <c r="A30" s="3" t="n">
        <v>27</v>
      </c>
      <c r="B30" s="3" t="n"/>
      <c r="C30" s="3" t="inlineStr">
        <is>
          <t>TKIA 24 JATIKRAMAT</t>
        </is>
      </c>
      <c r="D30" s="3" t="n"/>
      <c r="E30" s="3" t="inlineStr">
        <is>
          <t>Lemari File Kaca</t>
        </is>
      </c>
      <c r="F30" s="3" t="inlineStr">
        <is>
          <t>Lemari File Kaca</t>
        </is>
      </c>
      <c r="G30" s="3" t="n"/>
      <c r="H30" s="3" t="n"/>
      <c r="I30" s="3" t="inlineStr">
        <is>
          <t>1 Unit</t>
        </is>
      </c>
      <c r="J30" s="4" t="n"/>
      <c r="K30" s="3" t="n">
        <v>2018</v>
      </c>
      <c r="L30" s="5" t="n"/>
      <c r="M30" s="5" t="n">
        <v>2000000</v>
      </c>
      <c r="N30" s="3" t="n"/>
      <c r="O30" s="3" t="n">
        <v>4</v>
      </c>
      <c r="P30" s="5" t="n">
        <v>2000000</v>
      </c>
      <c r="Q30" s="5" t="n">
        <v>0</v>
      </c>
      <c r="R30" s="3" t="inlineStr"/>
      <c r="S30" s="3" t="inlineStr">
        <is>
          <t>Aktif</t>
        </is>
      </c>
      <c r="T30" s="3" t="n"/>
      <c r="U30" s="3" t="inlineStr">
        <is>
          <t>LIST ASSET YPIK 2025(1).xlsx | Inv. TKIA</t>
        </is>
      </c>
    </row>
    <row r="31">
      <c r="A31" s="3" t="n">
        <v>28</v>
      </c>
      <c r="B31" s="3" t="n"/>
      <c r="C31" s="3" t="inlineStr">
        <is>
          <t>TKIA 24 JATIKRAMAT</t>
        </is>
      </c>
      <c r="D31" s="3" t="n"/>
      <c r="E31" s="3" t="inlineStr">
        <is>
          <t>Whiteboard</t>
        </is>
      </c>
      <c r="F31" s="3" t="inlineStr">
        <is>
          <t>Whiteboard</t>
        </is>
      </c>
      <c r="G31" s="3" t="n"/>
      <c r="H31" s="3" t="n"/>
      <c r="I31" s="3" t="inlineStr">
        <is>
          <t>1 Unit</t>
        </is>
      </c>
      <c r="J31" s="4" t="n"/>
      <c r="K31" s="3" t="n">
        <v>2018</v>
      </c>
      <c r="L31" s="5" t="n"/>
      <c r="M31" s="5" t="n">
        <v>750000</v>
      </c>
      <c r="N31" s="3" t="n"/>
      <c r="O31" s="3" t="n">
        <v>4</v>
      </c>
      <c r="P31" s="5" t="n">
        <v>750000</v>
      </c>
      <c r="Q31" s="5" t="n">
        <v>0</v>
      </c>
      <c r="R31" s="3" t="inlineStr"/>
      <c r="S31" s="3" t="inlineStr">
        <is>
          <t>Aktif</t>
        </is>
      </c>
      <c r="T31" s="3" t="n"/>
      <c r="U31" s="3" t="inlineStr">
        <is>
          <t>LIST ASSET YPIK 2025(1).xlsx | Inv. TKIA</t>
        </is>
      </c>
    </row>
    <row r="32">
      <c r="A32" s="3" t="n">
        <v>29</v>
      </c>
      <c r="B32" s="3" t="n"/>
      <c r="C32" s="3" t="inlineStr">
        <is>
          <t>TKIA 24 JATIKRAMAT</t>
        </is>
      </c>
      <c r="D32" s="3" t="n"/>
      <c r="E32" s="3" t="inlineStr">
        <is>
          <t>Meja Kotak Sudut</t>
        </is>
      </c>
      <c r="F32" s="3" t="inlineStr">
        <is>
          <t>Meja Kotak Sudut</t>
        </is>
      </c>
      <c r="G32" s="3" t="n"/>
      <c r="H32" s="3" t="n"/>
      <c r="I32" s="3" t="inlineStr">
        <is>
          <t>2 Unit</t>
        </is>
      </c>
      <c r="J32" s="4" t="n"/>
      <c r="K32" s="3" t="n">
        <v>2018</v>
      </c>
      <c r="L32" s="5" t="n"/>
      <c r="M32" s="5" t="n">
        <v>2000000</v>
      </c>
      <c r="N32" s="3" t="n"/>
      <c r="O32" s="3" t="n">
        <v>4</v>
      </c>
      <c r="P32" s="5" t="n">
        <v>2000000</v>
      </c>
      <c r="Q32" s="5" t="n">
        <v>0</v>
      </c>
      <c r="R32" s="3" t="inlineStr"/>
      <c r="S32" s="3" t="inlineStr">
        <is>
          <t>Aktif</t>
        </is>
      </c>
      <c r="T32" s="3" t="n"/>
      <c r="U32" s="3" t="inlineStr">
        <is>
          <t>LIST ASSET YPIK 2025(1).xlsx | Inv. TKIA</t>
        </is>
      </c>
    </row>
    <row r="33">
      <c r="A33" s="3" t="n">
        <v>30</v>
      </c>
      <c r="B33" s="3" t="n"/>
      <c r="C33" s="3" t="inlineStr">
        <is>
          <t>TKIA 24 JATIKRAMAT</t>
        </is>
      </c>
      <c r="D33" s="3" t="n"/>
      <c r="E33" s="3" t="inlineStr">
        <is>
          <t>Meja Sedang</t>
        </is>
      </c>
      <c r="F33" s="3" t="inlineStr">
        <is>
          <t>Meja Sedang</t>
        </is>
      </c>
      <c r="G33" s="3" t="n"/>
      <c r="H33" s="3" t="n"/>
      <c r="I33" s="3" t="inlineStr">
        <is>
          <t>4 Unit</t>
        </is>
      </c>
      <c r="J33" s="4" t="n"/>
      <c r="K33" s="3" t="n">
        <v>2018</v>
      </c>
      <c r="L33" s="5" t="n"/>
      <c r="M33" s="5" t="n">
        <v>5000000</v>
      </c>
      <c r="N33" s="3" t="n"/>
      <c r="O33" s="3" t="n">
        <v>4</v>
      </c>
      <c r="P33" s="5" t="n">
        <v>5000000</v>
      </c>
      <c r="Q33" s="5" t="n">
        <v>0</v>
      </c>
      <c r="R33" s="3" t="inlineStr"/>
      <c r="S33" s="3" t="inlineStr">
        <is>
          <t>Aktif</t>
        </is>
      </c>
      <c r="T33" s="3" t="n"/>
      <c r="U33" s="3" t="inlineStr">
        <is>
          <t>LIST ASSET YPIK 2025(1).xlsx | Inv. TKIA</t>
        </is>
      </c>
    </row>
    <row r="34">
      <c r="A34" s="3" t="n">
        <v>31</v>
      </c>
      <c r="B34" s="3" t="n"/>
      <c r="C34" s="3" t="inlineStr">
        <is>
          <t>TKIA 24 JATIKRAMAT</t>
        </is>
      </c>
      <c r="D34" s="3" t="n"/>
      <c r="E34" s="3" t="inlineStr">
        <is>
          <t>Alat Laminating</t>
        </is>
      </c>
      <c r="F34" s="3" t="inlineStr">
        <is>
          <t>Alat Laminating</t>
        </is>
      </c>
      <c r="G34" s="3" t="n"/>
      <c r="H34" s="3" t="n"/>
      <c r="I34" s="3" t="inlineStr">
        <is>
          <t>1 Unit</t>
        </is>
      </c>
      <c r="J34" s="4" t="n"/>
      <c r="K34" s="3" t="n">
        <v>2018</v>
      </c>
      <c r="L34" s="5" t="n"/>
      <c r="M34" s="5" t="n">
        <v>1500000</v>
      </c>
      <c r="N34" s="3" t="n"/>
      <c r="O34" s="3" t="n">
        <v>4</v>
      </c>
      <c r="P34" s="5" t="n">
        <v>1500000</v>
      </c>
      <c r="Q34" s="5" t="n">
        <v>0</v>
      </c>
      <c r="R34" s="3" t="inlineStr"/>
      <c r="S34" s="3" t="inlineStr">
        <is>
          <t>Aktif</t>
        </is>
      </c>
      <c r="T34" s="3" t="n"/>
      <c r="U34" s="3" t="inlineStr">
        <is>
          <t>LIST ASSET YPIK 2025(1).xlsx | Inv. TKIA</t>
        </is>
      </c>
    </row>
    <row r="35">
      <c r="A35" s="3" t="n">
        <v>32</v>
      </c>
      <c r="B35" s="3" t="n"/>
      <c r="C35" s="3" t="inlineStr">
        <is>
          <t>TKIA 24 JATIKRAMAT</t>
        </is>
      </c>
      <c r="D35" s="3" t="n"/>
      <c r="E35" s="3" t="inlineStr">
        <is>
          <t>Loker Murid</t>
        </is>
      </c>
      <c r="F35" s="3" t="inlineStr">
        <is>
          <t>Loker Murid</t>
        </is>
      </c>
      <c r="G35" s="3" t="n"/>
      <c r="H35" s="3" t="n"/>
      <c r="I35" s="3" t="inlineStr">
        <is>
          <t>1 Unit</t>
        </is>
      </c>
      <c r="J35" s="4" t="n"/>
      <c r="K35" s="3" t="n">
        <v>2018</v>
      </c>
      <c r="L35" s="5" t="n"/>
      <c r="M35" s="5" t="n">
        <v>1500000</v>
      </c>
      <c r="N35" s="3" t="n"/>
      <c r="O35" s="3" t="n">
        <v>4</v>
      </c>
      <c r="P35" s="5" t="n">
        <v>1500000</v>
      </c>
      <c r="Q35" s="5" t="n">
        <v>0</v>
      </c>
      <c r="R35" s="3" t="inlineStr"/>
      <c r="S35" s="3" t="inlineStr">
        <is>
          <t>Aktif</t>
        </is>
      </c>
      <c r="T35" s="3" t="n"/>
      <c r="U35" s="3" t="inlineStr">
        <is>
          <t>LIST ASSET YPIK 2025(1).xlsx | Inv. TKIA</t>
        </is>
      </c>
    </row>
    <row r="36">
      <c r="A36" s="3" t="n">
        <v>33</v>
      </c>
      <c r="B36" s="3" t="n"/>
      <c r="C36" s="3" t="inlineStr">
        <is>
          <t>TKIA 24 JATIKRAMAT</t>
        </is>
      </c>
      <c r="D36" s="3" t="n"/>
      <c r="E36" s="3" t="inlineStr">
        <is>
          <t>Stabilizer</t>
        </is>
      </c>
      <c r="F36" s="3" t="inlineStr">
        <is>
          <t>Stabilizer</t>
        </is>
      </c>
      <c r="G36" s="3" t="n"/>
      <c r="H36" s="3" t="n"/>
      <c r="I36" s="3" t="inlineStr">
        <is>
          <t>1 Unit</t>
        </is>
      </c>
      <c r="J36" s="4" t="n"/>
      <c r="K36" s="3" t="n">
        <v>2018</v>
      </c>
      <c r="L36" s="5" t="n"/>
      <c r="M36" s="5" t="n">
        <v>1000000</v>
      </c>
      <c r="N36" s="3" t="n"/>
      <c r="O36" s="3" t="n">
        <v>4</v>
      </c>
      <c r="P36" s="5" t="n">
        <v>1000000</v>
      </c>
      <c r="Q36" s="5" t="n">
        <v>0</v>
      </c>
      <c r="R36" s="3" t="inlineStr"/>
      <c r="S36" s="3" t="inlineStr">
        <is>
          <t>Aktif</t>
        </is>
      </c>
      <c r="T36" s="3" t="n"/>
      <c r="U36" s="3" t="inlineStr">
        <is>
          <t>LIST ASSET YPIK 2025(1).xlsx | Inv. TKIA</t>
        </is>
      </c>
    </row>
    <row r="37">
      <c r="A37" s="3" t="n">
        <v>34</v>
      </c>
      <c r="B37" s="3" t="n"/>
      <c r="C37" s="3" t="inlineStr">
        <is>
          <t>TKIA 24 JATIKRAMAT</t>
        </is>
      </c>
      <c r="D37" s="3" t="n"/>
      <c r="E37" s="3" t="inlineStr">
        <is>
          <t>Ampliplayer</t>
        </is>
      </c>
      <c r="F37" s="3" t="inlineStr">
        <is>
          <t>Ampliplayer</t>
        </is>
      </c>
      <c r="G37" s="3" t="n"/>
      <c r="H37" s="3" t="n"/>
      <c r="I37" s="3" t="inlineStr">
        <is>
          <t>1 Unit</t>
        </is>
      </c>
      <c r="J37" s="4" t="n"/>
      <c r="K37" s="3" t="n">
        <v>2018</v>
      </c>
      <c r="L37" s="5" t="n"/>
      <c r="M37" s="5" t="n">
        <v>2000000</v>
      </c>
      <c r="N37" s="3" t="n"/>
      <c r="O37" s="3" t="n">
        <v>4</v>
      </c>
      <c r="P37" s="5" t="n">
        <v>2000000</v>
      </c>
      <c r="Q37" s="5" t="n">
        <v>0</v>
      </c>
      <c r="R37" s="3" t="inlineStr"/>
      <c r="S37" s="3" t="inlineStr">
        <is>
          <t>Aktif</t>
        </is>
      </c>
      <c r="T37" s="3" t="n"/>
      <c r="U37" s="3" t="inlineStr">
        <is>
          <t>LIST ASSET YPIK 2025(1).xlsx | Inv. TKIA</t>
        </is>
      </c>
    </row>
    <row r="38">
      <c r="A38" s="3" t="n">
        <v>35</v>
      </c>
      <c r="B38" s="3" t="n"/>
      <c r="C38" s="3" t="inlineStr">
        <is>
          <t>TKIA 24 JATIKRAMAT</t>
        </is>
      </c>
      <c r="D38" s="3" t="n"/>
      <c r="E38" s="3" t="inlineStr">
        <is>
          <t>DVD Player</t>
        </is>
      </c>
      <c r="F38" s="3" t="inlineStr">
        <is>
          <t>DVD Player</t>
        </is>
      </c>
      <c r="G38" s="3" t="n"/>
      <c r="H38" s="3" t="n"/>
      <c r="I38" s="3" t="inlineStr">
        <is>
          <t>1 Unit</t>
        </is>
      </c>
      <c r="J38" s="4" t="n"/>
      <c r="K38" s="3" t="n">
        <v>2018</v>
      </c>
      <c r="L38" s="5" t="n"/>
      <c r="M38" s="5" t="n">
        <v>1500000</v>
      </c>
      <c r="N38" s="3" t="n"/>
      <c r="O38" s="3" t="n">
        <v>4</v>
      </c>
      <c r="P38" s="5" t="n">
        <v>1500000</v>
      </c>
      <c r="Q38" s="5" t="n">
        <v>0</v>
      </c>
      <c r="R38" s="3" t="inlineStr"/>
      <c r="S38" s="3" t="inlineStr">
        <is>
          <t>Aktif</t>
        </is>
      </c>
      <c r="T38" s="3" t="n"/>
      <c r="U38" s="3" t="inlineStr">
        <is>
          <t>LIST ASSET YPIK 2025(1).xlsx | Inv. TKIA</t>
        </is>
      </c>
    </row>
    <row r="39">
      <c r="A39" s="3" t="n">
        <v>36</v>
      </c>
      <c r="B39" s="3" t="n"/>
      <c r="C39" s="3" t="inlineStr">
        <is>
          <t>TKIA 24 JATIKRAMAT</t>
        </is>
      </c>
      <c r="D39" s="3" t="n"/>
      <c r="E39" s="3" t="inlineStr">
        <is>
          <t>Audio</t>
        </is>
      </c>
      <c r="F39" s="3" t="inlineStr">
        <is>
          <t>Audio</t>
        </is>
      </c>
      <c r="G39" s="3" t="n"/>
      <c r="H39" s="3" t="n"/>
      <c r="I39" s="3" t="inlineStr">
        <is>
          <t>1 Unit</t>
        </is>
      </c>
      <c r="J39" s="4" t="n"/>
      <c r="K39" s="3" t="n">
        <v>2018</v>
      </c>
      <c r="L39" s="5" t="n"/>
      <c r="M39" s="5" t="n">
        <v>600000</v>
      </c>
      <c r="N39" s="3" t="n"/>
      <c r="O39" s="3" t="n">
        <v>4</v>
      </c>
      <c r="P39" s="5" t="n">
        <v>600000</v>
      </c>
      <c r="Q39" s="5" t="n">
        <v>0</v>
      </c>
      <c r="R39" s="3" t="inlineStr"/>
      <c r="S39" s="3" t="inlineStr">
        <is>
          <t>Aktif</t>
        </is>
      </c>
      <c r="T39" s="3" t="n"/>
      <c r="U39" s="3" t="inlineStr">
        <is>
          <t>LIST ASSET YPIK 2025(1).xlsx | Inv. TKIA</t>
        </is>
      </c>
    </row>
    <row r="40">
      <c r="A40" s="3" t="n">
        <v>37</v>
      </c>
      <c r="B40" s="3" t="n"/>
      <c r="C40" s="3" t="inlineStr">
        <is>
          <t>TKIA 24 JATIKRAMAT</t>
        </is>
      </c>
      <c r="D40" s="3" t="n"/>
      <c r="E40" s="3" t="inlineStr">
        <is>
          <t>Pengeras Suara</t>
        </is>
      </c>
      <c r="F40" s="3" t="inlineStr">
        <is>
          <t>Pengeras Suara</t>
        </is>
      </c>
      <c r="G40" s="3" t="n"/>
      <c r="H40" s="3" t="n"/>
      <c r="I40" s="3" t="inlineStr">
        <is>
          <t>1 Unit</t>
        </is>
      </c>
      <c r="J40" s="4" t="n"/>
      <c r="K40" s="3" t="n">
        <v>2018</v>
      </c>
      <c r="L40" s="5" t="n"/>
      <c r="M40" s="5" t="n">
        <v>1000000</v>
      </c>
      <c r="N40" s="3" t="n"/>
      <c r="O40" s="3" t="n">
        <v>4</v>
      </c>
      <c r="P40" s="5" t="n">
        <v>1000000</v>
      </c>
      <c r="Q40" s="5" t="n">
        <v>0</v>
      </c>
      <c r="R40" s="3" t="inlineStr"/>
      <c r="S40" s="3" t="inlineStr">
        <is>
          <t>Aktif</t>
        </is>
      </c>
      <c r="T40" s="3" t="n"/>
      <c r="U40" s="3" t="inlineStr">
        <is>
          <t>LIST ASSET YPIK 2025(1).xlsx | Inv. TKIA</t>
        </is>
      </c>
    </row>
    <row r="41">
      <c r="A41" s="3" t="n">
        <v>38</v>
      </c>
      <c r="B41" s="3" t="n"/>
      <c r="C41" s="3" t="inlineStr">
        <is>
          <t>TKIA 24 JATIKRAMAT</t>
        </is>
      </c>
      <c r="D41" s="3" t="n"/>
      <c r="E41" s="3" t="inlineStr">
        <is>
          <t>Loker Murid</t>
        </is>
      </c>
      <c r="F41" s="3" t="inlineStr">
        <is>
          <t>Loker Murid</t>
        </is>
      </c>
      <c r="G41" s="3" t="n"/>
      <c r="H41" s="3" t="n"/>
      <c r="I41" s="3" t="inlineStr">
        <is>
          <t>5 Unit</t>
        </is>
      </c>
      <c r="J41" s="4" t="n"/>
      <c r="K41" s="3" t="n">
        <v>2018</v>
      </c>
      <c r="L41" s="5" t="n"/>
      <c r="M41" s="5" t="n">
        <v>7500000</v>
      </c>
      <c r="N41" s="3" t="n"/>
      <c r="O41" s="3" t="n">
        <v>4</v>
      </c>
      <c r="P41" s="5" t="n">
        <v>7500000</v>
      </c>
      <c r="Q41" s="5" t="n">
        <v>0</v>
      </c>
      <c r="R41" s="3" t="inlineStr"/>
      <c r="S41" s="3" t="inlineStr">
        <is>
          <t>Aktif</t>
        </is>
      </c>
      <c r="T41" s="3" t="n"/>
      <c r="U41" s="3" t="inlineStr">
        <is>
          <t>LIST ASSET YPIK 2025(1).xlsx | Inv. TKIA</t>
        </is>
      </c>
    </row>
    <row r="42">
      <c r="A42" s="3" t="n">
        <v>39</v>
      </c>
      <c r="B42" s="3" t="n"/>
      <c r="C42" s="3" t="inlineStr">
        <is>
          <t>TKIA 24 JATIKRAMAT</t>
        </is>
      </c>
      <c r="D42" s="3" t="n"/>
      <c r="E42" s="3" t="inlineStr">
        <is>
          <t>Rak Buku Murid</t>
        </is>
      </c>
      <c r="F42" s="3" t="inlineStr">
        <is>
          <t>Rak Buku Murid</t>
        </is>
      </c>
      <c r="G42" s="3" t="n"/>
      <c r="H42" s="3" t="n"/>
      <c r="I42" s="3" t="inlineStr">
        <is>
          <t>3 Unit</t>
        </is>
      </c>
      <c r="J42" s="4" t="n"/>
      <c r="K42" s="3" t="n">
        <v>2018</v>
      </c>
      <c r="L42" s="5" t="n"/>
      <c r="M42" s="5" t="n">
        <v>4500000</v>
      </c>
      <c r="N42" s="3" t="n"/>
      <c r="O42" s="3" t="n">
        <v>4</v>
      </c>
      <c r="P42" s="5" t="n">
        <v>4500000</v>
      </c>
      <c r="Q42" s="5" t="n">
        <v>0</v>
      </c>
      <c r="R42" s="3" t="inlineStr"/>
      <c r="S42" s="3" t="inlineStr">
        <is>
          <t>Aktif</t>
        </is>
      </c>
      <c r="T42" s="3" t="n"/>
      <c r="U42" s="3" t="inlineStr">
        <is>
          <t>LIST ASSET YPIK 2025(1).xlsx | Inv. TKIA</t>
        </is>
      </c>
    </row>
    <row r="43">
      <c r="A43" s="3" t="n">
        <v>40</v>
      </c>
      <c r="B43" s="3" t="n"/>
      <c r="C43" s="3" t="inlineStr">
        <is>
          <t>TKIA 24 JATIKRAMAT</t>
        </is>
      </c>
      <c r="D43" s="3" t="n"/>
      <c r="E43" s="3" t="inlineStr">
        <is>
          <t>Kitchen Set Anak</t>
        </is>
      </c>
      <c r="F43" s="3" t="inlineStr">
        <is>
          <t>Kitchen Set Anak</t>
        </is>
      </c>
      <c r="G43" s="3" t="n"/>
      <c r="H43" s="3" t="n"/>
      <c r="I43" s="3" t="inlineStr">
        <is>
          <t>1 Unit</t>
        </is>
      </c>
      <c r="J43" s="4" t="n"/>
      <c r="K43" s="3" t="n">
        <v>2018</v>
      </c>
      <c r="L43" s="5" t="n"/>
      <c r="M43" s="5" t="n">
        <v>2500000</v>
      </c>
      <c r="N43" s="3" t="n"/>
      <c r="O43" s="3" t="n">
        <v>4</v>
      </c>
      <c r="P43" s="5" t="n">
        <v>2500000</v>
      </c>
      <c r="Q43" s="5" t="n">
        <v>0</v>
      </c>
      <c r="R43" s="3" t="inlineStr"/>
      <c r="S43" s="3" t="inlineStr">
        <is>
          <t>Aktif</t>
        </is>
      </c>
      <c r="T43" s="3" t="n"/>
      <c r="U43" s="3" t="inlineStr">
        <is>
          <t>LIST ASSET YPIK 2025(1).xlsx | Inv. TKIA</t>
        </is>
      </c>
    </row>
    <row r="44">
      <c r="A44" s="3" t="n">
        <v>41</v>
      </c>
      <c r="B44" s="3" t="n"/>
      <c r="C44" s="3" t="inlineStr">
        <is>
          <t>TKIA 24 JATIKRAMAT</t>
        </is>
      </c>
      <c r="D44" s="3" t="n"/>
      <c r="E44" s="3" t="inlineStr">
        <is>
          <t>Whiteboard</t>
        </is>
      </c>
      <c r="F44" s="3" t="inlineStr">
        <is>
          <t>Whiteboard</t>
        </is>
      </c>
      <c r="G44" s="3" t="n"/>
      <c r="H44" s="3" t="n"/>
      <c r="I44" s="3" t="inlineStr">
        <is>
          <t>1 Unit</t>
        </is>
      </c>
      <c r="J44" s="4" t="n"/>
      <c r="K44" s="3" t="n">
        <v>2018</v>
      </c>
      <c r="L44" s="5" t="n"/>
      <c r="M44" s="5" t="n">
        <v>1000000</v>
      </c>
      <c r="N44" s="3" t="n"/>
      <c r="O44" s="3" t="n">
        <v>4</v>
      </c>
      <c r="P44" s="5" t="n">
        <v>1000000</v>
      </c>
      <c r="Q44" s="5" t="n">
        <v>0</v>
      </c>
      <c r="R44" s="3" t="inlineStr"/>
      <c r="S44" s="3" t="inlineStr">
        <is>
          <t>Aktif</t>
        </is>
      </c>
      <c r="T44" s="3" t="n"/>
      <c r="U44" s="3" t="inlineStr">
        <is>
          <t>LIST ASSET YPIK 2025(1).xlsx | Inv. TKIA</t>
        </is>
      </c>
    </row>
    <row r="45">
      <c r="A45" s="3" t="n">
        <v>42</v>
      </c>
      <c r="B45" s="3" t="n"/>
      <c r="C45" s="3" t="inlineStr">
        <is>
          <t>TKIA 24 JATIKRAMAT</t>
        </is>
      </c>
      <c r="D45" s="3" t="n"/>
      <c r="E45" s="3" t="inlineStr">
        <is>
          <t>Meja Bundar</t>
        </is>
      </c>
      <c r="F45" s="3" t="inlineStr">
        <is>
          <t>Meja Bundar</t>
        </is>
      </c>
      <c r="G45" s="3" t="n"/>
      <c r="H45" s="3" t="n"/>
      <c r="I45" s="3" t="inlineStr">
        <is>
          <t>1 Unit</t>
        </is>
      </c>
      <c r="J45" s="4" t="n"/>
      <c r="K45" s="3" t="n">
        <v>2018</v>
      </c>
      <c r="L45" s="5" t="n"/>
      <c r="M45" s="5" t="n">
        <v>1500000</v>
      </c>
      <c r="N45" s="3" t="n"/>
      <c r="O45" s="3" t="n">
        <v>4</v>
      </c>
      <c r="P45" s="5" t="n">
        <v>1500000</v>
      </c>
      <c r="Q45" s="5" t="n">
        <v>0</v>
      </c>
      <c r="R45" s="3" t="inlineStr"/>
      <c r="S45" s="3" t="inlineStr">
        <is>
          <t>Aktif</t>
        </is>
      </c>
      <c r="T45" s="3" t="n"/>
      <c r="U45" s="3" t="inlineStr">
        <is>
          <t>LIST ASSET YPIK 2025(1).xlsx | Inv. TKIA</t>
        </is>
      </c>
    </row>
    <row r="46">
      <c r="A46" s="3" t="n">
        <v>43</v>
      </c>
      <c r="B46" s="3" t="n"/>
      <c r="C46" s="3" t="inlineStr">
        <is>
          <t>TKIA 24 JATIKRAMAT</t>
        </is>
      </c>
      <c r="D46" s="3" t="n"/>
      <c r="E46" s="3" t="inlineStr">
        <is>
          <t>Meja Bundar</t>
        </is>
      </c>
      <c r="F46" s="3" t="inlineStr">
        <is>
          <t>Meja Bundar</t>
        </is>
      </c>
      <c r="G46" s="3" t="n"/>
      <c r="H46" s="3" t="n"/>
      <c r="I46" s="3" t="inlineStr">
        <is>
          <t>1 Unit</t>
        </is>
      </c>
      <c r="J46" s="4" t="n"/>
      <c r="K46" s="3" t="n">
        <v>2018</v>
      </c>
      <c r="L46" s="5" t="n"/>
      <c r="M46" s="5" t="n">
        <v>1500000</v>
      </c>
      <c r="N46" s="3" t="n"/>
      <c r="O46" s="3" t="n">
        <v>4</v>
      </c>
      <c r="P46" s="5" t="n">
        <v>1500000</v>
      </c>
      <c r="Q46" s="5" t="n">
        <v>0</v>
      </c>
      <c r="R46" s="3" t="inlineStr"/>
      <c r="S46" s="3" t="inlineStr">
        <is>
          <t>Aktif</t>
        </is>
      </c>
      <c r="T46" s="3" t="n"/>
      <c r="U46" s="3" t="inlineStr">
        <is>
          <t>LIST ASSET YPIK 2025(1).xlsx | Inv. TKIA</t>
        </is>
      </c>
    </row>
    <row r="47">
      <c r="A47" s="3" t="n">
        <v>44</v>
      </c>
      <c r="B47" s="3" t="n"/>
      <c r="C47" s="3" t="inlineStr">
        <is>
          <t>TKIA 24 JATIKRAMAT</t>
        </is>
      </c>
      <c r="D47" s="3" t="n"/>
      <c r="E47" s="3" t="inlineStr">
        <is>
          <t>Kursi Murid</t>
        </is>
      </c>
      <c r="F47" s="3" t="inlineStr">
        <is>
          <t>Kursi Murid</t>
        </is>
      </c>
      <c r="G47" s="3" t="n"/>
      <c r="H47" s="3" t="n"/>
      <c r="I47" s="3" t="inlineStr">
        <is>
          <t>5 Unit</t>
        </is>
      </c>
      <c r="J47" s="4" t="n"/>
      <c r="K47" s="3" t="n">
        <v>2018</v>
      </c>
      <c r="L47" s="5" t="n"/>
      <c r="M47" s="5" t="n">
        <v>3750000</v>
      </c>
      <c r="N47" s="3" t="n"/>
      <c r="O47" s="3" t="n">
        <v>4</v>
      </c>
      <c r="P47" s="5" t="n">
        <v>3750000</v>
      </c>
      <c r="Q47" s="5" t="n">
        <v>0</v>
      </c>
      <c r="R47" s="3" t="inlineStr"/>
      <c r="S47" s="3" t="inlineStr">
        <is>
          <t>Aktif</t>
        </is>
      </c>
      <c r="T47" s="3" t="n"/>
      <c r="U47" s="3" t="inlineStr">
        <is>
          <t>LIST ASSET YPIK 2025(1).xlsx | Inv. TKIA</t>
        </is>
      </c>
    </row>
    <row r="48">
      <c r="A48" s="3" t="n">
        <v>45</v>
      </c>
      <c r="B48" s="3" t="n"/>
      <c r="C48" s="3" t="inlineStr">
        <is>
          <t>TKIA 24 JATIKRAMAT</t>
        </is>
      </c>
      <c r="D48" s="3" t="n"/>
      <c r="E48" s="3" t="inlineStr">
        <is>
          <t>Kursi Murid</t>
        </is>
      </c>
      <c r="F48" s="3" t="inlineStr">
        <is>
          <t>Kursi Murid</t>
        </is>
      </c>
      <c r="G48" s="3" t="n"/>
      <c r="H48" s="3" t="n"/>
      <c r="I48" s="3" t="inlineStr">
        <is>
          <t>2 Unit</t>
        </is>
      </c>
      <c r="J48" s="4" t="n"/>
      <c r="K48" s="3" t="n">
        <v>2018</v>
      </c>
      <c r="L48" s="5" t="n"/>
      <c r="M48" s="5" t="n">
        <v>1500000</v>
      </c>
      <c r="N48" s="3" t="n"/>
      <c r="O48" s="3" t="n">
        <v>4</v>
      </c>
      <c r="P48" s="5" t="n">
        <v>1500000</v>
      </c>
      <c r="Q48" s="5" t="n">
        <v>0</v>
      </c>
      <c r="R48" s="3" t="inlineStr"/>
      <c r="S48" s="3" t="inlineStr">
        <is>
          <t>Aktif</t>
        </is>
      </c>
      <c r="T48" s="3" t="n"/>
      <c r="U48" s="3" t="inlineStr">
        <is>
          <t>LIST ASSET YPIK 2025(1).xlsx | Inv. TKIA</t>
        </is>
      </c>
    </row>
    <row r="49">
      <c r="A49" s="3" t="n">
        <v>46</v>
      </c>
      <c r="B49" s="3" t="n"/>
      <c r="C49" s="3" t="inlineStr">
        <is>
          <t>TKIA 24 JATIKRAMAT</t>
        </is>
      </c>
      <c r="D49" s="3" t="n"/>
      <c r="E49" s="3" t="inlineStr">
        <is>
          <t>Whiteboard</t>
        </is>
      </c>
      <c r="F49" s="3" t="inlineStr">
        <is>
          <t>Whiteboard</t>
        </is>
      </c>
      <c r="G49" s="3" t="n"/>
      <c r="H49" s="3" t="n"/>
      <c r="I49" s="3" t="inlineStr">
        <is>
          <t>1 Unit</t>
        </is>
      </c>
      <c r="J49" s="4" t="n"/>
      <c r="K49" s="3" t="n">
        <v>2018</v>
      </c>
      <c r="L49" s="5" t="n"/>
      <c r="M49" s="5" t="n">
        <v>500000</v>
      </c>
      <c r="N49" s="3" t="n"/>
      <c r="O49" s="3" t="n">
        <v>4</v>
      </c>
      <c r="P49" s="5" t="n">
        <v>500000</v>
      </c>
      <c r="Q49" s="5" t="n">
        <v>0</v>
      </c>
      <c r="R49" s="3" t="inlineStr"/>
      <c r="S49" s="3" t="inlineStr">
        <is>
          <t>Aktif</t>
        </is>
      </c>
      <c r="T49" s="3" t="n"/>
      <c r="U49" s="3" t="inlineStr">
        <is>
          <t>LIST ASSET YPIK 2025(1).xlsx | Inv. TKIA</t>
        </is>
      </c>
    </row>
    <row r="50">
      <c r="A50" s="3" t="n">
        <v>47</v>
      </c>
      <c r="B50" s="3" t="n"/>
      <c r="C50" s="3" t="inlineStr">
        <is>
          <t>TKIA 24 JATIKRAMAT</t>
        </is>
      </c>
      <c r="D50" s="3" t="n"/>
      <c r="E50" s="3" t="inlineStr">
        <is>
          <t>Wifi</t>
        </is>
      </c>
      <c r="F50" s="3" t="inlineStr">
        <is>
          <t>Wifi</t>
        </is>
      </c>
      <c r="G50" s="3" t="n"/>
      <c r="H50" s="3" t="n"/>
      <c r="I50" s="3" t="inlineStr">
        <is>
          <t>1 Unit</t>
        </is>
      </c>
      <c r="J50" s="4" t="n"/>
      <c r="K50" s="3" t="n">
        <v>2018</v>
      </c>
      <c r="L50" s="5" t="n"/>
      <c r="M50" s="5" t="n">
        <v>1000000</v>
      </c>
      <c r="N50" s="3" t="n"/>
      <c r="O50" s="3" t="n">
        <v>4</v>
      </c>
      <c r="P50" s="5" t="n">
        <v>1000000</v>
      </c>
      <c r="Q50" s="5" t="n">
        <v>0</v>
      </c>
      <c r="R50" s="3" t="inlineStr"/>
      <c r="S50" s="3" t="inlineStr">
        <is>
          <t>Aktif</t>
        </is>
      </c>
      <c r="T50" s="3" t="n"/>
      <c r="U50" s="3" t="inlineStr">
        <is>
          <t>LIST ASSET YPIK 2025(1).xlsx | Inv. TKIA</t>
        </is>
      </c>
    </row>
    <row r="51">
      <c r="A51" s="3" t="n">
        <v>48</v>
      </c>
      <c r="B51" s="3" t="n"/>
      <c r="C51" s="3" t="inlineStr">
        <is>
          <t>TKIA 24 JATIKRAMAT</t>
        </is>
      </c>
      <c r="D51" s="3" t="n"/>
      <c r="E51" s="3" t="inlineStr">
        <is>
          <t>Whiteboard</t>
        </is>
      </c>
      <c r="F51" s="3" t="inlineStr">
        <is>
          <t>Whiteboard</t>
        </is>
      </c>
      <c r="G51" s="3" t="n"/>
      <c r="H51" s="3" t="n"/>
      <c r="I51" s="3" t="inlineStr">
        <is>
          <t>1 Unit</t>
        </is>
      </c>
      <c r="J51" s="4" t="n"/>
      <c r="K51" s="3" t="n">
        <v>2018</v>
      </c>
      <c r="L51" s="5" t="n"/>
      <c r="M51" s="5" t="n">
        <v>700000</v>
      </c>
      <c r="N51" s="3" t="n"/>
      <c r="O51" s="3" t="n">
        <v>4</v>
      </c>
      <c r="P51" s="5" t="n">
        <v>700000</v>
      </c>
      <c r="Q51" s="5" t="n">
        <v>0</v>
      </c>
      <c r="R51" s="3" t="inlineStr"/>
      <c r="S51" s="3" t="inlineStr">
        <is>
          <t>Aktif</t>
        </is>
      </c>
      <c r="T51" s="3" t="n"/>
      <c r="U51" s="3" t="inlineStr">
        <is>
          <t>LIST ASSET YPIK 2025(1).xlsx | Inv. TKIA</t>
        </is>
      </c>
    </row>
    <row r="52">
      <c r="A52" s="3" t="n">
        <v>49</v>
      </c>
      <c r="B52" s="3" t="n"/>
      <c r="C52" s="3" t="inlineStr">
        <is>
          <t>TKIA 24 JATIKRAMAT</t>
        </is>
      </c>
      <c r="D52" s="3" t="n"/>
      <c r="E52" s="3" t="inlineStr">
        <is>
          <t>Loker Murid</t>
        </is>
      </c>
      <c r="F52" s="3" t="inlineStr">
        <is>
          <t>Loker Murid</t>
        </is>
      </c>
      <c r="G52" s="3" t="n"/>
      <c r="H52" s="3" t="n"/>
      <c r="I52" s="3" t="inlineStr">
        <is>
          <t>6 Unit</t>
        </is>
      </c>
      <c r="J52" s="4" t="n"/>
      <c r="K52" s="3" t="n">
        <v>2018</v>
      </c>
      <c r="L52" s="5" t="n"/>
      <c r="M52" s="5" t="n">
        <v>9000000</v>
      </c>
      <c r="N52" s="3" t="n"/>
      <c r="O52" s="3" t="n">
        <v>4</v>
      </c>
      <c r="P52" s="5" t="n">
        <v>9000000</v>
      </c>
      <c r="Q52" s="5" t="n">
        <v>0</v>
      </c>
      <c r="R52" s="3" t="inlineStr"/>
      <c r="S52" s="3" t="inlineStr">
        <is>
          <t>Aktif</t>
        </is>
      </c>
      <c r="T52" s="3" t="n"/>
      <c r="U52" s="3" t="inlineStr">
        <is>
          <t>LIST ASSET YPIK 2025(1).xlsx | Inv. TKIA</t>
        </is>
      </c>
    </row>
    <row r="53">
      <c r="A53" s="3" t="n">
        <v>50</v>
      </c>
      <c r="B53" s="3" t="n"/>
      <c r="C53" s="3" t="inlineStr">
        <is>
          <t>TKIA 24 JATIKRAMAT</t>
        </is>
      </c>
      <c r="D53" s="3" t="n"/>
      <c r="E53" s="3" t="inlineStr">
        <is>
          <t>Rak Buku Murid</t>
        </is>
      </c>
      <c r="F53" s="3" t="inlineStr">
        <is>
          <t>Rak Buku Murid</t>
        </is>
      </c>
      <c r="G53" s="3" t="n"/>
      <c r="H53" s="3" t="n"/>
      <c r="I53" s="3" t="inlineStr">
        <is>
          <t>1 Unit</t>
        </is>
      </c>
      <c r="J53" s="4" t="n"/>
      <c r="K53" s="3" t="n">
        <v>2018</v>
      </c>
      <c r="L53" s="5" t="n"/>
      <c r="M53" s="5" t="n">
        <v>1500000</v>
      </c>
      <c r="N53" s="3" t="n"/>
      <c r="O53" s="3" t="n">
        <v>4</v>
      </c>
      <c r="P53" s="5" t="n">
        <v>1500000</v>
      </c>
      <c r="Q53" s="5" t="n">
        <v>0</v>
      </c>
      <c r="R53" s="3" t="inlineStr"/>
      <c r="S53" s="3" t="inlineStr">
        <is>
          <t>Aktif</t>
        </is>
      </c>
      <c r="T53" s="3" t="n"/>
      <c r="U53" s="3" t="inlineStr">
        <is>
          <t>LIST ASSET YPIK 2025(1).xlsx | Inv. TKIA</t>
        </is>
      </c>
    </row>
    <row r="54">
      <c r="A54" s="3" t="n">
        <v>51</v>
      </c>
      <c r="B54" s="3" t="n"/>
      <c r="C54" s="3" t="inlineStr">
        <is>
          <t>TKIA 24 JATIKRAMAT</t>
        </is>
      </c>
      <c r="D54" s="3" t="n"/>
      <c r="E54" s="3" t="inlineStr">
        <is>
          <t>Meja Bundar Murid</t>
        </is>
      </c>
      <c r="F54" s="3" t="inlineStr">
        <is>
          <t>Meja Bundar Murid</t>
        </is>
      </c>
      <c r="G54" s="3" t="n"/>
      <c r="H54" s="3" t="n"/>
      <c r="I54" s="3" t="inlineStr">
        <is>
          <t>1 Unit</t>
        </is>
      </c>
      <c r="J54" s="4" t="n"/>
      <c r="K54" s="3" t="n">
        <v>2018</v>
      </c>
      <c r="L54" s="5" t="n"/>
      <c r="M54" s="5" t="n">
        <v>1000000</v>
      </c>
      <c r="N54" s="3" t="n"/>
      <c r="O54" s="3" t="n">
        <v>4</v>
      </c>
      <c r="P54" s="5" t="n">
        <v>1000000</v>
      </c>
      <c r="Q54" s="5" t="n">
        <v>0</v>
      </c>
      <c r="R54" s="3" t="inlineStr"/>
      <c r="S54" s="3" t="inlineStr">
        <is>
          <t>Aktif</t>
        </is>
      </c>
      <c r="T54" s="3" t="n"/>
      <c r="U54" s="3" t="inlineStr">
        <is>
          <t>LIST ASSET YPIK 2025(1).xlsx | Inv. TKIA</t>
        </is>
      </c>
    </row>
    <row r="55">
      <c r="A55" s="3" t="n">
        <v>52</v>
      </c>
      <c r="B55" s="3" t="n"/>
      <c r="C55" s="3" t="inlineStr">
        <is>
          <t>TKIA 24 JATIKRAMAT</t>
        </is>
      </c>
      <c r="D55" s="3" t="n"/>
      <c r="E55" s="3" t="inlineStr">
        <is>
          <t>Meja Kantor</t>
        </is>
      </c>
      <c r="F55" s="3" t="inlineStr">
        <is>
          <t>Meja Kantor</t>
        </is>
      </c>
      <c r="G55" s="3" t="n"/>
      <c r="H55" s="3" t="n"/>
      <c r="I55" s="3" t="inlineStr">
        <is>
          <t>1 Unit</t>
        </is>
      </c>
      <c r="J55" s="4" t="n"/>
      <c r="K55" s="3" t="n">
        <v>2018</v>
      </c>
      <c r="L55" s="5" t="n"/>
      <c r="M55" s="5" t="n">
        <v>1500000</v>
      </c>
      <c r="N55" s="3" t="n"/>
      <c r="O55" s="3" t="n">
        <v>4</v>
      </c>
      <c r="P55" s="5" t="n">
        <v>1500000</v>
      </c>
      <c r="Q55" s="5" t="n">
        <v>0</v>
      </c>
      <c r="R55" s="3" t="inlineStr"/>
      <c r="S55" s="3" t="inlineStr">
        <is>
          <t>Aktif</t>
        </is>
      </c>
      <c r="T55" s="3" t="n"/>
      <c r="U55" s="3" t="inlineStr">
        <is>
          <t>LIST ASSET YPIK 2025(1).xlsx | Inv. TKIA</t>
        </is>
      </c>
    </row>
    <row r="56">
      <c r="A56" s="3" t="n">
        <v>53</v>
      </c>
      <c r="B56" s="3" t="n"/>
      <c r="C56" s="3" t="inlineStr">
        <is>
          <t>TKIA 24 JATIKRAMAT</t>
        </is>
      </c>
      <c r="D56" s="3" t="n"/>
      <c r="E56" s="3" t="inlineStr">
        <is>
          <t>Meja Bundar Murid</t>
        </is>
      </c>
      <c r="F56" s="3" t="inlineStr">
        <is>
          <t>Meja Bundar Murid</t>
        </is>
      </c>
      <c r="G56" s="3" t="n"/>
      <c r="H56" s="3" t="n"/>
      <c r="I56" s="3" t="inlineStr">
        <is>
          <t>1 Unit</t>
        </is>
      </c>
      <c r="J56" s="4" t="n"/>
      <c r="K56" s="3" t="n">
        <v>2018</v>
      </c>
      <c r="L56" s="5" t="n"/>
      <c r="M56" s="5" t="n">
        <v>1250000</v>
      </c>
      <c r="N56" s="3" t="n"/>
      <c r="O56" s="3" t="n">
        <v>4</v>
      </c>
      <c r="P56" s="5" t="n">
        <v>1250000</v>
      </c>
      <c r="Q56" s="5" t="n">
        <v>0</v>
      </c>
      <c r="R56" s="3" t="inlineStr"/>
      <c r="S56" s="3" t="inlineStr">
        <is>
          <t>Aktif</t>
        </is>
      </c>
      <c r="T56" s="3" t="n"/>
      <c r="U56" s="3" t="inlineStr">
        <is>
          <t>LIST ASSET YPIK 2025(1).xlsx | Inv. TKIA</t>
        </is>
      </c>
    </row>
    <row r="57">
      <c r="A57" s="3" t="n">
        <v>54</v>
      </c>
      <c r="B57" s="3" t="n"/>
      <c r="C57" s="3" t="inlineStr">
        <is>
          <t>TKIA 24 JATIKRAMAT</t>
        </is>
      </c>
      <c r="D57" s="3" t="n"/>
      <c r="E57" s="3" t="inlineStr">
        <is>
          <t>Meja Kantor</t>
        </is>
      </c>
      <c r="F57" s="3" t="inlineStr">
        <is>
          <t>Meja Kantor</t>
        </is>
      </c>
      <c r="G57" s="3" t="n"/>
      <c r="H57" s="3" t="n"/>
      <c r="I57" s="3" t="inlineStr">
        <is>
          <t>1 Unit</t>
        </is>
      </c>
      <c r="J57" s="4" t="n"/>
      <c r="K57" s="3" t="n">
        <v>2018</v>
      </c>
      <c r="L57" s="5" t="n"/>
      <c r="M57" s="5" t="n">
        <v>1500000</v>
      </c>
      <c r="N57" s="3" t="n"/>
      <c r="O57" s="3" t="n">
        <v>4</v>
      </c>
      <c r="P57" s="5" t="n">
        <v>1500000</v>
      </c>
      <c r="Q57" s="5" t="n">
        <v>0</v>
      </c>
      <c r="R57" s="3" t="inlineStr"/>
      <c r="S57" s="3" t="inlineStr">
        <is>
          <t>Aktif</t>
        </is>
      </c>
      <c r="T57" s="3" t="n"/>
      <c r="U57" s="3" t="inlineStr">
        <is>
          <t>LIST ASSET YPIK 2025(1).xlsx | Inv. TKIA</t>
        </is>
      </c>
    </row>
    <row r="58">
      <c r="A58" s="3" t="n">
        <v>55</v>
      </c>
      <c r="B58" s="3" t="n"/>
      <c r="C58" s="3" t="inlineStr">
        <is>
          <t>TKIA 24 JATIKRAMAT</t>
        </is>
      </c>
      <c r="D58" s="3" t="n"/>
      <c r="E58" s="3" t="inlineStr">
        <is>
          <t>Kursi Murid</t>
        </is>
      </c>
      <c r="F58" s="3" t="inlineStr">
        <is>
          <t>Kursi Murid</t>
        </is>
      </c>
      <c r="G58" s="3" t="n"/>
      <c r="H58" s="3" t="n"/>
      <c r="I58" s="3" t="inlineStr">
        <is>
          <t>12 Unit</t>
        </is>
      </c>
      <c r="J58" s="4" t="n"/>
      <c r="K58" s="3" t="n">
        <v>2018</v>
      </c>
      <c r="L58" s="5" t="n"/>
      <c r="M58" s="5" t="n">
        <v>7200000</v>
      </c>
      <c r="N58" s="3" t="n"/>
      <c r="O58" s="3" t="n">
        <v>4</v>
      </c>
      <c r="P58" s="5" t="n">
        <v>7200000</v>
      </c>
      <c r="Q58" s="5" t="n">
        <v>0</v>
      </c>
      <c r="R58" s="3" t="inlineStr"/>
      <c r="S58" s="3" t="inlineStr">
        <is>
          <t>Aktif</t>
        </is>
      </c>
      <c r="T58" s="3" t="n"/>
      <c r="U58" s="3" t="inlineStr">
        <is>
          <t>LIST ASSET YPIK 2025(1).xlsx | Inv. TKIA</t>
        </is>
      </c>
    </row>
    <row r="59">
      <c r="A59" s="3" t="n">
        <v>56</v>
      </c>
      <c r="B59" s="3" t="n"/>
      <c r="C59" s="3" t="inlineStr">
        <is>
          <t>TKIA 24 JATIKRAMAT</t>
        </is>
      </c>
      <c r="D59" s="3" t="n"/>
      <c r="E59" s="3" t="inlineStr">
        <is>
          <t>Kursi Kayu</t>
        </is>
      </c>
      <c r="F59" s="3" t="inlineStr">
        <is>
          <t>Kursi Kayu</t>
        </is>
      </c>
      <c r="G59" s="3" t="n"/>
      <c r="H59" s="3" t="n"/>
      <c r="I59" s="3" t="inlineStr">
        <is>
          <t>1 Unit</t>
        </is>
      </c>
      <c r="J59" s="4" t="n"/>
      <c r="K59" s="3" t="n">
        <v>2018</v>
      </c>
      <c r="L59" s="5" t="n"/>
      <c r="M59" s="5" t="n">
        <v>500000</v>
      </c>
      <c r="N59" s="3" t="n"/>
      <c r="O59" s="3" t="n">
        <v>4</v>
      </c>
      <c r="P59" s="5" t="n">
        <v>500000</v>
      </c>
      <c r="Q59" s="5" t="n">
        <v>0</v>
      </c>
      <c r="R59" s="3" t="inlineStr"/>
      <c r="S59" s="3" t="inlineStr">
        <is>
          <t>Aktif</t>
        </is>
      </c>
      <c r="T59" s="3" t="n"/>
      <c r="U59" s="3" t="inlineStr">
        <is>
          <t>LIST ASSET YPIK 2025(1).xlsx | Inv. TKIA</t>
        </is>
      </c>
    </row>
    <row r="60">
      <c r="A60" s="3" t="n">
        <v>57</v>
      </c>
      <c r="B60" s="3" t="n"/>
      <c r="C60" s="3" t="inlineStr">
        <is>
          <t>TKIA 24 JATIKRAMAT</t>
        </is>
      </c>
      <c r="D60" s="3" t="n"/>
      <c r="E60" s="3" t="inlineStr">
        <is>
          <t>Kitchen Set Anak</t>
        </is>
      </c>
      <c r="F60" s="3" t="inlineStr">
        <is>
          <t>Kitchen Set Anak</t>
        </is>
      </c>
      <c r="G60" s="3" t="n"/>
      <c r="H60" s="3" t="n"/>
      <c r="I60" s="3" t="inlineStr">
        <is>
          <t>1 Unit</t>
        </is>
      </c>
      <c r="J60" s="4" t="n"/>
      <c r="K60" s="3" t="n">
        <v>2018</v>
      </c>
      <c r="L60" s="5" t="n"/>
      <c r="M60" s="5" t="n">
        <v>3000000</v>
      </c>
      <c r="N60" s="3" t="n"/>
      <c r="O60" s="3" t="n">
        <v>4</v>
      </c>
      <c r="P60" s="5" t="n">
        <v>3000000</v>
      </c>
      <c r="Q60" s="5" t="n">
        <v>0</v>
      </c>
      <c r="R60" s="3" t="inlineStr"/>
      <c r="S60" s="3" t="inlineStr">
        <is>
          <t>Aktif</t>
        </is>
      </c>
      <c r="T60" s="3" t="n"/>
      <c r="U60" s="3" t="inlineStr">
        <is>
          <t>LIST ASSET YPIK 2025(1).xlsx | Inv. TKIA</t>
        </is>
      </c>
    </row>
    <row r="61">
      <c r="A61" s="3" t="n">
        <v>58</v>
      </c>
      <c r="B61" s="3" t="n"/>
      <c r="C61" s="3" t="inlineStr">
        <is>
          <t>TKIA 24 JATIKRAMAT</t>
        </is>
      </c>
      <c r="D61" s="3" t="n"/>
      <c r="E61" s="3" t="inlineStr">
        <is>
          <t>Pengeras Suara</t>
        </is>
      </c>
      <c r="F61" s="3" t="inlineStr">
        <is>
          <t>Pengeras Suara</t>
        </is>
      </c>
      <c r="G61" s="3" t="n"/>
      <c r="H61" s="3" t="n"/>
      <c r="I61" s="3" t="inlineStr">
        <is>
          <t>1 Unit</t>
        </is>
      </c>
      <c r="J61" s="4" t="n"/>
      <c r="K61" s="3" t="n">
        <v>2018</v>
      </c>
      <c r="L61" s="5" t="n"/>
      <c r="M61" s="5" t="n">
        <v>1250000</v>
      </c>
      <c r="N61" s="3" t="n"/>
      <c r="O61" s="3" t="n">
        <v>4</v>
      </c>
      <c r="P61" s="5" t="n">
        <v>1250000</v>
      </c>
      <c r="Q61" s="5" t="n">
        <v>0</v>
      </c>
      <c r="R61" s="3" t="inlineStr"/>
      <c r="S61" s="3" t="inlineStr">
        <is>
          <t>Aktif</t>
        </is>
      </c>
      <c r="T61" s="3" t="n"/>
      <c r="U61" s="3" t="inlineStr">
        <is>
          <t>LIST ASSET YPIK 2025(1).xlsx | Inv. TKIA</t>
        </is>
      </c>
    </row>
    <row r="62">
      <c r="A62" s="3" t="n">
        <v>59</v>
      </c>
      <c r="B62" s="3" t="n"/>
      <c r="C62" s="3" t="inlineStr">
        <is>
          <t>TKIA 24 JATIKRAMAT</t>
        </is>
      </c>
      <c r="D62" s="3" t="n"/>
      <c r="E62" s="3" t="inlineStr">
        <is>
          <t>Loker Murid</t>
        </is>
      </c>
      <c r="F62" s="3" t="inlineStr">
        <is>
          <t>Loker Murid</t>
        </is>
      </c>
      <c r="G62" s="3" t="n"/>
      <c r="H62" s="3" t="n"/>
      <c r="I62" s="3" t="inlineStr">
        <is>
          <t>3 Unit</t>
        </is>
      </c>
      <c r="J62" s="4" t="n"/>
      <c r="K62" s="3" t="n">
        <v>2018</v>
      </c>
      <c r="L62" s="5" t="n"/>
      <c r="M62" s="5" t="n">
        <v>7500000</v>
      </c>
      <c r="N62" s="3" t="n"/>
      <c r="O62" s="3" t="n">
        <v>4</v>
      </c>
      <c r="P62" s="5" t="n">
        <v>7500000</v>
      </c>
      <c r="Q62" s="5" t="n">
        <v>0</v>
      </c>
      <c r="R62" s="3" t="inlineStr"/>
      <c r="S62" s="3" t="inlineStr">
        <is>
          <t>Aktif</t>
        </is>
      </c>
      <c r="T62" s="3" t="n"/>
      <c r="U62" s="3" t="inlineStr">
        <is>
          <t>LIST ASSET YPIK 2025(1).xlsx | Inv. TKIA</t>
        </is>
      </c>
    </row>
    <row r="63">
      <c r="A63" s="3" t="n">
        <v>60</v>
      </c>
      <c r="B63" s="3" t="n"/>
      <c r="C63" s="3" t="inlineStr">
        <is>
          <t>TKIA 24 JATIKRAMAT</t>
        </is>
      </c>
      <c r="D63" s="3" t="n"/>
      <c r="E63" s="3" t="inlineStr">
        <is>
          <t>Rak Buku</t>
        </is>
      </c>
      <c r="F63" s="3" t="inlineStr">
        <is>
          <t>Rak Buku</t>
        </is>
      </c>
      <c r="G63" s="3" t="n"/>
      <c r="H63" s="3" t="n"/>
      <c r="I63" s="3" t="inlineStr">
        <is>
          <t>3 Unit</t>
        </is>
      </c>
      <c r="J63" s="4" t="n"/>
      <c r="K63" s="3" t="n">
        <v>2018</v>
      </c>
      <c r="L63" s="5" t="n"/>
      <c r="M63" s="5" t="n">
        <v>4500000</v>
      </c>
      <c r="N63" s="3" t="n"/>
      <c r="O63" s="3" t="n">
        <v>4</v>
      </c>
      <c r="P63" s="5" t="n">
        <v>4500000</v>
      </c>
      <c r="Q63" s="5" t="n">
        <v>0</v>
      </c>
      <c r="R63" s="3" t="inlineStr"/>
      <c r="S63" s="3" t="inlineStr">
        <is>
          <t>Aktif</t>
        </is>
      </c>
      <c r="T63" s="3" t="n"/>
      <c r="U63" s="3" t="inlineStr">
        <is>
          <t>LIST ASSET YPIK 2025(1).xlsx | Inv. TKIA</t>
        </is>
      </c>
    </row>
    <row r="64">
      <c r="A64" s="3" t="n">
        <v>61</v>
      </c>
      <c r="B64" s="3" t="n"/>
      <c r="C64" s="3" t="inlineStr">
        <is>
          <t>TKIA 24 JATIKRAMAT</t>
        </is>
      </c>
      <c r="D64" s="3" t="n"/>
      <c r="E64" s="3" t="inlineStr">
        <is>
          <t>Kitchen Set Anak</t>
        </is>
      </c>
      <c r="F64" s="3" t="inlineStr">
        <is>
          <t>Kitchen Set Anak</t>
        </is>
      </c>
      <c r="G64" s="3" t="n"/>
      <c r="H64" s="3" t="n"/>
      <c r="I64" s="3" t="inlineStr">
        <is>
          <t>1 Unit</t>
        </is>
      </c>
      <c r="J64" s="4" t="n"/>
      <c r="K64" s="3" t="n">
        <v>2018</v>
      </c>
      <c r="L64" s="5" t="n"/>
      <c r="M64" s="5" t="n">
        <v>3000000</v>
      </c>
      <c r="N64" s="3" t="n"/>
      <c r="O64" s="3" t="n">
        <v>4</v>
      </c>
      <c r="P64" s="5" t="n">
        <v>3000000</v>
      </c>
      <c r="Q64" s="5" t="n">
        <v>0</v>
      </c>
      <c r="R64" s="3" t="inlineStr"/>
      <c r="S64" s="3" t="inlineStr">
        <is>
          <t>Aktif</t>
        </is>
      </c>
      <c r="T64" s="3" t="n"/>
      <c r="U64" s="3" t="inlineStr">
        <is>
          <t>LIST ASSET YPIK 2025(1).xlsx | Inv. TKIA</t>
        </is>
      </c>
    </row>
    <row r="65">
      <c r="A65" s="3" t="n">
        <v>62</v>
      </c>
      <c r="B65" s="3" t="n"/>
      <c r="C65" s="3" t="inlineStr">
        <is>
          <t>TKIA 24 JATIKRAMAT</t>
        </is>
      </c>
      <c r="D65" s="3" t="n"/>
      <c r="E65" s="3" t="inlineStr">
        <is>
          <t>Meja Bundar</t>
        </is>
      </c>
      <c r="F65" s="3" t="inlineStr">
        <is>
          <t>Meja Bundar</t>
        </is>
      </c>
      <c r="G65" s="3" t="n"/>
      <c r="H65" s="3" t="n"/>
      <c r="I65" s="3" t="inlineStr">
        <is>
          <t>2 Unit</t>
        </is>
      </c>
      <c r="J65" s="4" t="n"/>
      <c r="K65" s="3" t="n">
        <v>2018</v>
      </c>
      <c r="L65" s="5" t="n"/>
      <c r="M65" s="5" t="n">
        <v>3000000</v>
      </c>
      <c r="N65" s="3" t="n"/>
      <c r="O65" s="3" t="n">
        <v>4</v>
      </c>
      <c r="P65" s="5" t="n">
        <v>3000000</v>
      </c>
      <c r="Q65" s="5" t="n">
        <v>0</v>
      </c>
      <c r="R65" s="3" t="inlineStr"/>
      <c r="S65" s="3" t="inlineStr">
        <is>
          <t>Aktif</t>
        </is>
      </c>
      <c r="T65" s="3" t="n"/>
      <c r="U65" s="3" t="inlineStr">
        <is>
          <t>LIST ASSET YPIK 2025(1).xlsx | Inv. TKIA</t>
        </is>
      </c>
    </row>
    <row r="66">
      <c r="A66" s="3" t="n">
        <v>63</v>
      </c>
      <c r="B66" s="3" t="n"/>
      <c r="C66" s="3" t="inlineStr">
        <is>
          <t>TKIA 24 JATIKRAMAT</t>
        </is>
      </c>
      <c r="D66" s="3" t="n"/>
      <c r="E66" s="3" t="inlineStr">
        <is>
          <t>Meja Bundar</t>
        </is>
      </c>
      <c r="F66" s="3" t="inlineStr">
        <is>
          <t>Meja Bundar</t>
        </is>
      </c>
      <c r="G66" s="3" t="n"/>
      <c r="H66" s="3" t="n"/>
      <c r="I66" s="3" t="inlineStr">
        <is>
          <t>1 Unit</t>
        </is>
      </c>
      <c r="J66" s="4" t="n"/>
      <c r="K66" s="3" t="n">
        <v>2018</v>
      </c>
      <c r="L66" s="5" t="n"/>
      <c r="M66" s="5" t="n">
        <v>1500000</v>
      </c>
      <c r="N66" s="3" t="n"/>
      <c r="O66" s="3" t="n">
        <v>4</v>
      </c>
      <c r="P66" s="5" t="n">
        <v>1500000</v>
      </c>
      <c r="Q66" s="5" t="n">
        <v>0</v>
      </c>
      <c r="R66" s="3" t="inlineStr"/>
      <c r="S66" s="3" t="inlineStr">
        <is>
          <t>Aktif</t>
        </is>
      </c>
      <c r="T66" s="3" t="n"/>
      <c r="U66" s="3" t="inlineStr">
        <is>
          <t>LIST ASSET YPIK 2025(1).xlsx | Inv. TKIA</t>
        </is>
      </c>
    </row>
    <row r="67">
      <c r="A67" s="3" t="n">
        <v>64</v>
      </c>
      <c r="B67" s="3" t="n"/>
      <c r="C67" s="3" t="inlineStr">
        <is>
          <t>TKIA 24 JATIKRAMAT</t>
        </is>
      </c>
      <c r="D67" s="3" t="n"/>
      <c r="E67" s="3" t="inlineStr">
        <is>
          <t>Kursi Murid</t>
        </is>
      </c>
      <c r="F67" s="3" t="inlineStr">
        <is>
          <t>Kursi Murid</t>
        </is>
      </c>
      <c r="G67" s="3" t="n"/>
      <c r="H67" s="3" t="n"/>
      <c r="I67" s="3" t="inlineStr">
        <is>
          <t>3 Unit</t>
        </is>
      </c>
      <c r="J67" s="4" t="n"/>
      <c r="K67" s="3" t="n">
        <v>2018</v>
      </c>
      <c r="L67" s="5" t="n"/>
      <c r="M67" s="5" t="n">
        <v>2250000</v>
      </c>
      <c r="N67" s="3" t="n"/>
      <c r="O67" s="3" t="n">
        <v>4</v>
      </c>
      <c r="P67" s="5" t="n">
        <v>2250000</v>
      </c>
      <c r="Q67" s="5" t="n">
        <v>0</v>
      </c>
      <c r="R67" s="3" t="inlineStr"/>
      <c r="S67" s="3" t="inlineStr">
        <is>
          <t>Aktif</t>
        </is>
      </c>
      <c r="T67" s="3" t="n"/>
      <c r="U67" s="3" t="inlineStr">
        <is>
          <t>LIST ASSET YPIK 2025(1).xlsx | Inv. TKIA</t>
        </is>
      </c>
    </row>
    <row r="68">
      <c r="A68" s="3" t="n">
        <v>65</v>
      </c>
      <c r="B68" s="3" t="n"/>
      <c r="C68" s="3" t="inlineStr">
        <is>
          <t>TKIA 24 JATIKRAMAT</t>
        </is>
      </c>
      <c r="D68" s="3" t="n"/>
      <c r="E68" s="3" t="inlineStr">
        <is>
          <t>Meja Persegi</t>
        </is>
      </c>
      <c r="F68" s="3" t="inlineStr">
        <is>
          <t>Meja Persegi</t>
        </is>
      </c>
      <c r="G68" s="3" t="n"/>
      <c r="H68" s="3" t="n"/>
      <c r="I68" s="3" t="inlineStr">
        <is>
          <t>1 Unit</t>
        </is>
      </c>
      <c r="J68" s="4" t="n"/>
      <c r="K68" s="3" t="n">
        <v>2018</v>
      </c>
      <c r="L68" s="5" t="n"/>
      <c r="M68" s="5" t="n">
        <v>750000</v>
      </c>
      <c r="N68" s="3" t="n"/>
      <c r="O68" s="3" t="n">
        <v>4</v>
      </c>
      <c r="P68" s="5" t="n">
        <v>750000</v>
      </c>
      <c r="Q68" s="5" t="n">
        <v>0</v>
      </c>
      <c r="R68" s="3" t="inlineStr"/>
      <c r="S68" s="3" t="inlineStr">
        <is>
          <t>Aktif</t>
        </is>
      </c>
      <c r="T68" s="3" t="n"/>
      <c r="U68" s="3" t="inlineStr">
        <is>
          <t>LIST ASSET YPIK 2025(1).xlsx | Inv. TKIA</t>
        </is>
      </c>
    </row>
    <row r="69">
      <c r="A69" s="3" t="n">
        <v>66</v>
      </c>
      <c r="B69" s="3" t="n"/>
      <c r="C69" s="3" t="inlineStr">
        <is>
          <t>TKIA 24 JATIKRAMAT</t>
        </is>
      </c>
      <c r="D69" s="3" t="n"/>
      <c r="E69" s="3" t="inlineStr">
        <is>
          <t>Whiteboard</t>
        </is>
      </c>
      <c r="F69" s="3" t="inlineStr">
        <is>
          <t>Whiteboard</t>
        </is>
      </c>
      <c r="G69" s="3" t="n"/>
      <c r="H69" s="3" t="n"/>
      <c r="I69" s="3" t="inlineStr">
        <is>
          <t>1 Unit</t>
        </is>
      </c>
      <c r="J69" s="4" t="n"/>
      <c r="K69" s="3" t="n">
        <v>2018</v>
      </c>
      <c r="L69" s="5" t="n"/>
      <c r="M69" s="5" t="n">
        <v>700000</v>
      </c>
      <c r="N69" s="3" t="n"/>
      <c r="O69" s="3" t="n">
        <v>4</v>
      </c>
      <c r="P69" s="5" t="n">
        <v>700000</v>
      </c>
      <c r="Q69" s="5" t="n">
        <v>0</v>
      </c>
      <c r="R69" s="3" t="inlineStr"/>
      <c r="S69" s="3" t="inlineStr">
        <is>
          <t>Aktif</t>
        </is>
      </c>
      <c r="T69" s="3" t="n"/>
      <c r="U69" s="3" t="inlineStr">
        <is>
          <t>LIST ASSET YPIK 2025(1).xlsx | Inv. TKIA</t>
        </is>
      </c>
    </row>
    <row r="70">
      <c r="A70" s="3" t="n">
        <v>67</v>
      </c>
      <c r="B70" s="3" t="n"/>
      <c r="C70" s="3" t="inlineStr">
        <is>
          <t>TKIA 24 JATIKRAMAT</t>
        </is>
      </c>
      <c r="D70" s="3" t="n"/>
      <c r="E70" s="3" t="inlineStr">
        <is>
          <t>Locker Murid</t>
        </is>
      </c>
      <c r="F70" s="3" t="inlineStr">
        <is>
          <t>Locker Murid</t>
        </is>
      </c>
      <c r="G70" s="3" t="n"/>
      <c r="H70" s="3" t="n"/>
      <c r="I70" s="3" t="inlineStr">
        <is>
          <t>12 Unit</t>
        </is>
      </c>
      <c r="J70" s="4" t="n"/>
      <c r="K70" s="3" t="n">
        <v>2018</v>
      </c>
      <c r="L70" s="5" t="n"/>
      <c r="M70" s="5" t="n">
        <v>18000000</v>
      </c>
      <c r="N70" s="3" t="n"/>
      <c r="O70" s="3" t="n">
        <v>4</v>
      </c>
      <c r="P70" s="5" t="n">
        <v>18000000</v>
      </c>
      <c r="Q70" s="5" t="n">
        <v>0</v>
      </c>
      <c r="R70" s="3" t="inlineStr"/>
      <c r="S70" s="3" t="inlineStr">
        <is>
          <t>Aktif</t>
        </is>
      </c>
      <c r="T70" s="3" t="n"/>
      <c r="U70" s="3" t="inlineStr">
        <is>
          <t>LIST ASSET YPIK 2025(1).xlsx | Inv. TKIA</t>
        </is>
      </c>
    </row>
    <row r="71">
      <c r="A71" s="3" t="n">
        <v>68</v>
      </c>
      <c r="B71" s="3" t="n"/>
      <c r="C71" s="3" t="inlineStr">
        <is>
          <t>TKIA 24 JATIKRAMAT</t>
        </is>
      </c>
      <c r="D71" s="3" t="n"/>
      <c r="E71" s="3" t="inlineStr">
        <is>
          <t>Rak Buku Murid</t>
        </is>
      </c>
      <c r="F71" s="3" t="inlineStr">
        <is>
          <t>Rak Buku Murid</t>
        </is>
      </c>
      <c r="G71" s="3" t="n"/>
      <c r="H71" s="3" t="n"/>
      <c r="I71" s="3" t="inlineStr">
        <is>
          <t>8 Unit</t>
        </is>
      </c>
      <c r="J71" s="4" t="n"/>
      <c r="K71" s="3" t="n">
        <v>2018</v>
      </c>
      <c r="L71" s="5" t="n"/>
      <c r="M71" s="5" t="n">
        <v>12000000</v>
      </c>
      <c r="N71" s="3" t="n"/>
      <c r="O71" s="3" t="n">
        <v>4</v>
      </c>
      <c r="P71" s="5" t="n">
        <v>12000000</v>
      </c>
      <c r="Q71" s="5" t="n">
        <v>0</v>
      </c>
      <c r="R71" s="3" t="inlineStr"/>
      <c r="S71" s="3" t="inlineStr">
        <is>
          <t>Aktif</t>
        </is>
      </c>
      <c r="T71" s="3" t="n"/>
      <c r="U71" s="3" t="inlineStr">
        <is>
          <t>LIST ASSET YPIK 2025(1).xlsx | Inv. TKIA</t>
        </is>
      </c>
    </row>
    <row r="72">
      <c r="A72" s="3" t="n">
        <v>69</v>
      </c>
      <c r="B72" s="3" t="n"/>
      <c r="C72" s="3" t="inlineStr">
        <is>
          <t>TKIA 24 JATIKRAMAT</t>
        </is>
      </c>
      <c r="D72" s="3" t="n"/>
      <c r="E72" s="3" t="inlineStr">
        <is>
          <t>Lemari</t>
        </is>
      </c>
      <c r="F72" s="3" t="inlineStr">
        <is>
          <t>Lemari</t>
        </is>
      </c>
      <c r="G72" s="3" t="n"/>
      <c r="H72" s="3" t="n"/>
      <c r="I72" s="3" t="inlineStr">
        <is>
          <t>2 Unit</t>
        </is>
      </c>
      <c r="J72" s="4" t="n"/>
      <c r="K72" s="3" t="n">
        <v>2018</v>
      </c>
      <c r="L72" s="5" t="n"/>
      <c r="M72" s="5" t="n">
        <v>4000000</v>
      </c>
      <c r="N72" s="3" t="n"/>
      <c r="O72" s="3" t="n">
        <v>4</v>
      </c>
      <c r="P72" s="5" t="n">
        <v>4000000</v>
      </c>
      <c r="Q72" s="5" t="n">
        <v>0</v>
      </c>
      <c r="R72" s="3" t="inlineStr"/>
      <c r="S72" s="3" t="inlineStr">
        <is>
          <t>Aktif</t>
        </is>
      </c>
      <c r="T72" s="3" t="n"/>
      <c r="U72" s="3" t="inlineStr">
        <is>
          <t>LIST ASSET YPIK 2025(1).xlsx | Inv. TKIA</t>
        </is>
      </c>
    </row>
    <row r="73">
      <c r="A73" s="3" t="n">
        <v>70</v>
      </c>
      <c r="B73" s="3" t="n"/>
      <c r="C73" s="3" t="inlineStr">
        <is>
          <t>TKIA 24 JATIKRAMAT</t>
        </is>
      </c>
      <c r="D73" s="3" t="n"/>
      <c r="E73" s="3" t="inlineStr">
        <is>
          <t>Meja Bundar</t>
        </is>
      </c>
      <c r="F73" s="3" t="inlineStr">
        <is>
          <t>Meja Bundar</t>
        </is>
      </c>
      <c r="G73" s="3" t="n"/>
      <c r="H73" s="3" t="n"/>
      <c r="I73" s="3" t="inlineStr">
        <is>
          <t>1 Unit</t>
        </is>
      </c>
      <c r="J73" s="4" t="n"/>
      <c r="K73" s="3" t="n">
        <v>2018</v>
      </c>
      <c r="L73" s="5" t="n"/>
      <c r="M73" s="5" t="n">
        <v>1500000</v>
      </c>
      <c r="N73" s="3" t="n"/>
      <c r="O73" s="3" t="n">
        <v>4</v>
      </c>
      <c r="P73" s="5" t="n">
        <v>1500000</v>
      </c>
      <c r="Q73" s="5" t="n">
        <v>0</v>
      </c>
      <c r="R73" s="3" t="inlineStr"/>
      <c r="S73" s="3" t="inlineStr">
        <is>
          <t>Aktif</t>
        </is>
      </c>
      <c r="T73" s="3" t="n"/>
      <c r="U73" s="3" t="inlineStr">
        <is>
          <t>LIST ASSET YPIK 2025(1).xlsx | Inv. TKIA</t>
        </is>
      </c>
    </row>
    <row r="74">
      <c r="A74" s="3" t="n">
        <v>71</v>
      </c>
      <c r="B74" s="3" t="n"/>
      <c r="C74" s="3" t="inlineStr">
        <is>
          <t>TKIA 24 JATIKRAMAT</t>
        </is>
      </c>
      <c r="D74" s="3" t="n"/>
      <c r="E74" s="3" t="inlineStr">
        <is>
          <t>Meja Bundar</t>
        </is>
      </c>
      <c r="F74" s="3" t="inlineStr">
        <is>
          <t>Meja Bundar</t>
        </is>
      </c>
      <c r="G74" s="3" t="n"/>
      <c r="H74" s="3" t="n"/>
      <c r="I74" s="3" t="inlineStr">
        <is>
          <t>2 Unit</t>
        </is>
      </c>
      <c r="J74" s="4" t="n"/>
      <c r="K74" s="3" t="n">
        <v>2018</v>
      </c>
      <c r="L74" s="5" t="n"/>
      <c r="M74" s="5" t="n">
        <v>2400000</v>
      </c>
      <c r="N74" s="3" t="n"/>
      <c r="O74" s="3" t="n">
        <v>4</v>
      </c>
      <c r="P74" s="5" t="n">
        <v>2400000</v>
      </c>
      <c r="Q74" s="5" t="n">
        <v>0</v>
      </c>
      <c r="R74" s="3" t="inlineStr"/>
      <c r="S74" s="3" t="inlineStr">
        <is>
          <t>Aktif</t>
        </is>
      </c>
      <c r="T74" s="3" t="n"/>
      <c r="U74" s="3" t="inlineStr">
        <is>
          <t>LIST ASSET YPIK 2025(1).xlsx | Inv. TKIA</t>
        </is>
      </c>
    </row>
    <row r="75">
      <c r="A75" s="3" t="n">
        <v>72</v>
      </c>
      <c r="B75" s="3" t="n"/>
      <c r="C75" s="3" t="inlineStr">
        <is>
          <t>TKIA 24 JATIKRAMAT</t>
        </is>
      </c>
      <c r="D75" s="3" t="n"/>
      <c r="E75" s="3" t="inlineStr">
        <is>
          <t>Meja Persegi</t>
        </is>
      </c>
      <c r="F75" s="3" t="inlineStr">
        <is>
          <t>Meja Persegi</t>
        </is>
      </c>
      <c r="G75" s="3" t="n"/>
      <c r="H75" s="3" t="n"/>
      <c r="I75" s="3" t="inlineStr">
        <is>
          <t>1 Unit</t>
        </is>
      </c>
      <c r="J75" s="4" t="n"/>
      <c r="K75" s="3" t="n">
        <v>2018</v>
      </c>
      <c r="L75" s="5" t="n"/>
      <c r="M75" s="5" t="n">
        <v>750000</v>
      </c>
      <c r="N75" s="3" t="n"/>
      <c r="O75" s="3" t="n">
        <v>4</v>
      </c>
      <c r="P75" s="5" t="n">
        <v>750000</v>
      </c>
      <c r="Q75" s="5" t="n">
        <v>0</v>
      </c>
      <c r="R75" s="3" t="inlineStr"/>
      <c r="S75" s="3" t="inlineStr">
        <is>
          <t>Aktif</t>
        </is>
      </c>
      <c r="T75" s="3" t="n"/>
      <c r="U75" s="3" t="inlineStr">
        <is>
          <t>LIST ASSET YPIK 2025(1).xlsx | Inv. TKIA</t>
        </is>
      </c>
    </row>
    <row r="76">
      <c r="A76" s="3" t="n">
        <v>73</v>
      </c>
      <c r="B76" s="3" t="n"/>
      <c r="C76" s="3" t="inlineStr">
        <is>
          <t>TKIA 24 JATIKRAMAT</t>
        </is>
      </c>
      <c r="D76" s="3" t="n"/>
      <c r="E76" s="3" t="inlineStr">
        <is>
          <t>Kitchenset Anak</t>
        </is>
      </c>
      <c r="F76" s="3" t="inlineStr">
        <is>
          <t>Kitchenset Anak</t>
        </is>
      </c>
      <c r="G76" s="3" t="n"/>
      <c r="H76" s="3" t="n"/>
      <c r="I76" s="3" t="inlineStr">
        <is>
          <t>1 Unit</t>
        </is>
      </c>
      <c r="J76" s="4" t="n"/>
      <c r="K76" s="3" t="n">
        <v>2018</v>
      </c>
      <c r="L76" s="5" t="n"/>
      <c r="M76" s="5" t="n">
        <v>2500000</v>
      </c>
      <c r="N76" s="3" t="n"/>
      <c r="O76" s="3" t="n">
        <v>4</v>
      </c>
      <c r="P76" s="5" t="n">
        <v>2500000</v>
      </c>
      <c r="Q76" s="5" t="n">
        <v>0</v>
      </c>
      <c r="R76" s="3" t="inlineStr"/>
      <c r="S76" s="3" t="inlineStr">
        <is>
          <t>Aktif</t>
        </is>
      </c>
      <c r="T76" s="3" t="n"/>
      <c r="U76" s="3" t="inlineStr">
        <is>
          <t>LIST ASSET YPIK 2025(1).xlsx | Inv. TKIA</t>
        </is>
      </c>
    </row>
    <row r="77">
      <c r="A77" s="3" t="n">
        <v>74</v>
      </c>
      <c r="B77" s="3" t="n"/>
      <c r="C77" s="3" t="inlineStr">
        <is>
          <t>TKIA 24 JATIKRAMAT</t>
        </is>
      </c>
      <c r="D77" s="3" t="n"/>
      <c r="E77" s="3" t="inlineStr">
        <is>
          <t>Meja Persegi</t>
        </is>
      </c>
      <c r="F77" s="3" t="inlineStr">
        <is>
          <t>Meja Persegi</t>
        </is>
      </c>
      <c r="G77" s="3" t="n"/>
      <c r="H77" s="3" t="n"/>
      <c r="I77" s="3" t="inlineStr">
        <is>
          <t>1 Unit</t>
        </is>
      </c>
      <c r="J77" s="4" t="n"/>
      <c r="K77" s="3" t="n">
        <v>2018</v>
      </c>
      <c r="L77" s="5" t="n"/>
      <c r="M77" s="5" t="n">
        <v>750000</v>
      </c>
      <c r="N77" s="3" t="n"/>
      <c r="O77" s="3" t="n">
        <v>4</v>
      </c>
      <c r="P77" s="5" t="n">
        <v>750000</v>
      </c>
      <c r="Q77" s="5" t="n">
        <v>0</v>
      </c>
      <c r="R77" s="3" t="inlineStr"/>
      <c r="S77" s="3" t="inlineStr">
        <is>
          <t>Aktif</t>
        </is>
      </c>
      <c r="T77" s="3" t="n"/>
      <c r="U77" s="3" t="inlineStr">
        <is>
          <t>LIST ASSET YPIK 2025(1).xlsx | Inv. TKIA</t>
        </is>
      </c>
    </row>
    <row r="78">
      <c r="A78" s="3" t="n">
        <v>75</v>
      </c>
      <c r="B78" s="3" t="n"/>
      <c r="C78" s="3" t="inlineStr">
        <is>
          <t>TKIA 24 JATIKRAMAT</t>
        </is>
      </c>
      <c r="D78" s="3" t="n"/>
      <c r="E78" s="3" t="inlineStr">
        <is>
          <t>White Board</t>
        </is>
      </c>
      <c r="F78" s="3" t="inlineStr">
        <is>
          <t>White Board</t>
        </is>
      </c>
      <c r="G78" s="3" t="n"/>
      <c r="H78" s="3" t="n"/>
      <c r="I78" s="3" t="inlineStr">
        <is>
          <t>1 Unit</t>
        </is>
      </c>
      <c r="J78" s="4" t="n"/>
      <c r="K78" s="3" t="n">
        <v>2018</v>
      </c>
      <c r="L78" s="5" t="n"/>
      <c r="M78" s="5" t="n">
        <v>700000</v>
      </c>
      <c r="N78" s="3" t="n"/>
      <c r="O78" s="3" t="n">
        <v>4</v>
      </c>
      <c r="P78" s="5" t="n">
        <v>700000</v>
      </c>
      <c r="Q78" s="5" t="n">
        <v>0</v>
      </c>
      <c r="R78" s="3" t="inlineStr"/>
      <c r="S78" s="3" t="inlineStr">
        <is>
          <t>Aktif</t>
        </is>
      </c>
      <c r="T78" s="3" t="n"/>
      <c r="U78" s="3" t="inlineStr">
        <is>
          <t>LIST ASSET YPIK 2025(1).xlsx | Inv. TKIA</t>
        </is>
      </c>
    </row>
    <row r="79">
      <c r="A79" s="3" t="n">
        <v>76</v>
      </c>
      <c r="B79" s="3" t="n"/>
      <c r="C79" s="3" t="inlineStr">
        <is>
          <t>TKIA 24 JATIKRAMAT</t>
        </is>
      </c>
      <c r="D79" s="3" t="n"/>
      <c r="E79" s="3" t="inlineStr">
        <is>
          <t>Tenda Manasik</t>
        </is>
      </c>
      <c r="F79" s="3" t="inlineStr">
        <is>
          <t>Tenda Manasik</t>
        </is>
      </c>
      <c r="G79" s="3" t="n"/>
      <c r="H79" s="3" t="n"/>
      <c r="I79" s="3" t="inlineStr">
        <is>
          <t>1 Unit</t>
        </is>
      </c>
      <c r="J79" s="4" t="n"/>
      <c r="K79" s="3" t="n">
        <v>2018</v>
      </c>
      <c r="L79" s="5" t="n"/>
      <c r="M79" s="5" t="n">
        <v>1500000</v>
      </c>
      <c r="N79" s="3" t="n"/>
      <c r="O79" s="3" t="n">
        <v>4</v>
      </c>
      <c r="P79" s="5" t="n">
        <v>1500000</v>
      </c>
      <c r="Q79" s="5" t="n">
        <v>0</v>
      </c>
      <c r="R79" s="3" t="inlineStr"/>
      <c r="S79" s="3" t="inlineStr">
        <is>
          <t>Aktif</t>
        </is>
      </c>
      <c r="T79" s="3" t="n"/>
      <c r="U79" s="3" t="inlineStr">
        <is>
          <t>LIST ASSET YPIK 2025(1).xlsx | Inv. TKIA</t>
        </is>
      </c>
    </row>
    <row r="80">
      <c r="A80" s="3" t="n">
        <v>77</v>
      </c>
      <c r="B80" s="3" t="n"/>
      <c r="C80" s="3" t="inlineStr">
        <is>
          <t>TKIA 24 JATIKRAMAT</t>
        </is>
      </c>
      <c r="D80" s="3" t="n"/>
      <c r="E80" s="3" t="inlineStr">
        <is>
          <t>Kontainer - BOX</t>
        </is>
      </c>
      <c r="F80" s="3" t="inlineStr">
        <is>
          <t>Kontainer - BOX</t>
        </is>
      </c>
      <c r="G80" s="3" t="n"/>
      <c r="H80" s="3" t="n"/>
      <c r="I80" s="3" t="inlineStr">
        <is>
          <t>7 Unit</t>
        </is>
      </c>
      <c r="J80" s="4" t="n"/>
      <c r="K80" s="3" t="n">
        <v>2018</v>
      </c>
      <c r="L80" s="5" t="n"/>
      <c r="M80" s="5" t="n">
        <v>5250000</v>
      </c>
      <c r="N80" s="3" t="n"/>
      <c r="O80" s="3" t="n">
        <v>4</v>
      </c>
      <c r="P80" s="5" t="n">
        <v>5250000</v>
      </c>
      <c r="Q80" s="5" t="n">
        <v>0</v>
      </c>
      <c r="R80" s="3" t="inlineStr"/>
      <c r="S80" s="3" t="inlineStr">
        <is>
          <t>Aktif</t>
        </is>
      </c>
      <c r="T80" s="3" t="n"/>
      <c r="U80" s="3" t="inlineStr">
        <is>
          <t>LIST ASSET YPIK 2025(1).xlsx | Inv. TKIA</t>
        </is>
      </c>
    </row>
    <row r="81">
      <c r="A81" s="3" t="n">
        <v>78</v>
      </c>
      <c r="B81" s="3" t="n"/>
      <c r="C81" s="3" t="inlineStr">
        <is>
          <t>TKIA 24 JATIKRAMAT</t>
        </is>
      </c>
      <c r="D81" s="3" t="n"/>
      <c r="E81" s="3" t="inlineStr">
        <is>
          <t>Loker Sepatu Murid</t>
        </is>
      </c>
      <c r="F81" s="3" t="inlineStr">
        <is>
          <t>Loker Sepatu Murid</t>
        </is>
      </c>
      <c r="G81" s="3" t="n"/>
      <c r="H81" s="3" t="n"/>
      <c r="I81" s="3" t="inlineStr">
        <is>
          <t>6 Unit</t>
        </is>
      </c>
      <c r="J81" s="4" t="n"/>
      <c r="K81" s="3" t="n">
        <v>2018</v>
      </c>
      <c r="L81" s="5" t="n"/>
      <c r="M81" s="5" t="n">
        <v>6000000</v>
      </c>
      <c r="N81" s="3" t="n"/>
      <c r="O81" s="3" t="n">
        <v>4</v>
      </c>
      <c r="P81" s="5" t="n">
        <v>6000000</v>
      </c>
      <c r="Q81" s="5" t="n">
        <v>0</v>
      </c>
      <c r="R81" s="3" t="inlineStr"/>
      <c r="S81" s="3" t="inlineStr">
        <is>
          <t>Aktif</t>
        </is>
      </c>
      <c r="T81" s="3" t="n"/>
      <c r="U81" s="3" t="inlineStr">
        <is>
          <t>LIST ASSET YPIK 2025(1).xlsx | Inv. TKIA</t>
        </is>
      </c>
    </row>
    <row r="82">
      <c r="A82" s="3" t="n">
        <v>79</v>
      </c>
      <c r="B82" s="3" t="n"/>
      <c r="C82" s="3" t="inlineStr">
        <is>
          <t>TKIA 24 JATIKRAMAT</t>
        </is>
      </c>
      <c r="D82" s="3" t="n"/>
      <c r="E82" s="3" t="inlineStr">
        <is>
          <t>Rak Sepatu Murid</t>
        </is>
      </c>
      <c r="F82" s="3" t="inlineStr">
        <is>
          <t>Rak Sepatu Murid</t>
        </is>
      </c>
      <c r="G82" s="3" t="n"/>
      <c r="H82" s="3" t="n"/>
      <c r="I82" s="3" t="inlineStr">
        <is>
          <t>2 Unit</t>
        </is>
      </c>
      <c r="J82" s="4" t="n"/>
      <c r="K82" s="3" t="n">
        <v>2018</v>
      </c>
      <c r="L82" s="5" t="n"/>
      <c r="M82" s="5" t="n">
        <v>5000000</v>
      </c>
      <c r="N82" s="3" t="n"/>
      <c r="O82" s="3" t="n">
        <v>4</v>
      </c>
      <c r="P82" s="5" t="n">
        <v>5000000</v>
      </c>
      <c r="Q82" s="5" t="n">
        <v>0</v>
      </c>
      <c r="R82" s="3" t="inlineStr"/>
      <c r="S82" s="3" t="inlineStr">
        <is>
          <t>Aktif</t>
        </is>
      </c>
      <c r="T82" s="3" t="n"/>
      <c r="U82" s="3" t="inlineStr">
        <is>
          <t>LIST ASSET YPIK 2025(1).xlsx | Inv. TKIA</t>
        </is>
      </c>
    </row>
    <row r="83">
      <c r="A83" s="3" t="n">
        <v>80</v>
      </c>
      <c r="B83" s="3" t="n"/>
      <c r="C83" s="3" t="inlineStr">
        <is>
          <t>TKIA 24 JATIKRAMAT</t>
        </is>
      </c>
      <c r="D83" s="3" t="n"/>
      <c r="E83" s="3" t="inlineStr">
        <is>
          <t>Meja Kecil</t>
        </is>
      </c>
      <c r="F83" s="3" t="inlineStr">
        <is>
          <t>Meja Kecil</t>
        </is>
      </c>
      <c r="G83" s="3" t="n"/>
      <c r="H83" s="3" t="n"/>
      <c r="I83" s="3" t="inlineStr">
        <is>
          <t>3 Unit</t>
        </is>
      </c>
      <c r="J83" s="4" t="n"/>
      <c r="K83" s="3" t="n">
        <v>2018</v>
      </c>
      <c r="L83" s="5" t="n"/>
      <c r="M83" s="5" t="n">
        <v>3000000</v>
      </c>
      <c r="N83" s="3" t="n"/>
      <c r="O83" s="3" t="n">
        <v>4</v>
      </c>
      <c r="P83" s="5" t="n">
        <v>3000000</v>
      </c>
      <c r="Q83" s="5" t="n">
        <v>0</v>
      </c>
      <c r="R83" s="3" t="inlineStr"/>
      <c r="S83" s="3" t="inlineStr">
        <is>
          <t>Aktif</t>
        </is>
      </c>
      <c r="T83" s="3" t="n"/>
      <c r="U83" s="3" t="inlineStr">
        <is>
          <t>LIST ASSET YPIK 2025(1).xlsx | Inv. TKIA</t>
        </is>
      </c>
    </row>
    <row r="84">
      <c r="A84" s="3" t="n">
        <v>81</v>
      </c>
      <c r="B84" s="3" t="n"/>
      <c r="C84" s="3" t="inlineStr">
        <is>
          <t>TKIA 24 JATIKRAMAT</t>
        </is>
      </c>
      <c r="D84" s="3" t="n"/>
      <c r="E84" s="3" t="inlineStr">
        <is>
          <t>Kursi Murid</t>
        </is>
      </c>
      <c r="F84" s="3" t="inlineStr">
        <is>
          <t>Kursi Murid</t>
        </is>
      </c>
      <c r="G84" s="3" t="n"/>
      <c r="H84" s="3" t="n"/>
      <c r="I84" s="3" t="inlineStr">
        <is>
          <t>17 Unit</t>
        </is>
      </c>
      <c r="J84" s="4" t="n"/>
      <c r="K84" s="3" t="n">
        <v>2018</v>
      </c>
      <c r="L84" s="5" t="n"/>
      <c r="M84" s="5" t="n">
        <v>4250000</v>
      </c>
      <c r="N84" s="3" t="n"/>
      <c r="O84" s="3" t="n">
        <v>4</v>
      </c>
      <c r="P84" s="5" t="n">
        <v>4250000</v>
      </c>
      <c r="Q84" s="5" t="n">
        <v>0</v>
      </c>
      <c r="R84" s="3" t="inlineStr"/>
      <c r="S84" s="3" t="inlineStr">
        <is>
          <t>Aktif</t>
        </is>
      </c>
      <c r="T84" s="3" t="n"/>
      <c r="U84" s="3" t="inlineStr">
        <is>
          <t>LIST ASSET YPIK 2025(1).xlsx | Inv. TKIA</t>
        </is>
      </c>
    </row>
    <row r="85">
      <c r="A85" s="3" t="n">
        <v>82</v>
      </c>
      <c r="B85" s="3" t="n"/>
      <c r="C85" s="3" t="inlineStr">
        <is>
          <t>TKIA 24 JATIKRAMAT</t>
        </is>
      </c>
      <c r="D85" s="3" t="n"/>
      <c r="E85" s="3" t="inlineStr">
        <is>
          <t>Closed Duduk</t>
        </is>
      </c>
      <c r="F85" s="3" t="inlineStr">
        <is>
          <t>Closed Duduk</t>
        </is>
      </c>
      <c r="G85" s="3" t="n"/>
      <c r="H85" s="3" t="n"/>
      <c r="I85" s="3" t="inlineStr">
        <is>
          <t>1 Unit</t>
        </is>
      </c>
      <c r="J85" s="4" t="n"/>
      <c r="K85" s="3" t="n">
        <v>2018</v>
      </c>
      <c r="L85" s="5" t="n"/>
      <c r="M85" s="5" t="n">
        <v>1600000</v>
      </c>
      <c r="N85" s="3" t="n"/>
      <c r="O85" s="3" t="n">
        <v>4</v>
      </c>
      <c r="P85" s="5" t="n">
        <v>1600000</v>
      </c>
      <c r="Q85" s="5" t="n">
        <v>0</v>
      </c>
      <c r="R85" s="3" t="inlineStr"/>
      <c r="S85" s="3" t="inlineStr">
        <is>
          <t>Aktif</t>
        </is>
      </c>
      <c r="T85" s="3" t="n"/>
      <c r="U85" s="3" t="inlineStr">
        <is>
          <t>LIST ASSET YPIK 2025(1).xlsx | Inv. TKIA</t>
        </is>
      </c>
    </row>
    <row r="86">
      <c r="A86" s="3" t="n">
        <v>83</v>
      </c>
      <c r="B86" s="3" t="n"/>
      <c r="C86" s="3" t="inlineStr">
        <is>
          <t>TKIA 24 JATIKRAMAT</t>
        </is>
      </c>
      <c r="D86" s="3" t="n"/>
      <c r="E86" s="3" t="inlineStr">
        <is>
          <t>Closed Duduk</t>
        </is>
      </c>
      <c r="F86" s="3" t="inlineStr">
        <is>
          <t>Closed Duduk</t>
        </is>
      </c>
      <c r="G86" s="3" t="n"/>
      <c r="H86" s="3" t="n"/>
      <c r="I86" s="3" t="inlineStr">
        <is>
          <t>1 Unit</t>
        </is>
      </c>
      <c r="J86" s="4" t="n"/>
      <c r="K86" s="3" t="n">
        <v>2018</v>
      </c>
      <c r="L86" s="5" t="n"/>
      <c r="M86" s="5" t="n">
        <v>1600000</v>
      </c>
      <c r="N86" s="3" t="n"/>
      <c r="O86" s="3" t="n">
        <v>4</v>
      </c>
      <c r="P86" s="5" t="n">
        <v>1600000</v>
      </c>
      <c r="Q86" s="5" t="n">
        <v>0</v>
      </c>
      <c r="R86" s="3" t="inlineStr"/>
      <c r="S86" s="3" t="inlineStr">
        <is>
          <t>Aktif</t>
        </is>
      </c>
      <c r="T86" s="3" t="n"/>
      <c r="U86" s="3" t="inlineStr">
        <is>
          <t>LIST ASSET YPIK 2025(1).xlsx | Inv. TKIA</t>
        </is>
      </c>
    </row>
    <row r="87">
      <c r="A87" s="3" t="n">
        <v>84</v>
      </c>
      <c r="B87" s="3" t="n"/>
      <c r="C87" s="3" t="inlineStr">
        <is>
          <t>TKIA 24 JATIKRAMAT</t>
        </is>
      </c>
      <c r="D87" s="3" t="n"/>
      <c r="E87" s="3" t="inlineStr">
        <is>
          <t>Washtafel</t>
        </is>
      </c>
      <c r="F87" s="3" t="inlineStr">
        <is>
          <t>Washtafel</t>
        </is>
      </c>
      <c r="G87" s="3" t="n"/>
      <c r="H87" s="3" t="n"/>
      <c r="I87" s="3" t="inlineStr">
        <is>
          <t>1 Unit</t>
        </is>
      </c>
      <c r="J87" s="4" t="n"/>
      <c r="K87" s="3" t="n">
        <v>2018</v>
      </c>
      <c r="L87" s="5" t="n"/>
      <c r="M87" s="5" t="n">
        <v>1000000</v>
      </c>
      <c r="N87" s="3" t="n"/>
      <c r="O87" s="3" t="n">
        <v>4</v>
      </c>
      <c r="P87" s="5" t="n">
        <v>1000000</v>
      </c>
      <c r="Q87" s="5" t="n">
        <v>0</v>
      </c>
      <c r="R87" s="3" t="inlineStr"/>
      <c r="S87" s="3" t="inlineStr">
        <is>
          <t>Aktif</t>
        </is>
      </c>
      <c r="T87" s="3" t="n"/>
      <c r="U87" s="3" t="inlineStr">
        <is>
          <t>LIST ASSET YPIK 2025(1).xlsx | Inv. TKIA</t>
        </is>
      </c>
    </row>
    <row r="88">
      <c r="A88" s="3" t="n">
        <v>85</v>
      </c>
      <c r="B88" s="3" t="n"/>
      <c r="C88" s="3" t="inlineStr">
        <is>
          <t>TKIA 24 JATIKRAMAT</t>
        </is>
      </c>
      <c r="D88" s="3" t="n"/>
      <c r="E88" s="3" t="inlineStr">
        <is>
          <t>Rumput Sintetis</t>
        </is>
      </c>
      <c r="F88" s="3" t="inlineStr">
        <is>
          <t>Rumput Sintetis</t>
        </is>
      </c>
      <c r="G88" s="3" t="n"/>
      <c r="H88" s="3" t="n"/>
      <c r="I88" s="3" t="inlineStr">
        <is>
          <t>100 Mtr</t>
        </is>
      </c>
      <c r="J88" s="4" t="n"/>
      <c r="K88" s="3" t="n">
        <v>2019</v>
      </c>
      <c r="L88" s="5" t="n"/>
      <c r="M88" s="5" t="n">
        <v>15000000</v>
      </c>
      <c r="N88" s="3" t="n"/>
      <c r="O88" s="3" t="n">
        <v>4</v>
      </c>
      <c r="P88" s="5" t="n">
        <v>15000000</v>
      </c>
      <c r="Q88" s="5" t="n">
        <v>0</v>
      </c>
      <c r="R88" s="3" t="inlineStr"/>
      <c r="S88" s="3" t="inlineStr">
        <is>
          <t>Aktif</t>
        </is>
      </c>
      <c r="T88" s="3" t="n"/>
      <c r="U88" s="3" t="inlineStr">
        <is>
          <t>LIST ASSET YPIK 2025(1).xlsx | Inv. TKIA</t>
        </is>
      </c>
    </row>
    <row r="89">
      <c r="A89" s="3" t="n">
        <v>86</v>
      </c>
      <c r="B89" s="3" t="n"/>
      <c r="C89" s="3" t="inlineStr">
        <is>
          <t>TKIA 24 JATIKRAMAT</t>
        </is>
      </c>
      <c r="D89" s="3" t="n"/>
      <c r="E89" s="3" t="inlineStr">
        <is>
          <t>Play House</t>
        </is>
      </c>
      <c r="F89" s="3" t="inlineStr">
        <is>
          <t>Play House</t>
        </is>
      </c>
      <c r="G89" s="3" t="n"/>
      <c r="H89" s="3" t="n"/>
      <c r="I89" s="3" t="inlineStr">
        <is>
          <t>4 Set</t>
        </is>
      </c>
      <c r="J89" s="4" t="n"/>
      <c r="K89" s="3" t="n">
        <v>2019</v>
      </c>
      <c r="L89" s="5" t="n"/>
      <c r="M89" s="5" t="n">
        <v>29064844</v>
      </c>
      <c r="N89" s="3" t="n"/>
      <c r="O89" s="3" t="n">
        <v>4</v>
      </c>
      <c r="P89" s="5" t="n">
        <v>29064844</v>
      </c>
      <c r="Q89" s="5" t="n">
        <v>0</v>
      </c>
      <c r="R89" s="3" t="inlineStr"/>
      <c r="S89" s="3" t="inlineStr">
        <is>
          <t>Aktif</t>
        </is>
      </c>
      <c r="T89" s="3" t="n"/>
      <c r="U89" s="3" t="inlineStr">
        <is>
          <t>LIST ASSET YPIK 2025(1).xlsx | Inv. TKIA</t>
        </is>
      </c>
    </row>
    <row r="90">
      <c r="A90" s="3" t="n">
        <v>87</v>
      </c>
      <c r="B90" s="3" t="n"/>
      <c r="C90" s="3" t="inlineStr">
        <is>
          <t>TKIA 24 JATIKRAMAT</t>
        </is>
      </c>
      <c r="D90" s="3" t="n"/>
      <c r="E90" s="3" t="inlineStr">
        <is>
          <t>Locker Murid</t>
        </is>
      </c>
      <c r="F90" s="3" t="inlineStr">
        <is>
          <t>Locker Murid</t>
        </is>
      </c>
      <c r="G90" s="3" t="n"/>
      <c r="H90" s="3" t="n"/>
      <c r="I90" s="3" t="inlineStr">
        <is>
          <t>1 Unit</t>
        </is>
      </c>
      <c r="J90" s="4" t="n"/>
      <c r="K90" s="3" t="n">
        <v>2020</v>
      </c>
      <c r="L90" s="5" t="n"/>
      <c r="M90" s="5" t="n">
        <v>5560000</v>
      </c>
      <c r="N90" s="3" t="n"/>
      <c r="O90" s="3" t="n">
        <v>4</v>
      </c>
      <c r="P90" s="5" t="n">
        <v>5560000</v>
      </c>
      <c r="Q90" s="5" t="n">
        <v>0</v>
      </c>
      <c r="R90" s="3" t="inlineStr"/>
      <c r="S90" s="3" t="inlineStr">
        <is>
          <t>Aktif</t>
        </is>
      </c>
      <c r="T90" s="3" t="n"/>
      <c r="U90" s="3" t="inlineStr">
        <is>
          <t>LIST ASSET YPIK 2025(1).xlsx | Inv. TKIA</t>
        </is>
      </c>
    </row>
    <row r="91">
      <c r="A91" s="3" t="n">
        <v>88</v>
      </c>
      <c r="B91" s="3" t="n"/>
      <c r="C91" s="3" t="inlineStr">
        <is>
          <t>TKIA 24 JATIKRAMAT</t>
        </is>
      </c>
      <c r="D91" s="3" t="n"/>
      <c r="E91" s="3" t="inlineStr">
        <is>
          <t>Kursi TU</t>
        </is>
      </c>
      <c r="F91" s="3" t="inlineStr">
        <is>
          <t>Kursi TU</t>
        </is>
      </c>
      <c r="G91" s="3" t="n"/>
      <c r="H91" s="3" t="n"/>
      <c r="I91" s="3" t="inlineStr">
        <is>
          <t>1 Unit</t>
        </is>
      </c>
      <c r="J91" s="4" t="n"/>
      <c r="K91" s="3" t="n">
        <v>2020</v>
      </c>
      <c r="L91" s="5" t="n"/>
      <c r="M91" s="5" t="n">
        <v>1950000</v>
      </c>
      <c r="N91" s="3" t="n"/>
      <c r="O91" s="3" t="n">
        <v>4</v>
      </c>
      <c r="P91" s="5" t="n">
        <v>1950000</v>
      </c>
      <c r="Q91" s="5" t="n">
        <v>0</v>
      </c>
      <c r="R91" s="3" t="inlineStr"/>
      <c r="S91" s="3" t="inlineStr">
        <is>
          <t>Aktif</t>
        </is>
      </c>
      <c r="T91" s="3" t="n"/>
      <c r="U91" s="3" t="inlineStr">
        <is>
          <t>LIST ASSET YPIK 2025(1).xlsx | Inv. TKIA</t>
        </is>
      </c>
    </row>
    <row r="92">
      <c r="A92" s="3" t="n">
        <v>89</v>
      </c>
      <c r="B92" s="3" t="n"/>
      <c r="C92" s="3" t="inlineStr">
        <is>
          <t>TKIA 24 JATIKRAMAT</t>
        </is>
      </c>
      <c r="D92" s="3" t="n"/>
      <c r="E92" s="3" t="inlineStr">
        <is>
          <t>Alat Drumband</t>
        </is>
      </c>
      <c r="F92" s="3" t="inlineStr">
        <is>
          <t>Alat Drumband</t>
        </is>
      </c>
      <c r="G92" s="3" t="n"/>
      <c r="H92" s="3" t="n"/>
      <c r="I92" s="3" t="inlineStr">
        <is>
          <t>1 Set</t>
        </is>
      </c>
      <c r="J92" s="4" t="n"/>
      <c r="K92" s="3" t="n">
        <v>2019</v>
      </c>
      <c r="L92" s="5" t="n"/>
      <c r="M92" s="5" t="n">
        <v>1500000</v>
      </c>
      <c r="N92" s="3" t="n"/>
      <c r="O92" s="3" t="n">
        <v>4</v>
      </c>
      <c r="P92" s="5" t="n">
        <v>1500000</v>
      </c>
      <c r="Q92" s="5" t="n">
        <v>0</v>
      </c>
      <c r="R92" s="3" t="inlineStr"/>
      <c r="S92" s="3" t="inlineStr">
        <is>
          <t>Aktif</t>
        </is>
      </c>
      <c r="T92" s="3" t="n"/>
      <c r="U92" s="3" t="inlineStr">
        <is>
          <t>LIST ASSET YPIK 2025(1).xlsx | Inv. TKIA</t>
        </is>
      </c>
    </row>
    <row r="93">
      <c r="A93" s="3" t="n">
        <v>90</v>
      </c>
      <c r="B93" s="3" t="n"/>
      <c r="C93" s="3" t="inlineStr">
        <is>
          <t>TKIA 24 JATIKRAMAT</t>
        </is>
      </c>
      <c r="D93" s="3" t="n"/>
      <c r="E93" s="3" t="inlineStr">
        <is>
          <t>Alat Drumband</t>
        </is>
      </c>
      <c r="F93" s="3" t="inlineStr">
        <is>
          <t>Alat Drumband</t>
        </is>
      </c>
      <c r="G93" s="3" t="n"/>
      <c r="H93" s="3" t="n"/>
      <c r="I93" s="3" t="inlineStr">
        <is>
          <t>2 Set</t>
        </is>
      </c>
      <c r="J93" s="4" t="n"/>
      <c r="K93" s="3" t="n">
        <v>2019</v>
      </c>
      <c r="L93" s="5" t="n"/>
      <c r="M93" s="5" t="n">
        <v>10000000</v>
      </c>
      <c r="N93" s="3" t="n"/>
      <c r="O93" s="3" t="n">
        <v>4</v>
      </c>
      <c r="P93" s="5" t="n">
        <v>10000000</v>
      </c>
      <c r="Q93" s="5" t="n">
        <v>0</v>
      </c>
      <c r="R93" s="3" t="inlineStr"/>
      <c r="S93" s="3" t="inlineStr">
        <is>
          <t>Aktif</t>
        </is>
      </c>
      <c r="T93" s="3" t="n"/>
      <c r="U93" s="3" t="inlineStr">
        <is>
          <t>LIST ASSET YPIK 2025(1).xlsx | Inv. TKIA</t>
        </is>
      </c>
    </row>
    <row r="94">
      <c r="A94" s="3" t="n">
        <v>91</v>
      </c>
      <c r="B94" s="3" t="n"/>
      <c r="C94" s="3" t="inlineStr">
        <is>
          <t>TKIA 24 JATIKRAMAT</t>
        </is>
      </c>
      <c r="D94" s="3" t="n"/>
      <c r="E94" s="3" t="inlineStr">
        <is>
          <t>Alat Drumband</t>
        </is>
      </c>
      <c r="F94" s="3" t="inlineStr">
        <is>
          <t>Alat Drumband</t>
        </is>
      </c>
      <c r="G94" s="3" t="n"/>
      <c r="H94" s="3" t="n"/>
      <c r="I94" s="3" t="inlineStr">
        <is>
          <t>1 Set</t>
        </is>
      </c>
      <c r="J94" s="4" t="n"/>
      <c r="K94" s="3" t="n">
        <v>2019</v>
      </c>
      <c r="L94" s="5" t="n"/>
      <c r="M94" s="5" t="n">
        <v>5000000</v>
      </c>
      <c r="N94" s="3" t="n"/>
      <c r="O94" s="3" t="n">
        <v>4</v>
      </c>
      <c r="P94" s="5" t="n">
        <v>5000000</v>
      </c>
      <c r="Q94" s="5" t="n">
        <v>0</v>
      </c>
      <c r="R94" s="3" t="inlineStr"/>
      <c r="S94" s="3" t="inlineStr">
        <is>
          <t>Aktif</t>
        </is>
      </c>
      <c r="T94" s="3" t="n"/>
      <c r="U94" s="3" t="inlineStr">
        <is>
          <t>LIST ASSET YPIK 2025(1).xlsx | Inv. TKIA</t>
        </is>
      </c>
    </row>
    <row r="95">
      <c r="A95" s="3" t="n">
        <v>92</v>
      </c>
      <c r="B95" s="3" t="n"/>
      <c r="C95" s="3" t="inlineStr">
        <is>
          <t>TKIA 24 JATIKRAMAT</t>
        </is>
      </c>
      <c r="D95" s="3" t="n"/>
      <c r="E95" s="3" t="inlineStr">
        <is>
          <t>Play House</t>
        </is>
      </c>
      <c r="F95" s="3" t="inlineStr">
        <is>
          <t>Play House</t>
        </is>
      </c>
      <c r="G95" s="3" t="n"/>
      <c r="H95" s="3" t="n"/>
      <c r="I95" s="3" t="inlineStr">
        <is>
          <t>2 Set</t>
        </is>
      </c>
      <c r="J95" s="4" t="n"/>
      <c r="K95" s="3" t="n">
        <v>2019</v>
      </c>
      <c r="L95" s="5" t="n"/>
      <c r="M95" s="5" t="n">
        <v>2890000</v>
      </c>
      <c r="N95" s="3" t="n"/>
      <c r="O95" s="3" t="n">
        <v>4</v>
      </c>
      <c r="P95" s="5" t="n">
        <v>2890000</v>
      </c>
      <c r="Q95" s="5" t="n">
        <v>0</v>
      </c>
      <c r="R95" s="3" t="inlineStr"/>
      <c r="S95" s="3" t="inlineStr">
        <is>
          <t>Aktif</t>
        </is>
      </c>
      <c r="T95" s="3" t="n"/>
      <c r="U95" s="3" t="inlineStr">
        <is>
          <t>LIST ASSET YPIK 2025(1).xlsx | Inv. TKIA</t>
        </is>
      </c>
    </row>
    <row r="96">
      <c r="A96" s="3" t="n">
        <v>93</v>
      </c>
      <c r="B96" s="3" t="n"/>
      <c r="C96" s="3" t="inlineStr">
        <is>
          <t>TKIA 24 JATIKRAMAT</t>
        </is>
      </c>
      <c r="D96" s="3" t="n"/>
      <c r="E96" s="3" t="inlineStr">
        <is>
          <t>Locker Murid</t>
        </is>
      </c>
      <c r="F96" s="3" t="inlineStr">
        <is>
          <t>Locker Murid</t>
        </is>
      </c>
      <c r="G96" s="3" t="n"/>
      <c r="H96" s="3" t="n"/>
      <c r="I96" s="3" t="inlineStr">
        <is>
          <t>10 Unit</t>
        </is>
      </c>
      <c r="J96" s="4" t="n"/>
      <c r="K96" s="3" t="n">
        <v>2019</v>
      </c>
      <c r="L96" s="5" t="n"/>
      <c r="M96" s="5" t="n">
        <v>9500000</v>
      </c>
      <c r="N96" s="3" t="n"/>
      <c r="O96" s="3" t="n">
        <v>4</v>
      </c>
      <c r="P96" s="5" t="n">
        <v>9500000</v>
      </c>
      <c r="Q96" s="5" t="n">
        <v>0</v>
      </c>
      <c r="R96" s="3" t="inlineStr"/>
      <c r="S96" s="3" t="inlineStr">
        <is>
          <t>Aktif</t>
        </is>
      </c>
      <c r="T96" s="3" t="n"/>
      <c r="U96" s="3" t="inlineStr">
        <is>
          <t>LIST ASSET YPIK 2025(1).xlsx | Inv. TKIA</t>
        </is>
      </c>
    </row>
    <row r="97">
      <c r="A97" s="3" t="n">
        <v>94</v>
      </c>
      <c r="B97" s="3" t="n"/>
      <c r="C97" s="3" t="inlineStr">
        <is>
          <t>TKIA 24 JATIKRAMAT</t>
        </is>
      </c>
      <c r="D97" s="3" t="n"/>
      <c r="E97" s="3" t="inlineStr">
        <is>
          <t>Mesin Finger</t>
        </is>
      </c>
      <c r="F97" s="3" t="inlineStr">
        <is>
          <t>Mesin Finger</t>
        </is>
      </c>
      <c r="G97" s="3" t="n"/>
      <c r="H97" s="3" t="n"/>
      <c r="I97" s="3" t="inlineStr">
        <is>
          <t>1 Unit</t>
        </is>
      </c>
      <c r="J97" s="4" t="n"/>
      <c r="K97" s="3" t="n">
        <v>2019</v>
      </c>
      <c r="L97" s="5" t="n"/>
      <c r="M97" s="5" t="n">
        <v>2592000</v>
      </c>
      <c r="N97" s="3" t="n"/>
      <c r="O97" s="3" t="n">
        <v>4</v>
      </c>
      <c r="P97" s="5" t="n">
        <v>2592000</v>
      </c>
      <c r="Q97" s="5" t="n">
        <v>0</v>
      </c>
      <c r="R97" s="3" t="inlineStr"/>
      <c r="S97" s="3" t="inlineStr">
        <is>
          <t>Aktif</t>
        </is>
      </c>
      <c r="T97" s="3" t="n"/>
      <c r="U97" s="3" t="inlineStr">
        <is>
          <t>LIST ASSET YPIK 2025(1).xlsx | Inv. TKIA</t>
        </is>
      </c>
    </row>
    <row r="98">
      <c r="A98" s="3" t="n">
        <v>95</v>
      </c>
      <c r="B98" s="3" t="n"/>
      <c r="C98" s="3" t="inlineStr">
        <is>
          <t>TKIA 24 JATIKRAMAT</t>
        </is>
      </c>
      <c r="D98" s="3" t="n"/>
      <c r="E98" s="3" t="inlineStr">
        <is>
          <t>Pembuatan Panggung TKIA - Pak Muksin</t>
        </is>
      </c>
      <c r="F98" s="3" t="inlineStr">
        <is>
          <t>Pembuatan Panggung TKIA - Pak Muksin</t>
        </is>
      </c>
      <c r="G98" s="3" t="n"/>
      <c r="H98" s="3" t="n"/>
      <c r="I98" s="3" t="inlineStr">
        <is>
          <t>1 Unit</t>
        </is>
      </c>
      <c r="J98" s="4" t="n"/>
      <c r="K98" s="3" t="n">
        <v>2023</v>
      </c>
      <c r="L98" s="5" t="n"/>
      <c r="M98" s="5" t="n">
        <v>7000000</v>
      </c>
      <c r="N98" s="3" t="n"/>
      <c r="O98" s="3" t="n">
        <v>4</v>
      </c>
      <c r="P98" s="5" t="n">
        <v>3266667</v>
      </c>
      <c r="Q98" s="5" t="n">
        <v>3733333</v>
      </c>
      <c r="R98" s="3" t="inlineStr"/>
      <c r="S98" s="3" t="inlineStr">
        <is>
          <t>Aktif</t>
        </is>
      </c>
      <c r="T98" s="3" t="n"/>
      <c r="U98" s="3" t="inlineStr">
        <is>
          <t>LIST ASSET YPIK 2025(1).xlsx | Inv. TKIA</t>
        </is>
      </c>
    </row>
    <row r="99">
      <c r="A99" s="3" t="n">
        <v>96</v>
      </c>
      <c r="B99" s="3" t="n"/>
      <c r="C99" s="3" t="inlineStr">
        <is>
          <t>TKIA 24 JATIKRAMAT</t>
        </is>
      </c>
      <c r="D99" s="3" t="n"/>
      <c r="E99" s="3" t="inlineStr">
        <is>
          <t>Pembelian Mesin Pompa Air Kolam Ikan TKIA Tgl 13 Okt 2023</t>
        </is>
      </c>
      <c r="F99" s="3" t="inlineStr">
        <is>
          <t>Pembelian Mesin Pompa Air Kolam Ikan TKIA Tgl 13 Okt 2023</t>
        </is>
      </c>
      <c r="G99" s="3" t="n"/>
      <c r="H99" s="3" t="n"/>
      <c r="I99" s="3" t="inlineStr">
        <is>
          <t>1 Unit</t>
        </is>
      </c>
      <c r="J99" s="4" t="n"/>
      <c r="K99" s="3" t="n">
        <v>2023</v>
      </c>
      <c r="L99" s="5" t="n"/>
      <c r="M99" s="5" t="n">
        <v>750000</v>
      </c>
      <c r="N99" s="3" t="n"/>
      <c r="O99" s="3" t="n">
        <v>4</v>
      </c>
      <c r="P99" s="5" t="n">
        <v>337500</v>
      </c>
      <c r="Q99" s="5" t="n">
        <v>412500</v>
      </c>
      <c r="R99" s="3" t="inlineStr"/>
      <c r="S99" s="3" t="inlineStr">
        <is>
          <t>Aktif</t>
        </is>
      </c>
      <c r="T99" s="3" t="n"/>
      <c r="U99" s="3" t="inlineStr">
        <is>
          <t>LIST ASSET YPIK 2025(1).xlsx | Inv. TKIA</t>
        </is>
      </c>
    </row>
    <row r="100">
      <c r="A100" s="3" t="n">
        <v>97</v>
      </c>
      <c r="B100" s="3" t="n"/>
      <c r="C100" s="3" t="inlineStr">
        <is>
          <t>TKIA 24 JATIKRAMAT</t>
        </is>
      </c>
      <c r="D100" s="3" t="n"/>
      <c r="E100" s="3" t="inlineStr">
        <is>
          <t>Anggaran Display Kelas Term 1 TKIA</t>
        </is>
      </c>
      <c r="F100" s="3" t="inlineStr">
        <is>
          <t>Anggaran Display Kelas Term 1 TKIA</t>
        </is>
      </c>
      <c r="G100" s="3" t="n"/>
      <c r="H100" s="3" t="n"/>
      <c r="I100" s="3" t="inlineStr">
        <is>
          <t>1 Unit</t>
        </is>
      </c>
      <c r="J100" s="4" t="n"/>
      <c r="K100" s="3" t="n">
        <v>2023</v>
      </c>
      <c r="L100" s="5" t="n"/>
      <c r="M100" s="5" t="n">
        <v>1250000</v>
      </c>
      <c r="N100" s="3" t="n"/>
      <c r="O100" s="3" t="n">
        <v>4</v>
      </c>
      <c r="P100" s="5" t="n">
        <v>625000</v>
      </c>
      <c r="Q100" s="5" t="n">
        <v>625000</v>
      </c>
      <c r="R100" s="3" t="inlineStr"/>
      <c r="S100" s="3" t="inlineStr">
        <is>
          <t>Aktif</t>
        </is>
      </c>
      <c r="T100" s="3" t="n"/>
      <c r="U100" s="3" t="inlineStr">
        <is>
          <t>LIST ASSET YPIK 2025(1).xlsx | Inv. TKIA</t>
        </is>
      </c>
    </row>
    <row r="101">
      <c r="A101" s="3" t="n">
        <v>98</v>
      </c>
      <c r="B101" s="3" t="n"/>
      <c r="C101" s="3" t="inlineStr">
        <is>
          <t>TKIA 24 JATIKRAMAT</t>
        </is>
      </c>
      <c r="D101" s="3" t="n"/>
      <c r="E101" s="3" t="inlineStr">
        <is>
          <t>Pembelian Rak Sepatu Plastik (Loker Siawa)</t>
        </is>
      </c>
      <c r="F101" s="3" t="inlineStr">
        <is>
          <t>Pembelian Rak Sepatu Plastik (Loker Siawa)</t>
        </is>
      </c>
      <c r="G101" s="3" t="n"/>
      <c r="H101" s="3" t="n"/>
      <c r="I101" s="3" t="inlineStr">
        <is>
          <t>1 Unit</t>
        </is>
      </c>
      <c r="J101" s="4" t="n"/>
      <c r="K101" s="3" t="n">
        <v>2023</v>
      </c>
      <c r="L101" s="5" t="n"/>
      <c r="M101" s="5" t="n">
        <v>290900</v>
      </c>
      <c r="N101" s="3" t="n"/>
      <c r="O101" s="3" t="n">
        <v>4</v>
      </c>
      <c r="P101" s="5" t="n">
        <v>145450</v>
      </c>
      <c r="Q101" s="5" t="n">
        <v>145450</v>
      </c>
      <c r="R101" s="3" t="inlineStr"/>
      <c r="S101" s="3" t="inlineStr">
        <is>
          <t>Aktif</t>
        </is>
      </c>
      <c r="T101" s="3" t="n"/>
      <c r="U101" s="3" t="inlineStr">
        <is>
          <t>LIST ASSET YPIK 2025(1).xlsx | Inv. TKIA</t>
        </is>
      </c>
    </row>
    <row r="102">
      <c r="A102" s="3" t="n">
        <v>99</v>
      </c>
      <c r="B102" s="3" t="n"/>
      <c r="C102" s="3" t="inlineStr">
        <is>
          <t>TKIA 24 JATIKRAMAT</t>
        </is>
      </c>
      <c r="D102" s="3" t="n"/>
      <c r="E102" s="3" t="inlineStr">
        <is>
          <t>Pembelian Mesin Kolam Ikan TKIA</t>
        </is>
      </c>
      <c r="F102" s="3" t="inlineStr">
        <is>
          <t>Pembelian Mesin Kolam Ikan TKIA</t>
        </is>
      </c>
      <c r="G102" s="3" t="n"/>
      <c r="H102" s="3" t="n"/>
      <c r="I102" s="3" t="inlineStr">
        <is>
          <t>1 Unit</t>
        </is>
      </c>
      <c r="J102" s="4" t="n"/>
      <c r="K102" s="3" t="n">
        <v>2023</v>
      </c>
      <c r="L102" s="5" t="n"/>
      <c r="M102" s="5" t="n">
        <v>500000</v>
      </c>
      <c r="N102" s="3" t="n"/>
      <c r="O102" s="3" t="n">
        <v>4</v>
      </c>
      <c r="P102" s="5" t="n">
        <v>241667</v>
      </c>
      <c r="Q102" s="5" t="n">
        <v>258333</v>
      </c>
      <c r="R102" s="3" t="inlineStr"/>
      <c r="S102" s="3" t="inlineStr">
        <is>
          <t>Aktif</t>
        </is>
      </c>
      <c r="T102" s="3" t="n"/>
      <c r="U102" s="3" t="inlineStr">
        <is>
          <t>LIST ASSET YPIK 2025(1).xlsx | Inv. TKIA</t>
        </is>
      </c>
    </row>
    <row r="103">
      <c r="A103" s="3" t="n">
        <v>100</v>
      </c>
      <c r="B103" s="3" t="n"/>
      <c r="C103" s="3" t="inlineStr">
        <is>
          <t>TKIA 24 JATIKRAMAT</t>
        </is>
      </c>
      <c r="D103" s="3" t="n"/>
      <c r="E103" s="3" t="inlineStr">
        <is>
          <t>Pembelian Lemari Arsip Kantor Filling Kabinet 2 Pintu Besi Brankas Laci 2 untuk TKIA</t>
        </is>
      </c>
      <c r="F103" s="3" t="inlineStr">
        <is>
          <t>Pembelian Lemari Arsip Kantor Filling Kabinet 2 Pintu Besi Brankas Laci 2 untuk TKIA</t>
        </is>
      </c>
      <c r="G103" s="3" t="n"/>
      <c r="H103" s="3" t="n"/>
      <c r="I103" s="3" t="inlineStr">
        <is>
          <t>1 Unit</t>
        </is>
      </c>
      <c r="J103" s="4" t="n"/>
      <c r="K103" s="3" t="n">
        <v>2023</v>
      </c>
      <c r="L103" s="5" t="n"/>
      <c r="M103" s="5" t="n">
        <v>2650000</v>
      </c>
      <c r="N103" s="3" t="n"/>
      <c r="O103" s="3" t="n">
        <v>4</v>
      </c>
      <c r="P103" s="5" t="n">
        <v>1325000</v>
      </c>
      <c r="Q103" s="5" t="n">
        <v>1325000</v>
      </c>
      <c r="R103" s="3" t="inlineStr"/>
      <c r="S103" s="3" t="inlineStr">
        <is>
          <t>Aktif</t>
        </is>
      </c>
      <c r="T103" s="3" t="n"/>
      <c r="U103" s="3" t="inlineStr">
        <is>
          <t>LIST ASSET YPIK 2025(1).xlsx | Inv. TKIA</t>
        </is>
      </c>
    </row>
    <row r="104">
      <c r="A104" s="3" t="n">
        <v>101</v>
      </c>
      <c r="B104" s="3" t="n"/>
      <c r="C104" s="3" t="inlineStr">
        <is>
          <t>TKIA 24 JATIKRAMAT</t>
        </is>
      </c>
      <c r="D104" s="3" t="n"/>
      <c r="E104" s="3" t="inlineStr">
        <is>
          <t>Pembelian Karpet Funil &amp; Rumput Sintesis</t>
        </is>
      </c>
      <c r="F104" s="3" t="inlineStr">
        <is>
          <t>Pembelian Karpet Funil &amp; Rumput Sintesis</t>
        </is>
      </c>
      <c r="G104" s="3" t="n"/>
      <c r="H104" s="3" t="n"/>
      <c r="I104" s="3" t="n"/>
      <c r="J104" s="4" t="n"/>
      <c r="K104" s="3" t="n">
        <v>2024</v>
      </c>
      <c r="L104" s="5" t="n"/>
      <c r="M104" s="5" t="n">
        <v>6347300</v>
      </c>
      <c r="N104" s="3" t="n"/>
      <c r="O104" s="3" t="n">
        <v>4</v>
      </c>
      <c r="P104" s="5" t="n">
        <v>2538920</v>
      </c>
      <c r="Q104" s="5" t="n">
        <v>3808380</v>
      </c>
      <c r="R104" s="3" t="inlineStr"/>
      <c r="S104" s="3" t="inlineStr">
        <is>
          <t>Aktif</t>
        </is>
      </c>
      <c r="T104" s="3" t="n"/>
      <c r="U104" s="3" t="inlineStr">
        <is>
          <t>LIST ASSET YPIK 2025(1).xlsx | Inv. TKIA</t>
        </is>
      </c>
    </row>
    <row r="105">
      <c r="A105" s="3" t="n">
        <v>102</v>
      </c>
      <c r="B105" s="3" t="n"/>
      <c r="C105" s="3" t="inlineStr">
        <is>
          <t>TKIA 24 JATIKRAMAT</t>
        </is>
      </c>
      <c r="D105" s="3" t="n"/>
      <c r="E105" s="3" t="inlineStr">
        <is>
          <t>Pembelian Kursi Tunggu TKIA</t>
        </is>
      </c>
      <c r="F105" s="3" t="inlineStr">
        <is>
          <t>Pembelian Kursi Tunggu TKIA</t>
        </is>
      </c>
      <c r="G105" s="3" t="n"/>
      <c r="H105" s="3" t="n"/>
      <c r="I105" s="3" t="n"/>
      <c r="J105" s="4" t="n"/>
      <c r="K105" s="3" t="n">
        <v>2024</v>
      </c>
      <c r="L105" s="5" t="n"/>
      <c r="M105" s="5" t="n">
        <v>2001500</v>
      </c>
      <c r="N105" s="3" t="n"/>
      <c r="O105" s="3" t="n">
        <v>4</v>
      </c>
      <c r="P105" s="5" t="n">
        <v>767242</v>
      </c>
      <c r="Q105" s="5" t="n">
        <v>1234258</v>
      </c>
      <c r="R105" s="3" t="inlineStr"/>
      <c r="S105" s="3" t="inlineStr">
        <is>
          <t>Aktif</t>
        </is>
      </c>
      <c r="T105" s="3" t="n"/>
      <c r="U105" s="3" t="inlineStr">
        <is>
          <t>LIST ASSET YPIK 2025(1).xlsx | Inv. TKIA</t>
        </is>
      </c>
    </row>
    <row r="106">
      <c r="A106" s="3" t="n">
        <v>103</v>
      </c>
      <c r="B106" s="3" t="n"/>
      <c r="C106" s="3" t="inlineStr">
        <is>
          <t>TKIA 24 JATIKRAMAT</t>
        </is>
      </c>
      <c r="D106" s="3" t="n"/>
      <c r="E106" s="3" t="inlineStr">
        <is>
          <t>Pembelian Display Termin III TKIA</t>
        </is>
      </c>
      <c r="F106" s="3" t="inlineStr">
        <is>
          <t>Pembelian Display Termin III TKIA</t>
        </is>
      </c>
      <c r="G106" s="3" t="n"/>
      <c r="H106" s="3" t="n"/>
      <c r="I106" s="3" t="n"/>
      <c r="J106" s="4" t="n"/>
      <c r="K106" s="3" t="n">
        <v>2024</v>
      </c>
      <c r="L106" s="5" t="n"/>
      <c r="M106" s="5" t="n">
        <v>1250000</v>
      </c>
      <c r="N106" s="3" t="n"/>
      <c r="O106" s="3" t="n">
        <v>4</v>
      </c>
      <c r="P106" s="5" t="n">
        <v>437500</v>
      </c>
      <c r="Q106" s="5" t="n">
        <v>812500</v>
      </c>
      <c r="R106" s="3" t="inlineStr"/>
      <c r="S106" s="3" t="inlineStr">
        <is>
          <t>Aktif</t>
        </is>
      </c>
      <c r="T106" s="3" t="n"/>
      <c r="U106" s="3" t="inlineStr">
        <is>
          <t>LIST ASSET YPIK 2025(1).xlsx | Inv. TKIA</t>
        </is>
      </c>
    </row>
    <row r="107">
      <c r="A107" s="3" t="n">
        <v>104</v>
      </c>
      <c r="B107" s="3" t="n"/>
      <c r="C107" s="3" t="inlineStr">
        <is>
          <t>TKIA 24 JATIKRAMAT</t>
        </is>
      </c>
      <c r="D107" s="3" t="n"/>
      <c r="E107" s="3" t="inlineStr">
        <is>
          <t>Pembelian Kursi Lipat 10 Unit TKIA</t>
        </is>
      </c>
      <c r="F107" s="3" t="inlineStr">
        <is>
          <t>Pembelian Kursi Lipat 10 Unit TKIA</t>
        </is>
      </c>
      <c r="G107" s="3" t="n"/>
      <c r="H107" s="3" t="n"/>
      <c r="I107" s="3" t="inlineStr">
        <is>
          <t>10 Unit</t>
        </is>
      </c>
      <c r="J107" s="4" t="n"/>
      <c r="K107" s="3" t="n">
        <v>2024</v>
      </c>
      <c r="L107" s="5" t="n"/>
      <c r="M107" s="5" t="n">
        <v>4113000</v>
      </c>
      <c r="N107" s="3" t="n"/>
      <c r="O107" s="3" t="n">
        <v>4</v>
      </c>
      <c r="P107" s="5" t="n">
        <v>1233900</v>
      </c>
      <c r="Q107" s="5" t="n">
        <v>2879100</v>
      </c>
      <c r="R107" s="3" t="inlineStr"/>
      <c r="S107" s="3" t="inlineStr">
        <is>
          <t>Aktif</t>
        </is>
      </c>
      <c r="T107" s="3" t="n"/>
      <c r="U107" s="3" t="inlineStr">
        <is>
          <t>LIST ASSET YPIK 2025(1).xlsx | Inv. TKIA</t>
        </is>
      </c>
    </row>
    <row r="108">
      <c r="A108" s="3" t="n">
        <v>105</v>
      </c>
      <c r="B108" s="3" t="n"/>
      <c r="C108" s="3" t="inlineStr">
        <is>
          <t>TKIA 24 JATIKRAMAT</t>
        </is>
      </c>
      <c r="D108" s="3" t="n"/>
      <c r="E108" s="3" t="inlineStr">
        <is>
          <t>Display Kelas TA 23/24 TKIA</t>
        </is>
      </c>
      <c r="F108" s="3" t="inlineStr">
        <is>
          <t>Display Kelas TA 23/24 TKIA</t>
        </is>
      </c>
      <c r="G108" s="3" t="n"/>
      <c r="H108" s="3" t="n"/>
      <c r="I108" s="3" t="n"/>
      <c r="J108" s="4" t="n"/>
      <c r="K108" s="3" t="n">
        <v>2024</v>
      </c>
      <c r="L108" s="5" t="n"/>
      <c r="M108" s="5" t="n">
        <v>1250000</v>
      </c>
      <c r="N108" s="3" t="n"/>
      <c r="O108" s="3" t="n">
        <v>4</v>
      </c>
      <c r="P108" s="5" t="n">
        <v>375000</v>
      </c>
      <c r="Q108" s="5" t="n">
        <v>875000</v>
      </c>
      <c r="R108" s="3" t="inlineStr"/>
      <c r="S108" s="3" t="inlineStr">
        <is>
          <t>Aktif</t>
        </is>
      </c>
      <c r="T108" s="3" t="n"/>
      <c r="U108" s="3" t="inlineStr">
        <is>
          <t>LIST ASSET YPIK 2025(1).xlsx | Inv. TKIA</t>
        </is>
      </c>
    </row>
    <row r="109">
      <c r="A109" s="3" t="n">
        <v>106</v>
      </c>
      <c r="B109" s="3" t="n"/>
      <c r="C109" s="3" t="inlineStr">
        <is>
          <t>TKIA 24 JATIKRAMAT</t>
        </is>
      </c>
      <c r="D109" s="3" t="n"/>
      <c r="E109" s="3" t="inlineStr">
        <is>
          <t>Pembelian Kusen dan Rak Sepatu</t>
        </is>
      </c>
      <c r="F109" s="3" t="inlineStr">
        <is>
          <t>Pembelian Kusen dan Rak Sepatu</t>
        </is>
      </c>
      <c r="G109" s="3" t="n"/>
      <c r="H109" s="3" t="n"/>
      <c r="I109" s="3" t="n"/>
      <c r="J109" s="4" t="n"/>
      <c r="K109" s="3" t="n">
        <v>2024</v>
      </c>
      <c r="L109" s="5" t="n"/>
      <c r="M109" s="5" t="n">
        <v>1700000</v>
      </c>
      <c r="N109" s="3" t="n"/>
      <c r="O109" s="3" t="n">
        <v>4</v>
      </c>
      <c r="P109" s="5" t="n">
        <v>425000</v>
      </c>
      <c r="Q109" s="5" t="n">
        <v>1275000</v>
      </c>
      <c r="R109" s="3" t="inlineStr"/>
      <c r="S109" s="3" t="inlineStr">
        <is>
          <t>Aktif</t>
        </is>
      </c>
      <c r="T109" s="3" t="n"/>
      <c r="U109" s="3" t="inlineStr">
        <is>
          <t>LIST ASSET YPIK 2025(1).xlsx | Inv. TKIA</t>
        </is>
      </c>
    </row>
    <row r="110">
      <c r="A110" s="3" t="n">
        <v>107</v>
      </c>
      <c r="B110" s="3" t="n"/>
      <c r="C110" s="3" t="inlineStr">
        <is>
          <t>TKIA 24 JATIKRAMAT</t>
        </is>
      </c>
      <c r="D110" s="3" t="n"/>
      <c r="E110" s="3" t="inlineStr">
        <is>
          <t>Pembelian 2 Unit Loker TKIA</t>
        </is>
      </c>
      <c r="F110" s="3" t="inlineStr">
        <is>
          <t>Pembelian 2 Unit Loker TKIA</t>
        </is>
      </c>
      <c r="G110" s="3" t="n"/>
      <c r="H110" s="3" t="n"/>
      <c r="I110" s="3" t="inlineStr">
        <is>
          <t>2 Unit</t>
        </is>
      </c>
      <c r="J110" s="4" t="n"/>
      <c r="K110" s="3" t="n">
        <v>2024</v>
      </c>
      <c r="L110" s="5" t="n"/>
      <c r="M110" s="5" t="n">
        <v>9000000</v>
      </c>
      <c r="N110" s="3" t="n"/>
      <c r="O110" s="3" t="n">
        <v>4</v>
      </c>
      <c r="P110" s="5" t="n">
        <v>1950000</v>
      </c>
      <c r="Q110" s="5" t="n">
        <v>7050000</v>
      </c>
      <c r="R110" s="3" t="inlineStr"/>
      <c r="S110" s="3" t="inlineStr">
        <is>
          <t>Aktif</t>
        </is>
      </c>
      <c r="T110" s="3" t="n"/>
      <c r="U110" s="3" t="inlineStr">
        <is>
          <t>LIST ASSET YPIK 2025(1).xlsx | Inv. TKIA</t>
        </is>
      </c>
    </row>
    <row r="111">
      <c r="A111" s="3" t="n">
        <v>108</v>
      </c>
      <c r="B111" s="3" t="n"/>
      <c r="C111" s="3" t="inlineStr">
        <is>
          <t>TKIA 24 JATIKRAMAT</t>
        </is>
      </c>
      <c r="D111" s="3" t="n"/>
      <c r="E111" s="3" t="inlineStr">
        <is>
          <t>Display Kelas Term 3 TA 24/25 TKIA</t>
        </is>
      </c>
      <c r="F111" s="3" t="inlineStr">
        <is>
          <t>Display Kelas Term 3 TA 24/25 TKIA</t>
        </is>
      </c>
      <c r="G111" s="3" t="n"/>
      <c r="H111" s="3" t="n"/>
      <c r="I111" s="3" t="n"/>
      <c r="J111" s="4" t="n"/>
      <c r="K111" s="3" t="n">
        <v>2025</v>
      </c>
      <c r="L111" s="5" t="n"/>
      <c r="M111" s="5" t="n">
        <v>1250000</v>
      </c>
      <c r="N111" s="3" t="n"/>
      <c r="O111" s="3" t="n">
        <v>4</v>
      </c>
      <c r="P111" s="5" t="n">
        <v>229166.6666666667</v>
      </c>
      <c r="Q111" s="5" t="n">
        <v>1020833.333333333</v>
      </c>
      <c r="R111" s="3" t="inlineStr"/>
      <c r="S111" s="3" t="inlineStr">
        <is>
          <t>Aktif</t>
        </is>
      </c>
      <c r="T111" s="3" t="n"/>
      <c r="U111" s="3" t="inlineStr">
        <is>
          <t>LIST ASSET YPIK 2025(1).xlsx | Inv. TKIA</t>
        </is>
      </c>
    </row>
    <row r="112">
      <c r="A112" s="3" t="n">
        <v>109</v>
      </c>
      <c r="B112" s="3" t="n"/>
      <c r="C112" s="3" t="inlineStr">
        <is>
          <t>TKIA 24 JATIKRAMAT</t>
        </is>
      </c>
      <c r="D112" s="3" t="n"/>
      <c r="E112" s="3" t="inlineStr">
        <is>
          <t>Display Kelas Term IV TKIA</t>
        </is>
      </c>
      <c r="F112" s="3" t="inlineStr">
        <is>
          <t>Display Kelas Term IV TKIA</t>
        </is>
      </c>
      <c r="G112" s="3" t="n"/>
      <c r="H112" s="3" t="n"/>
      <c r="I112" s="3" t="n"/>
      <c r="J112" s="4" t="n"/>
      <c r="K112" s="3" t="n">
        <v>2025</v>
      </c>
      <c r="L112" s="5" t="n"/>
      <c r="M112" s="5" t="n">
        <v>1250000</v>
      </c>
      <c r="N112" s="3" t="n"/>
      <c r="O112" s="3" t="n">
        <v>4</v>
      </c>
      <c r="P112" s="5" t="n">
        <v>145833.3333333333</v>
      </c>
      <c r="Q112" s="5" t="n">
        <v>1104166.666666667</v>
      </c>
      <c r="R112" s="3" t="inlineStr"/>
      <c r="S112" s="3" t="inlineStr">
        <is>
          <t>Aktif</t>
        </is>
      </c>
      <c r="T112" s="3" t="n"/>
      <c r="U112" s="3" t="inlineStr">
        <is>
          <t>LIST ASSET YPIK 2025(1).xlsx | Inv. TKIA</t>
        </is>
      </c>
    </row>
    <row r="113">
      <c r="A113" s="3" t="n">
        <v>110</v>
      </c>
      <c r="B113" s="3" t="n"/>
      <c r="C113" s="3" t="inlineStr">
        <is>
          <t>TKIA 24 JATIKRAMAT</t>
        </is>
      </c>
      <c r="D113" s="3" t="n"/>
      <c r="E113" s="3" t="inlineStr">
        <is>
          <t>Pembelian 2 Unit Filling Kabinet Besi</t>
        </is>
      </c>
      <c r="F113" s="3" t="inlineStr">
        <is>
          <t>Pembelian 2 Unit Filling Kabinet Besi</t>
        </is>
      </c>
      <c r="G113" s="3" t="n"/>
      <c r="H113" s="3" t="n"/>
      <c r="I113" s="3" t="n"/>
      <c r="J113" s="4" t="n"/>
      <c r="K113" s="3" t="n">
        <v>2025</v>
      </c>
      <c r="L113" s="5" t="n"/>
      <c r="M113" s="5" t="n">
        <v>4305720</v>
      </c>
      <c r="N113" s="3" t="n"/>
      <c r="O113" s="3" t="n">
        <v>4</v>
      </c>
      <c r="P113" s="5" t="n">
        <v>430572</v>
      </c>
      <c r="Q113" s="5" t="n">
        <v>3875148</v>
      </c>
      <c r="R113" s="3" t="inlineStr"/>
      <c r="S113" s="3" t="inlineStr">
        <is>
          <t>Aktif</t>
        </is>
      </c>
      <c r="T113" s="3" t="n"/>
      <c r="U113" s="3" t="inlineStr">
        <is>
          <t>LIST ASSET YPIK 2025(1).xlsx | Inv. TKIA</t>
        </is>
      </c>
    </row>
    <row r="114">
      <c r="A114" s="3" t="n">
        <v>111</v>
      </c>
      <c r="B114" s="3" t="n"/>
      <c r="C114" s="3" t="inlineStr">
        <is>
          <t>TKIA 24 JATIKRAMAT</t>
        </is>
      </c>
      <c r="D114" s="3" t="n"/>
      <c r="E114" s="3" t="inlineStr">
        <is>
          <t>Pembelian 5 Unit Karpet Besar untuk TKIA</t>
        </is>
      </c>
      <c r="F114" s="3" t="inlineStr">
        <is>
          <t>Pembelian 5 Unit Karpet Besar untuk TKIA</t>
        </is>
      </c>
      <c r="G114" s="3" t="n"/>
      <c r="H114" s="3" t="n"/>
      <c r="I114" s="3" t="n"/>
      <c r="J114" s="4" t="n"/>
      <c r="K114" s="3" t="n">
        <v>2025</v>
      </c>
      <c r="L114" s="5" t="n"/>
      <c r="M114" s="5" t="n">
        <v>4028575</v>
      </c>
      <c r="N114" s="3" t="n"/>
      <c r="O114" s="3" t="n">
        <v>4</v>
      </c>
      <c r="P114" s="5" t="n">
        <v>402857.5</v>
      </c>
      <c r="Q114" s="5" t="n">
        <v>3625717.5</v>
      </c>
      <c r="R114" s="3" t="inlineStr"/>
      <c r="S114" s="3" t="inlineStr">
        <is>
          <t>Aktif</t>
        </is>
      </c>
      <c r="T114" s="3" t="n"/>
      <c r="U114" s="3" t="inlineStr">
        <is>
          <t>LIST ASSET YPIK 2025(1).xlsx | Inv. TKIA</t>
        </is>
      </c>
    </row>
    <row r="115">
      <c r="A115" s="3" t="n">
        <v>112</v>
      </c>
      <c r="B115" s="3" t="n"/>
      <c r="C115" s="3" t="inlineStr">
        <is>
          <t>TKIA 24 JATIKRAMAT</t>
        </is>
      </c>
      <c r="D115" s="3" t="n"/>
      <c r="E115" s="3" t="inlineStr">
        <is>
          <t>Display Kelas Term I TKIA TA 25/26</t>
        </is>
      </c>
      <c r="F115" s="3" t="inlineStr">
        <is>
          <t>Display Kelas Term I TKIA TA 25/26</t>
        </is>
      </c>
      <c r="G115" s="3" t="n"/>
      <c r="H115" s="3" t="n"/>
      <c r="I115" s="3" t="n"/>
      <c r="J115" s="4" t="n"/>
      <c r="K115" s="3" t="n">
        <v>2025</v>
      </c>
      <c r="L115" s="5" t="n"/>
      <c r="M115" s="5" t="n">
        <v>1250000</v>
      </c>
      <c r="N115" s="3" t="n"/>
      <c r="O115" s="3" t="n">
        <v>4</v>
      </c>
      <c r="P115" s="5" t="n">
        <v>83333.33333333333</v>
      </c>
      <c r="Q115" s="5" t="n">
        <v>1166666.666666667</v>
      </c>
      <c r="R115" s="3" t="inlineStr"/>
      <c r="S115" s="3" t="inlineStr">
        <is>
          <t>Aktif</t>
        </is>
      </c>
      <c r="T115" s="3" t="n"/>
      <c r="U115" s="3" t="inlineStr">
        <is>
          <t>LIST ASSET YPIK 2025(1).xlsx | Inv. TKIA</t>
        </is>
      </c>
    </row>
    <row r="116">
      <c r="A116" s="3" t="n">
        <v>113</v>
      </c>
      <c r="B116" s="3" t="n"/>
      <c r="C116" s="3" t="inlineStr">
        <is>
          <t>SDIA 23 JATIKRAMAT</t>
        </is>
      </c>
      <c r="D116" s="3" t="n"/>
      <c r="E116" s="3" t="inlineStr">
        <is>
          <t>Lemari Guru</t>
        </is>
      </c>
      <c r="F116" s="3" t="inlineStr">
        <is>
          <t>Lemari Guru</t>
        </is>
      </c>
      <c r="G116" s="3" t="n"/>
      <c r="H116" s="3" t="n"/>
      <c r="I116" s="3" t="n">
        <v>1</v>
      </c>
      <c r="J116" s="4" t="n"/>
      <c r="K116" s="3" t="n">
        <v>2018</v>
      </c>
      <c r="L116" s="5" t="n"/>
      <c r="M116" s="5" t="n">
        <v>2000000</v>
      </c>
      <c r="N116" s="3" t="n"/>
      <c r="O116" s="3" t="n">
        <v>4</v>
      </c>
      <c r="P116" s="5" t="n">
        <v>2000000</v>
      </c>
      <c r="Q116" s="5" t="n">
        <v>0</v>
      </c>
      <c r="R116" s="3" t="inlineStr"/>
      <c r="S116" s="3" t="inlineStr">
        <is>
          <t>Aktif</t>
        </is>
      </c>
      <c r="T116" s="3" t="n"/>
      <c r="U116" s="3" t="inlineStr">
        <is>
          <t>LIST ASSET YPIK 2025(1).xlsx | Inv. SDIA</t>
        </is>
      </c>
    </row>
    <row r="117">
      <c r="A117" s="3" t="n">
        <v>114</v>
      </c>
      <c r="B117" s="3" t="n"/>
      <c r="C117" s="3" t="inlineStr">
        <is>
          <t>SDIA 23 JATIKRAMAT</t>
        </is>
      </c>
      <c r="D117" s="3" t="n"/>
      <c r="E117" s="3" t="inlineStr">
        <is>
          <t>Meja Guru</t>
        </is>
      </c>
      <c r="F117" s="3" t="inlineStr">
        <is>
          <t>Meja Guru</t>
        </is>
      </c>
      <c r="G117" s="3" t="n"/>
      <c r="H117" s="3" t="n"/>
      <c r="I117" s="3" t="n">
        <v>1</v>
      </c>
      <c r="J117" s="4" t="n"/>
      <c r="K117" s="3" t="n">
        <v>2018</v>
      </c>
      <c r="L117" s="5" t="n"/>
      <c r="M117" s="5" t="n">
        <v>1500000</v>
      </c>
      <c r="N117" s="3" t="n"/>
      <c r="O117" s="3" t="n">
        <v>4</v>
      </c>
      <c r="P117" s="5" t="n">
        <v>1500000</v>
      </c>
      <c r="Q117" s="5" t="n">
        <v>0</v>
      </c>
      <c r="R117" s="3" t="inlineStr"/>
      <c r="S117" s="3" t="inlineStr">
        <is>
          <t>Aktif</t>
        </is>
      </c>
      <c r="T117" s="3" t="n"/>
      <c r="U117" s="3" t="inlineStr">
        <is>
          <t>LIST ASSET YPIK 2025(1).xlsx | Inv. SDIA</t>
        </is>
      </c>
    </row>
    <row r="118">
      <c r="A118" s="3" t="n">
        <v>115</v>
      </c>
      <c r="B118" s="3" t="n"/>
      <c r="C118" s="3" t="inlineStr">
        <is>
          <t>SDIA 23 JATIKRAMAT</t>
        </is>
      </c>
      <c r="D118" s="3" t="n"/>
      <c r="E118" s="3" t="inlineStr">
        <is>
          <t>Kursi Guru</t>
        </is>
      </c>
      <c r="F118" s="3" t="inlineStr">
        <is>
          <t>Kursi Guru</t>
        </is>
      </c>
      <c r="G118" s="3" t="n"/>
      <c r="H118" s="3" t="n"/>
      <c r="I118" s="3" t="n">
        <v>1</v>
      </c>
      <c r="J118" s="4" t="n"/>
      <c r="K118" s="3" t="n">
        <v>2018</v>
      </c>
      <c r="L118" s="5" t="n"/>
      <c r="M118" s="5" t="n">
        <v>300000</v>
      </c>
      <c r="N118" s="3" t="n"/>
      <c r="O118" s="3" t="n">
        <v>4</v>
      </c>
      <c r="P118" s="5" t="n">
        <v>300000</v>
      </c>
      <c r="Q118" s="5" t="n">
        <v>0</v>
      </c>
      <c r="R118" s="3" t="inlineStr"/>
      <c r="S118" s="3" t="inlineStr">
        <is>
          <t>Aktif</t>
        </is>
      </c>
      <c r="T118" s="3" t="n"/>
      <c r="U118" s="3" t="inlineStr">
        <is>
          <t>LIST ASSET YPIK 2025(1).xlsx | Inv. SDIA</t>
        </is>
      </c>
    </row>
    <row r="119">
      <c r="A119" s="3" t="n">
        <v>116</v>
      </c>
      <c r="B119" s="3" t="n"/>
      <c r="C119" s="3" t="inlineStr">
        <is>
          <t>SDIA 23 JATIKRAMAT</t>
        </is>
      </c>
      <c r="D119" s="3" t="n"/>
      <c r="E119" s="3" t="inlineStr">
        <is>
          <t>Loker Murid</t>
        </is>
      </c>
      <c r="F119" s="3" t="inlineStr">
        <is>
          <t>Loker Murid</t>
        </is>
      </c>
      <c r="G119" s="3" t="n"/>
      <c r="H119" s="3" t="n"/>
      <c r="I119" s="3" t="n">
        <v>2</v>
      </c>
      <c r="J119" s="4" t="n"/>
      <c r="K119" s="3" t="n">
        <v>2018</v>
      </c>
      <c r="L119" s="5" t="n"/>
      <c r="M119" s="5" t="n">
        <v>5000000</v>
      </c>
      <c r="N119" s="3" t="n"/>
      <c r="O119" s="3" t="n">
        <v>4</v>
      </c>
      <c r="P119" s="5" t="n">
        <v>5000000</v>
      </c>
      <c r="Q119" s="5" t="n">
        <v>0</v>
      </c>
      <c r="R119" s="3" t="inlineStr"/>
      <c r="S119" s="3" t="inlineStr">
        <is>
          <t>Aktif</t>
        </is>
      </c>
      <c r="T119" s="3" t="n"/>
      <c r="U119" s="3" t="inlineStr">
        <is>
          <t>LIST ASSET YPIK 2025(1).xlsx | Inv. SDIA</t>
        </is>
      </c>
    </row>
    <row r="120">
      <c r="A120" s="3" t="n">
        <v>117</v>
      </c>
      <c r="B120" s="3" t="n"/>
      <c r="C120" s="3" t="inlineStr">
        <is>
          <t>SDIA 23 JATIKRAMAT</t>
        </is>
      </c>
      <c r="D120" s="3" t="n"/>
      <c r="E120" s="3" t="inlineStr">
        <is>
          <t>Mading Besar</t>
        </is>
      </c>
      <c r="F120" s="3" t="inlineStr">
        <is>
          <t>Mading Besar</t>
        </is>
      </c>
      <c r="G120" s="3" t="n"/>
      <c r="H120" s="3" t="n"/>
      <c r="I120" s="3" t="n">
        <v>1</v>
      </c>
      <c r="J120" s="4" t="n"/>
      <c r="K120" s="3" t="n">
        <v>2018</v>
      </c>
      <c r="L120" s="5" t="n"/>
      <c r="M120" s="5" t="n">
        <v>1000000</v>
      </c>
      <c r="N120" s="3" t="n"/>
      <c r="O120" s="3" t="n">
        <v>4</v>
      </c>
      <c r="P120" s="5" t="n">
        <v>1000000</v>
      </c>
      <c r="Q120" s="5" t="n">
        <v>0</v>
      </c>
      <c r="R120" s="3" t="inlineStr"/>
      <c r="S120" s="3" t="inlineStr">
        <is>
          <t>Aktif</t>
        </is>
      </c>
      <c r="T120" s="3" t="n"/>
      <c r="U120" s="3" t="inlineStr">
        <is>
          <t>LIST ASSET YPIK 2025(1).xlsx | Inv. SDIA</t>
        </is>
      </c>
    </row>
    <row r="121">
      <c r="A121" s="3" t="n">
        <v>118</v>
      </c>
      <c r="B121" s="3" t="n"/>
      <c r="C121" s="3" t="inlineStr">
        <is>
          <t>SDIA 23 JATIKRAMAT</t>
        </is>
      </c>
      <c r="D121" s="3" t="n"/>
      <c r="E121" s="3" t="inlineStr">
        <is>
          <t>Whiteboard</t>
        </is>
      </c>
      <c r="F121" s="3" t="inlineStr">
        <is>
          <t>Whiteboard</t>
        </is>
      </c>
      <c r="G121" s="3" t="n"/>
      <c r="H121" s="3" t="n"/>
      <c r="I121" s="3" t="n">
        <v>1</v>
      </c>
      <c r="J121" s="4" t="n"/>
      <c r="K121" s="3" t="n">
        <v>2018</v>
      </c>
      <c r="L121" s="5" t="n"/>
      <c r="M121" s="5" t="n">
        <v>600000</v>
      </c>
      <c r="N121" s="3" t="n"/>
      <c r="O121" s="3" t="n">
        <v>4</v>
      </c>
      <c r="P121" s="5" t="n">
        <v>600000</v>
      </c>
      <c r="Q121" s="5" t="n">
        <v>0</v>
      </c>
      <c r="R121" s="3" t="inlineStr"/>
      <c r="S121" s="3" t="inlineStr">
        <is>
          <t>Aktif</t>
        </is>
      </c>
      <c r="T121" s="3" t="n"/>
      <c r="U121" s="3" t="inlineStr">
        <is>
          <t>LIST ASSET YPIK 2025(1).xlsx | Inv. SDIA</t>
        </is>
      </c>
    </row>
    <row r="122">
      <c r="A122" s="3" t="n">
        <v>119</v>
      </c>
      <c r="B122" s="3" t="n"/>
      <c r="C122" s="3" t="inlineStr">
        <is>
          <t>SDIA 23 JATIKRAMAT</t>
        </is>
      </c>
      <c r="D122" s="3" t="n"/>
      <c r="E122" s="3" t="inlineStr">
        <is>
          <t>Rak Sandal/Sepatu</t>
        </is>
      </c>
      <c r="F122" s="3" t="inlineStr">
        <is>
          <t>Rak Sandal/Sepatu</t>
        </is>
      </c>
      <c r="G122" s="3" t="n"/>
      <c r="H122" s="3" t="n"/>
      <c r="I122" s="3" t="n">
        <v>1</v>
      </c>
      <c r="J122" s="4" t="n"/>
      <c r="K122" s="3" t="n">
        <v>2018</v>
      </c>
      <c r="L122" s="5" t="n"/>
      <c r="M122" s="5" t="n">
        <v>2500000</v>
      </c>
      <c r="N122" s="3" t="n"/>
      <c r="O122" s="3" t="n">
        <v>4</v>
      </c>
      <c r="P122" s="5" t="n">
        <v>2500000</v>
      </c>
      <c r="Q122" s="5" t="n">
        <v>0</v>
      </c>
      <c r="R122" s="3" t="inlineStr"/>
      <c r="S122" s="3" t="inlineStr">
        <is>
          <t>Aktif</t>
        </is>
      </c>
      <c r="T122" s="3" t="n"/>
      <c r="U122" s="3" t="inlineStr">
        <is>
          <t>LIST ASSET YPIK 2025(1).xlsx | Inv. SDIA</t>
        </is>
      </c>
    </row>
    <row r="123">
      <c r="A123" s="3" t="n">
        <v>120</v>
      </c>
      <c r="B123" s="3" t="n"/>
      <c r="C123" s="3" t="inlineStr">
        <is>
          <t>SDIA 23 JATIKRAMAT</t>
        </is>
      </c>
      <c r="D123" s="3" t="n"/>
      <c r="E123" s="3" t="inlineStr">
        <is>
          <t>Kursi Murid 6 Abu</t>
        </is>
      </c>
      <c r="F123" s="3" t="inlineStr">
        <is>
          <t>Kursi Murid 6 Abu</t>
        </is>
      </c>
      <c r="G123" s="3" t="n"/>
      <c r="H123" s="3" t="n"/>
      <c r="I123" s="3" t="n">
        <v>29</v>
      </c>
      <c r="J123" s="4" t="n"/>
      <c r="K123" s="3" t="n">
        <v>2018</v>
      </c>
      <c r="L123" s="5" t="n"/>
      <c r="M123" s="5" t="n">
        <v>7250000</v>
      </c>
      <c r="N123" s="3" t="n"/>
      <c r="O123" s="3" t="n">
        <v>4</v>
      </c>
      <c r="P123" s="5" t="n">
        <v>7250000</v>
      </c>
      <c r="Q123" s="5" t="n">
        <v>0</v>
      </c>
      <c r="R123" s="3" t="inlineStr"/>
      <c r="S123" s="3" t="inlineStr">
        <is>
          <t>Aktif</t>
        </is>
      </c>
      <c r="T123" s="3" t="n"/>
      <c r="U123" s="3" t="inlineStr">
        <is>
          <t>LIST ASSET YPIK 2025(1).xlsx | Inv. SDIA</t>
        </is>
      </c>
    </row>
    <row r="124">
      <c r="A124" s="3" t="n">
        <v>121</v>
      </c>
      <c r="B124" s="3" t="n"/>
      <c r="C124" s="3" t="inlineStr">
        <is>
          <t>SDIA 23 JATIKRAMAT</t>
        </is>
      </c>
      <c r="D124" s="3" t="n"/>
      <c r="E124" s="3" t="inlineStr">
        <is>
          <t>Meja Murid 6 Abu</t>
        </is>
      </c>
      <c r="F124" s="3" t="inlineStr">
        <is>
          <t>Meja Murid 6 Abu</t>
        </is>
      </c>
      <c r="G124" s="3" t="n"/>
      <c r="H124" s="3" t="n"/>
      <c r="I124" s="3" t="n">
        <v>29</v>
      </c>
      <c r="J124" s="4" t="n"/>
      <c r="K124" s="3" t="n">
        <v>2018</v>
      </c>
      <c r="L124" s="5" t="n"/>
      <c r="M124" s="5" t="n">
        <v>4350000</v>
      </c>
      <c r="N124" s="3" t="n"/>
      <c r="O124" s="3" t="n">
        <v>4</v>
      </c>
      <c r="P124" s="5" t="n">
        <v>4350000</v>
      </c>
      <c r="Q124" s="5" t="n">
        <v>0</v>
      </c>
      <c r="R124" s="3" t="inlineStr"/>
      <c r="S124" s="3" t="inlineStr">
        <is>
          <t>Aktif</t>
        </is>
      </c>
      <c r="T124" s="3" t="n"/>
      <c r="U124" s="3" t="inlineStr">
        <is>
          <t>LIST ASSET YPIK 2025(1).xlsx | Inv. SDIA</t>
        </is>
      </c>
    </row>
    <row r="125">
      <c r="A125" s="3" t="n">
        <v>122</v>
      </c>
      <c r="B125" s="3" t="n"/>
      <c r="C125" s="3" t="inlineStr">
        <is>
          <t>SDIA 23 JATIKRAMAT</t>
        </is>
      </c>
      <c r="D125" s="3" t="n"/>
      <c r="E125" s="3" t="inlineStr">
        <is>
          <t>Lemari Guru</t>
        </is>
      </c>
      <c r="F125" s="3" t="inlineStr">
        <is>
          <t>Lemari Guru</t>
        </is>
      </c>
      <c r="G125" s="3" t="n"/>
      <c r="H125" s="3" t="n"/>
      <c r="I125" s="3" t="n">
        <v>1</v>
      </c>
      <c r="J125" s="4" t="n"/>
      <c r="K125" s="3" t="n">
        <v>2018</v>
      </c>
      <c r="L125" s="5" t="n"/>
      <c r="M125" s="5" t="n">
        <v>2000000</v>
      </c>
      <c r="N125" s="3" t="n"/>
      <c r="O125" s="3" t="n">
        <v>4</v>
      </c>
      <c r="P125" s="5" t="n">
        <v>2000000</v>
      </c>
      <c r="Q125" s="5" t="n">
        <v>0</v>
      </c>
      <c r="R125" s="3" t="inlineStr"/>
      <c r="S125" s="3" t="inlineStr">
        <is>
          <t>Aktif</t>
        </is>
      </c>
      <c r="T125" s="3" t="n"/>
      <c r="U125" s="3" t="inlineStr">
        <is>
          <t>LIST ASSET YPIK 2025(1).xlsx | Inv. SDIA</t>
        </is>
      </c>
    </row>
    <row r="126">
      <c r="A126" s="3" t="n">
        <v>123</v>
      </c>
      <c r="B126" s="3" t="n"/>
      <c r="C126" s="3" t="inlineStr">
        <is>
          <t>SDIA 23 JATIKRAMAT</t>
        </is>
      </c>
      <c r="D126" s="3" t="n"/>
      <c r="E126" s="3" t="inlineStr">
        <is>
          <t>Meja Guru</t>
        </is>
      </c>
      <c r="F126" s="3" t="inlineStr">
        <is>
          <t>Meja Guru</t>
        </is>
      </c>
      <c r="G126" s="3" t="n"/>
      <c r="H126" s="3" t="n"/>
      <c r="I126" s="3" t="n">
        <v>2</v>
      </c>
      <c r="J126" s="4" t="n"/>
      <c r="K126" s="3" t="n">
        <v>2018</v>
      </c>
      <c r="L126" s="5" t="n"/>
      <c r="M126" s="5" t="n">
        <v>1500000</v>
      </c>
      <c r="N126" s="3" t="n"/>
      <c r="O126" s="3" t="n">
        <v>4</v>
      </c>
      <c r="P126" s="5" t="n">
        <v>1500000</v>
      </c>
      <c r="Q126" s="5" t="n">
        <v>0</v>
      </c>
      <c r="R126" s="3" t="inlineStr"/>
      <c r="S126" s="3" t="inlineStr">
        <is>
          <t>Aktif</t>
        </is>
      </c>
      <c r="T126" s="3" t="n"/>
      <c r="U126" s="3" t="inlineStr">
        <is>
          <t>LIST ASSET YPIK 2025(1).xlsx | Inv. SDIA</t>
        </is>
      </c>
    </row>
    <row r="127">
      <c r="A127" s="3" t="n">
        <v>124</v>
      </c>
      <c r="B127" s="3" t="n"/>
      <c r="C127" s="3" t="inlineStr">
        <is>
          <t>SDIA 23 JATIKRAMAT</t>
        </is>
      </c>
      <c r="D127" s="3" t="n"/>
      <c r="E127" s="3" t="inlineStr">
        <is>
          <t>Kursi Guru</t>
        </is>
      </c>
      <c r="F127" s="3" t="inlineStr">
        <is>
          <t>Kursi Guru</t>
        </is>
      </c>
      <c r="G127" s="3" t="n"/>
      <c r="H127" s="3" t="n"/>
      <c r="I127" s="3" t="n">
        <v>2</v>
      </c>
      <c r="J127" s="4" t="n"/>
      <c r="K127" s="3" t="n">
        <v>2018</v>
      </c>
      <c r="L127" s="5" t="n"/>
      <c r="M127" s="5" t="n">
        <v>300000</v>
      </c>
      <c r="N127" s="3" t="n"/>
      <c r="O127" s="3" t="n">
        <v>4</v>
      </c>
      <c r="P127" s="5" t="n">
        <v>300000</v>
      </c>
      <c r="Q127" s="5" t="n">
        <v>0</v>
      </c>
      <c r="R127" s="3" t="inlineStr"/>
      <c r="S127" s="3" t="inlineStr">
        <is>
          <t>Aktif</t>
        </is>
      </c>
      <c r="T127" s="3" t="n"/>
      <c r="U127" s="3" t="inlineStr">
        <is>
          <t>LIST ASSET YPIK 2025(1).xlsx | Inv. SDIA</t>
        </is>
      </c>
    </row>
    <row r="128">
      <c r="A128" s="3" t="n">
        <v>125</v>
      </c>
      <c r="B128" s="3" t="n"/>
      <c r="C128" s="3" t="inlineStr">
        <is>
          <t>SDIA 23 JATIKRAMAT</t>
        </is>
      </c>
      <c r="D128" s="3" t="n"/>
      <c r="E128" s="3" t="inlineStr">
        <is>
          <t>Meja Murid 6 Umar</t>
        </is>
      </c>
      <c r="F128" s="3" t="inlineStr">
        <is>
          <t>Meja Murid 6 Umar</t>
        </is>
      </c>
      <c r="G128" s="3" t="n"/>
      <c r="H128" s="3" t="n"/>
      <c r="I128" s="3" t="n">
        <v>28</v>
      </c>
      <c r="J128" s="4" t="n"/>
      <c r="K128" s="3" t="n">
        <v>2018</v>
      </c>
      <c r="L128" s="5" t="n"/>
      <c r="M128" s="5" t="n">
        <v>7000000</v>
      </c>
      <c r="N128" s="3" t="n"/>
      <c r="O128" s="3" t="n">
        <v>4</v>
      </c>
      <c r="P128" s="5" t="n">
        <v>7000000</v>
      </c>
      <c r="Q128" s="5" t="n">
        <v>0</v>
      </c>
      <c r="R128" s="3" t="inlineStr"/>
      <c r="S128" s="3" t="inlineStr">
        <is>
          <t>Aktif</t>
        </is>
      </c>
      <c r="T128" s="3" t="n"/>
      <c r="U128" s="3" t="inlineStr">
        <is>
          <t>LIST ASSET YPIK 2025(1).xlsx | Inv. SDIA</t>
        </is>
      </c>
    </row>
    <row r="129">
      <c r="A129" s="3" t="n">
        <v>126</v>
      </c>
      <c r="B129" s="3" t="n"/>
      <c r="C129" s="3" t="inlineStr">
        <is>
          <t>SDIA 23 JATIKRAMAT</t>
        </is>
      </c>
      <c r="D129" s="3" t="n"/>
      <c r="E129" s="3" t="inlineStr">
        <is>
          <t>Kursi Murid 6 Umar</t>
        </is>
      </c>
      <c r="F129" s="3" t="inlineStr">
        <is>
          <t>Kursi Murid 6 Umar</t>
        </is>
      </c>
      <c r="G129" s="3" t="n"/>
      <c r="H129" s="3" t="n"/>
      <c r="I129" s="3" t="n">
        <v>28</v>
      </c>
      <c r="J129" s="4" t="n"/>
      <c r="K129" s="3" t="n">
        <v>2018</v>
      </c>
      <c r="L129" s="5" t="n"/>
      <c r="M129" s="5" t="n">
        <v>4200000</v>
      </c>
      <c r="N129" s="3" t="n"/>
      <c r="O129" s="3" t="n">
        <v>4</v>
      </c>
      <c r="P129" s="5" t="n">
        <v>4200000</v>
      </c>
      <c r="Q129" s="5" t="n">
        <v>0</v>
      </c>
      <c r="R129" s="3" t="inlineStr"/>
      <c r="S129" s="3" t="inlineStr">
        <is>
          <t>Aktif</t>
        </is>
      </c>
      <c r="T129" s="3" t="n"/>
      <c r="U129" s="3" t="inlineStr">
        <is>
          <t>LIST ASSET YPIK 2025(1).xlsx | Inv. SDIA</t>
        </is>
      </c>
    </row>
    <row r="130">
      <c r="A130" s="3" t="n">
        <v>127</v>
      </c>
      <c r="B130" s="3" t="n"/>
      <c r="C130" s="3" t="inlineStr">
        <is>
          <t>SDIA 23 JATIKRAMAT</t>
        </is>
      </c>
      <c r="D130" s="3" t="n"/>
      <c r="E130" s="3" t="inlineStr">
        <is>
          <t>Loker Murid</t>
        </is>
      </c>
      <c r="F130" s="3" t="inlineStr">
        <is>
          <t>Loker Murid</t>
        </is>
      </c>
      <c r="G130" s="3" t="n"/>
      <c r="H130" s="3" t="n"/>
      <c r="I130" s="3" t="n">
        <v>2</v>
      </c>
      <c r="J130" s="4" t="n"/>
      <c r="K130" s="3" t="n">
        <v>2018</v>
      </c>
      <c r="L130" s="5" t="n"/>
      <c r="M130" s="5" t="n">
        <v>2500000</v>
      </c>
      <c r="N130" s="3" t="n"/>
      <c r="O130" s="3" t="n">
        <v>4</v>
      </c>
      <c r="P130" s="5" t="n">
        <v>2500000</v>
      </c>
      <c r="Q130" s="5" t="n">
        <v>0</v>
      </c>
      <c r="R130" s="3" t="inlineStr"/>
      <c r="S130" s="3" t="inlineStr">
        <is>
          <t>Aktif</t>
        </is>
      </c>
      <c r="T130" s="3" t="n"/>
      <c r="U130" s="3" t="inlineStr">
        <is>
          <t>LIST ASSET YPIK 2025(1).xlsx | Inv. SDIA</t>
        </is>
      </c>
    </row>
    <row r="131">
      <c r="A131" s="3" t="n">
        <v>128</v>
      </c>
      <c r="B131" s="3" t="n"/>
      <c r="C131" s="3" t="inlineStr">
        <is>
          <t>SDIA 23 JATIKRAMAT</t>
        </is>
      </c>
      <c r="D131" s="3" t="n"/>
      <c r="E131" s="3" t="inlineStr">
        <is>
          <t>Mading Besar</t>
        </is>
      </c>
      <c r="F131" s="3" t="inlineStr">
        <is>
          <t>Mading Besar</t>
        </is>
      </c>
      <c r="G131" s="3" t="n"/>
      <c r="H131" s="3" t="n"/>
      <c r="I131" s="3" t="n">
        <v>1</v>
      </c>
      <c r="J131" s="4" t="n"/>
      <c r="K131" s="3" t="n">
        <v>2018</v>
      </c>
      <c r="L131" s="5" t="n"/>
      <c r="M131" s="5" t="n">
        <v>1000000</v>
      </c>
      <c r="N131" s="3" t="n"/>
      <c r="O131" s="3" t="n">
        <v>4</v>
      </c>
      <c r="P131" s="5" t="n">
        <v>1000000</v>
      </c>
      <c r="Q131" s="5" t="n">
        <v>0</v>
      </c>
      <c r="R131" s="3" t="inlineStr"/>
      <c r="S131" s="3" t="inlineStr">
        <is>
          <t>Aktif</t>
        </is>
      </c>
      <c r="T131" s="3" t="n"/>
      <c r="U131" s="3" t="inlineStr">
        <is>
          <t>LIST ASSET YPIK 2025(1).xlsx | Inv. SDIA</t>
        </is>
      </c>
    </row>
    <row r="132">
      <c r="A132" s="3" t="n">
        <v>129</v>
      </c>
      <c r="B132" s="3" t="n"/>
      <c r="C132" s="3" t="inlineStr">
        <is>
          <t>SDIA 23 JATIKRAMAT</t>
        </is>
      </c>
      <c r="D132" s="3" t="n"/>
      <c r="E132" s="3" t="inlineStr">
        <is>
          <t>Whiteboard</t>
        </is>
      </c>
      <c r="F132" s="3" t="inlineStr">
        <is>
          <t>Whiteboard</t>
        </is>
      </c>
      <c r="G132" s="3" t="n"/>
      <c r="H132" s="3" t="n"/>
      <c r="I132" s="3" t="n">
        <v>1</v>
      </c>
      <c r="J132" s="4" t="n"/>
      <c r="K132" s="3" t="n">
        <v>2018</v>
      </c>
      <c r="L132" s="5" t="n"/>
      <c r="M132" s="5" t="n">
        <v>400000</v>
      </c>
      <c r="N132" s="3" t="n"/>
      <c r="O132" s="3" t="n">
        <v>4</v>
      </c>
      <c r="P132" s="5" t="n">
        <v>400000</v>
      </c>
      <c r="Q132" s="5" t="n">
        <v>0</v>
      </c>
      <c r="R132" s="3" t="inlineStr"/>
      <c r="S132" s="3" t="inlineStr">
        <is>
          <t>Aktif</t>
        </is>
      </c>
      <c r="T132" s="3" t="n"/>
      <c r="U132" s="3" t="inlineStr">
        <is>
          <t>LIST ASSET YPIK 2025(1).xlsx | Inv. SDIA</t>
        </is>
      </c>
    </row>
    <row r="133">
      <c r="A133" s="3" t="n">
        <v>130</v>
      </c>
      <c r="B133" s="3" t="n"/>
      <c r="C133" s="3" t="inlineStr">
        <is>
          <t>SDIA 23 JATIKRAMAT</t>
        </is>
      </c>
      <c r="D133" s="3" t="n"/>
      <c r="E133" s="3" t="inlineStr">
        <is>
          <t>Lemari Guru</t>
        </is>
      </c>
      <c r="F133" s="3" t="inlineStr">
        <is>
          <t>Lemari Guru</t>
        </is>
      </c>
      <c r="G133" s="3" t="n"/>
      <c r="H133" s="3" t="n"/>
      <c r="I133" s="3" t="n">
        <v>1</v>
      </c>
      <c r="J133" s="4" t="n"/>
      <c r="K133" s="3" t="n">
        <v>2018</v>
      </c>
      <c r="L133" s="5" t="n"/>
      <c r="M133" s="5" t="n">
        <v>2000000</v>
      </c>
      <c r="N133" s="3" t="n"/>
      <c r="O133" s="3" t="n">
        <v>4</v>
      </c>
      <c r="P133" s="5" t="n">
        <v>2000000</v>
      </c>
      <c r="Q133" s="5" t="n">
        <v>0</v>
      </c>
      <c r="R133" s="3" t="inlineStr"/>
      <c r="S133" s="3" t="inlineStr">
        <is>
          <t>Aktif</t>
        </is>
      </c>
      <c r="T133" s="3" t="n"/>
      <c r="U133" s="3" t="inlineStr">
        <is>
          <t>LIST ASSET YPIK 2025(1).xlsx | Inv. SDIA</t>
        </is>
      </c>
    </row>
    <row r="134">
      <c r="A134" s="3" t="n">
        <v>131</v>
      </c>
      <c r="B134" s="3" t="n"/>
      <c r="C134" s="3" t="inlineStr">
        <is>
          <t>SDIA 23 JATIKRAMAT</t>
        </is>
      </c>
      <c r="D134" s="3" t="n"/>
      <c r="E134" s="3" t="inlineStr">
        <is>
          <t>Meja Guru</t>
        </is>
      </c>
      <c r="F134" s="3" t="inlineStr">
        <is>
          <t>Meja Guru</t>
        </is>
      </c>
      <c r="G134" s="3" t="n"/>
      <c r="H134" s="3" t="n"/>
      <c r="I134" s="3" t="n">
        <v>1</v>
      </c>
      <c r="J134" s="4" t="n"/>
      <c r="K134" s="3" t="n">
        <v>2018</v>
      </c>
      <c r="L134" s="5" t="n"/>
      <c r="M134" s="5" t="n">
        <v>1600000</v>
      </c>
      <c r="N134" s="3" t="n"/>
      <c r="O134" s="3" t="n">
        <v>4</v>
      </c>
      <c r="P134" s="5" t="n">
        <v>1600000</v>
      </c>
      <c r="Q134" s="5" t="n">
        <v>0</v>
      </c>
      <c r="R134" s="3" t="inlineStr"/>
      <c r="S134" s="3" t="inlineStr">
        <is>
          <t>Aktif</t>
        </is>
      </c>
      <c r="T134" s="3" t="n"/>
      <c r="U134" s="3" t="inlineStr">
        <is>
          <t>LIST ASSET YPIK 2025(1).xlsx | Inv. SDIA</t>
        </is>
      </c>
    </row>
    <row r="135">
      <c r="A135" s="3" t="n">
        <v>132</v>
      </c>
      <c r="B135" s="3" t="n"/>
      <c r="C135" s="3" t="inlineStr">
        <is>
          <t>SDIA 23 JATIKRAMAT</t>
        </is>
      </c>
      <c r="D135" s="3" t="n"/>
      <c r="E135" s="3" t="inlineStr">
        <is>
          <t>Kursi Guru</t>
        </is>
      </c>
      <c r="F135" s="3" t="inlineStr">
        <is>
          <t>Kursi Guru</t>
        </is>
      </c>
      <c r="G135" s="3" t="n"/>
      <c r="H135" s="3" t="n"/>
      <c r="I135" s="3" t="n">
        <v>1</v>
      </c>
      <c r="J135" s="4" t="n"/>
      <c r="K135" s="3" t="n">
        <v>2018</v>
      </c>
      <c r="L135" s="5" t="n"/>
      <c r="M135" s="5" t="n">
        <v>300000</v>
      </c>
      <c r="N135" s="3" t="n"/>
      <c r="O135" s="3" t="n">
        <v>4</v>
      </c>
      <c r="P135" s="5" t="n">
        <v>300000</v>
      </c>
      <c r="Q135" s="5" t="n">
        <v>0</v>
      </c>
      <c r="R135" s="3" t="inlineStr"/>
      <c r="S135" s="3" t="inlineStr">
        <is>
          <t>Aktif</t>
        </is>
      </c>
      <c r="T135" s="3" t="n"/>
      <c r="U135" s="3" t="inlineStr">
        <is>
          <t>LIST ASSET YPIK 2025(1).xlsx | Inv. SDIA</t>
        </is>
      </c>
    </row>
    <row r="136">
      <c r="A136" s="3" t="n">
        <v>133</v>
      </c>
      <c r="B136" s="3" t="n"/>
      <c r="C136" s="3" t="inlineStr">
        <is>
          <t>SDIA 23 JATIKRAMAT</t>
        </is>
      </c>
      <c r="D136" s="3" t="n"/>
      <c r="E136" s="3" t="inlineStr">
        <is>
          <t>Meja Murid 5 Abu</t>
        </is>
      </c>
      <c r="F136" s="3" t="inlineStr">
        <is>
          <t>Meja Murid 5 Abu</t>
        </is>
      </c>
      <c r="G136" s="3" t="n"/>
      <c r="H136" s="3" t="n"/>
      <c r="I136" s="3" t="n">
        <v>28</v>
      </c>
      <c r="J136" s="4" t="n"/>
      <c r="K136" s="3" t="n">
        <v>2018</v>
      </c>
      <c r="L136" s="5" t="n"/>
      <c r="M136" s="5" t="n">
        <v>7000000</v>
      </c>
      <c r="N136" s="3" t="n"/>
      <c r="O136" s="3" t="n">
        <v>4</v>
      </c>
      <c r="P136" s="5" t="n">
        <v>7000000</v>
      </c>
      <c r="Q136" s="5" t="n">
        <v>0</v>
      </c>
      <c r="R136" s="3" t="inlineStr"/>
      <c r="S136" s="3" t="inlineStr">
        <is>
          <t>Aktif</t>
        </is>
      </c>
      <c r="T136" s="3" t="n"/>
      <c r="U136" s="3" t="inlineStr">
        <is>
          <t>LIST ASSET YPIK 2025(1).xlsx | Inv. SDIA</t>
        </is>
      </c>
    </row>
    <row r="137">
      <c r="A137" s="3" t="n">
        <v>134</v>
      </c>
      <c r="B137" s="3" t="n"/>
      <c r="C137" s="3" t="inlineStr">
        <is>
          <t>SDIA 23 JATIKRAMAT</t>
        </is>
      </c>
      <c r="D137" s="3" t="n"/>
      <c r="E137" s="3" t="inlineStr">
        <is>
          <t>Kursi Murid 5 Abu</t>
        </is>
      </c>
      <c r="F137" s="3" t="inlineStr">
        <is>
          <t>Kursi Murid 5 Abu</t>
        </is>
      </c>
      <c r="G137" s="3" t="n"/>
      <c r="H137" s="3" t="n"/>
      <c r="I137" s="3" t="n">
        <v>28</v>
      </c>
      <c r="J137" s="4" t="n"/>
      <c r="K137" s="3" t="n">
        <v>2018</v>
      </c>
      <c r="L137" s="5" t="n"/>
      <c r="M137" s="5" t="n">
        <v>4200000</v>
      </c>
      <c r="N137" s="3" t="n"/>
      <c r="O137" s="3" t="n">
        <v>4</v>
      </c>
      <c r="P137" s="5" t="n">
        <v>4200000</v>
      </c>
      <c r="Q137" s="5" t="n">
        <v>0</v>
      </c>
      <c r="R137" s="3" t="inlineStr"/>
      <c r="S137" s="3" t="inlineStr">
        <is>
          <t>Aktif</t>
        </is>
      </c>
      <c r="T137" s="3" t="n"/>
      <c r="U137" s="3" t="inlineStr">
        <is>
          <t>LIST ASSET YPIK 2025(1).xlsx | Inv. SDIA</t>
        </is>
      </c>
    </row>
    <row r="138">
      <c r="A138" s="3" t="n">
        <v>135</v>
      </c>
      <c r="B138" s="3" t="n"/>
      <c r="C138" s="3" t="inlineStr">
        <is>
          <t>SDIA 23 JATIKRAMAT</t>
        </is>
      </c>
      <c r="D138" s="3" t="n"/>
      <c r="E138" s="3" t="inlineStr">
        <is>
          <t>Mading Besar</t>
        </is>
      </c>
      <c r="F138" s="3" t="inlineStr">
        <is>
          <t>Mading Besar</t>
        </is>
      </c>
      <c r="G138" s="3" t="n"/>
      <c r="H138" s="3" t="n"/>
      <c r="I138" s="3" t="n">
        <v>1</v>
      </c>
      <c r="J138" s="4" t="n"/>
      <c r="K138" s="3" t="n">
        <v>2018</v>
      </c>
      <c r="L138" s="5" t="n"/>
      <c r="M138" s="5" t="n">
        <v>1000000</v>
      </c>
      <c r="N138" s="3" t="n"/>
      <c r="O138" s="3" t="n">
        <v>4</v>
      </c>
      <c r="P138" s="5" t="n">
        <v>1000000</v>
      </c>
      <c r="Q138" s="5" t="n">
        <v>0</v>
      </c>
      <c r="R138" s="3" t="inlineStr"/>
      <c r="S138" s="3" t="inlineStr">
        <is>
          <t>Aktif</t>
        </is>
      </c>
      <c r="T138" s="3" t="n"/>
      <c r="U138" s="3" t="inlineStr">
        <is>
          <t>LIST ASSET YPIK 2025(1).xlsx | Inv. SDIA</t>
        </is>
      </c>
    </row>
    <row r="139">
      <c r="A139" s="3" t="n">
        <v>136</v>
      </c>
      <c r="B139" s="3" t="n"/>
      <c r="C139" s="3" t="inlineStr">
        <is>
          <t>SDIA 23 JATIKRAMAT</t>
        </is>
      </c>
      <c r="D139" s="3" t="n"/>
      <c r="E139" s="3" t="inlineStr">
        <is>
          <t>Whiteboard</t>
        </is>
      </c>
      <c r="F139" s="3" t="inlineStr">
        <is>
          <t>Whiteboard</t>
        </is>
      </c>
      <c r="G139" s="3" t="n"/>
      <c r="H139" s="3" t="n"/>
      <c r="I139" s="3" t="n">
        <v>1</v>
      </c>
      <c r="J139" s="4" t="n"/>
      <c r="K139" s="3" t="n">
        <v>2018</v>
      </c>
      <c r="L139" s="5" t="n"/>
      <c r="M139" s="5" t="n">
        <v>800000</v>
      </c>
      <c r="N139" s="3" t="n"/>
      <c r="O139" s="3" t="n">
        <v>4</v>
      </c>
      <c r="P139" s="5" t="n">
        <v>800000</v>
      </c>
      <c r="Q139" s="5" t="n">
        <v>0</v>
      </c>
      <c r="R139" s="3" t="inlineStr"/>
      <c r="S139" s="3" t="inlineStr">
        <is>
          <t>Aktif</t>
        </is>
      </c>
      <c r="T139" s="3" t="n"/>
      <c r="U139" s="3" t="inlineStr">
        <is>
          <t>LIST ASSET YPIK 2025(1).xlsx | Inv. SDIA</t>
        </is>
      </c>
    </row>
    <row r="140">
      <c r="A140" s="3" t="n">
        <v>137</v>
      </c>
      <c r="B140" s="3" t="n"/>
      <c r="C140" s="3" t="inlineStr">
        <is>
          <t>SDIA 23 JATIKRAMAT</t>
        </is>
      </c>
      <c r="D140" s="3" t="n"/>
      <c r="E140" s="3" t="inlineStr">
        <is>
          <t>Meja Guru</t>
        </is>
      </c>
      <c r="F140" s="3" t="inlineStr">
        <is>
          <t>Meja Guru</t>
        </is>
      </c>
      <c r="G140" s="3" t="n"/>
      <c r="H140" s="3" t="n"/>
      <c r="I140" s="3" t="n">
        <v>1</v>
      </c>
      <c r="J140" s="4" t="n"/>
      <c r="K140" s="3" t="n">
        <v>2018</v>
      </c>
      <c r="L140" s="5" t="n"/>
      <c r="M140" s="5" t="n">
        <v>400000</v>
      </c>
      <c r="N140" s="3" t="n"/>
      <c r="O140" s="3" t="n">
        <v>4</v>
      </c>
      <c r="P140" s="5" t="n">
        <v>400000</v>
      </c>
      <c r="Q140" s="5" t="n">
        <v>0</v>
      </c>
      <c r="R140" s="3" t="inlineStr"/>
      <c r="S140" s="3" t="inlineStr">
        <is>
          <t>Aktif</t>
        </is>
      </c>
      <c r="T140" s="3" t="n"/>
      <c r="U140" s="3" t="inlineStr">
        <is>
          <t>LIST ASSET YPIK 2025(1).xlsx | Inv. SDIA</t>
        </is>
      </c>
    </row>
    <row r="141">
      <c r="A141" s="3" t="n">
        <v>138</v>
      </c>
      <c r="B141" s="3" t="n"/>
      <c r="C141" s="3" t="inlineStr">
        <is>
          <t>SDIA 23 JATIKRAMAT</t>
        </is>
      </c>
      <c r="D141" s="3" t="n"/>
      <c r="E141" s="3" t="inlineStr">
        <is>
          <t>Kursi Guru</t>
        </is>
      </c>
      <c r="F141" s="3" t="inlineStr">
        <is>
          <t>Kursi Guru</t>
        </is>
      </c>
      <c r="G141" s="3" t="n"/>
      <c r="H141" s="3" t="n"/>
      <c r="I141" s="3" t="n">
        <v>1</v>
      </c>
      <c r="J141" s="4" t="n"/>
      <c r="K141" s="3" t="n">
        <v>2018</v>
      </c>
      <c r="L141" s="5" t="n"/>
      <c r="M141" s="5" t="n">
        <v>400000</v>
      </c>
      <c r="N141" s="3" t="n"/>
      <c r="O141" s="3" t="n">
        <v>4</v>
      </c>
      <c r="P141" s="5" t="n">
        <v>400000</v>
      </c>
      <c r="Q141" s="5" t="n">
        <v>0</v>
      </c>
      <c r="R141" s="3" t="inlineStr"/>
      <c r="S141" s="3" t="inlineStr">
        <is>
          <t>Aktif</t>
        </is>
      </c>
      <c r="T141" s="3" t="n"/>
      <c r="U141" s="3" t="inlineStr">
        <is>
          <t>LIST ASSET YPIK 2025(1).xlsx | Inv. SDIA</t>
        </is>
      </c>
    </row>
    <row r="142">
      <c r="A142" s="3" t="n">
        <v>139</v>
      </c>
      <c r="B142" s="3" t="n"/>
      <c r="C142" s="3" t="inlineStr">
        <is>
          <t>SDIA 23 JATIKRAMAT</t>
        </is>
      </c>
      <c r="D142" s="3" t="n"/>
      <c r="E142" s="3" t="inlineStr">
        <is>
          <t>Meja Murid</t>
        </is>
      </c>
      <c r="F142" s="3" t="inlineStr">
        <is>
          <t>Meja Murid</t>
        </is>
      </c>
      <c r="G142" s="3" t="n"/>
      <c r="H142" s="3" t="n"/>
      <c r="I142" s="3" t="n">
        <v>29</v>
      </c>
      <c r="J142" s="4" t="n"/>
      <c r="K142" s="3" t="n">
        <v>2018</v>
      </c>
      <c r="L142" s="5" t="n"/>
      <c r="M142" s="5" t="n">
        <v>7250000</v>
      </c>
      <c r="N142" s="3" t="n"/>
      <c r="O142" s="3" t="n">
        <v>4</v>
      </c>
      <c r="P142" s="5" t="n">
        <v>7250000</v>
      </c>
      <c r="Q142" s="5" t="n">
        <v>0</v>
      </c>
      <c r="R142" s="3" t="inlineStr"/>
      <c r="S142" s="3" t="inlineStr">
        <is>
          <t>Aktif</t>
        </is>
      </c>
      <c r="T142" s="3" t="n"/>
      <c r="U142" s="3" t="inlineStr">
        <is>
          <t>LIST ASSET YPIK 2025(1).xlsx | Inv. SDIA</t>
        </is>
      </c>
    </row>
    <row r="143">
      <c r="A143" s="3" t="n">
        <v>140</v>
      </c>
      <c r="B143" s="3" t="n"/>
      <c r="C143" s="3" t="inlineStr">
        <is>
          <t>SDIA 23 JATIKRAMAT</t>
        </is>
      </c>
      <c r="D143" s="3" t="n"/>
      <c r="E143" s="3" t="inlineStr">
        <is>
          <t>Kursi Murid 5 Umar</t>
        </is>
      </c>
      <c r="F143" s="3" t="inlineStr">
        <is>
          <t>Kursi Murid 5 Umar</t>
        </is>
      </c>
      <c r="G143" s="3" t="n"/>
      <c r="H143" s="3" t="n"/>
      <c r="I143" s="3" t="n">
        <v>29</v>
      </c>
      <c r="J143" s="4" t="n"/>
      <c r="K143" s="3" t="n">
        <v>2018</v>
      </c>
      <c r="L143" s="5" t="n"/>
      <c r="M143" s="5" t="n">
        <v>4350000</v>
      </c>
      <c r="N143" s="3" t="n"/>
      <c r="O143" s="3" t="n">
        <v>4</v>
      </c>
      <c r="P143" s="5" t="n">
        <v>4350000</v>
      </c>
      <c r="Q143" s="5" t="n">
        <v>0</v>
      </c>
      <c r="R143" s="3" t="inlineStr"/>
      <c r="S143" s="3" t="inlineStr">
        <is>
          <t>Aktif</t>
        </is>
      </c>
      <c r="T143" s="3" t="n"/>
      <c r="U143" s="3" t="inlineStr">
        <is>
          <t>LIST ASSET YPIK 2025(1).xlsx | Inv. SDIA</t>
        </is>
      </c>
    </row>
    <row r="144">
      <c r="A144" s="3" t="n">
        <v>141</v>
      </c>
      <c r="B144" s="3" t="n"/>
      <c r="C144" s="3" t="inlineStr">
        <is>
          <t>SDIA 23 JATIKRAMAT</t>
        </is>
      </c>
      <c r="D144" s="3" t="n"/>
      <c r="E144" s="3" t="inlineStr">
        <is>
          <t>Lemari Kelas</t>
        </is>
      </c>
      <c r="F144" s="3" t="inlineStr">
        <is>
          <t>Lemari Kelas</t>
        </is>
      </c>
      <c r="G144" s="3" t="n"/>
      <c r="H144" s="3" t="n"/>
      <c r="I144" s="3" t="n">
        <v>1</v>
      </c>
      <c r="J144" s="4" t="n"/>
      <c r="K144" s="3" t="n">
        <v>2018</v>
      </c>
      <c r="L144" s="5" t="n"/>
      <c r="M144" s="5" t="n">
        <v>800000</v>
      </c>
      <c r="N144" s="3" t="n"/>
      <c r="O144" s="3" t="n">
        <v>4</v>
      </c>
      <c r="P144" s="5" t="n">
        <v>800000</v>
      </c>
      <c r="Q144" s="5" t="n">
        <v>0</v>
      </c>
      <c r="R144" s="3" t="inlineStr"/>
      <c r="S144" s="3" t="inlineStr">
        <is>
          <t>Aktif</t>
        </is>
      </c>
      <c r="T144" s="3" t="n"/>
      <c r="U144" s="3" t="inlineStr">
        <is>
          <t>LIST ASSET YPIK 2025(1).xlsx | Inv. SDIA</t>
        </is>
      </c>
    </row>
    <row r="145">
      <c r="A145" s="3" t="n">
        <v>142</v>
      </c>
      <c r="B145" s="3" t="n"/>
      <c r="C145" s="3" t="inlineStr">
        <is>
          <t>SDIA 23 JATIKRAMAT</t>
        </is>
      </c>
      <c r="D145" s="3" t="n"/>
      <c r="E145" s="3" t="inlineStr">
        <is>
          <t>Mading Besar</t>
        </is>
      </c>
      <c r="F145" s="3" t="inlineStr">
        <is>
          <t>Mading Besar</t>
        </is>
      </c>
      <c r="G145" s="3" t="n"/>
      <c r="H145" s="3" t="n"/>
      <c r="I145" s="3" t="n">
        <v>1</v>
      </c>
      <c r="J145" s="4" t="n"/>
      <c r="K145" s="3" t="n">
        <v>2018</v>
      </c>
      <c r="L145" s="5" t="n"/>
      <c r="M145" s="5" t="n">
        <v>1000000</v>
      </c>
      <c r="N145" s="3" t="n"/>
      <c r="O145" s="3" t="n">
        <v>4</v>
      </c>
      <c r="P145" s="5" t="n">
        <v>1000000</v>
      </c>
      <c r="Q145" s="5" t="n">
        <v>0</v>
      </c>
      <c r="R145" s="3" t="inlineStr"/>
      <c r="S145" s="3" t="inlineStr">
        <is>
          <t>Aktif</t>
        </is>
      </c>
      <c r="T145" s="3" t="n"/>
      <c r="U145" s="3" t="inlineStr">
        <is>
          <t>LIST ASSET YPIK 2025(1).xlsx | Inv. SDIA</t>
        </is>
      </c>
    </row>
    <row r="146">
      <c r="A146" s="3" t="n">
        <v>143</v>
      </c>
      <c r="B146" s="3" t="n"/>
      <c r="C146" s="3" t="inlineStr">
        <is>
          <t>SDIA 23 JATIKRAMAT</t>
        </is>
      </c>
      <c r="D146" s="3" t="n"/>
      <c r="E146" s="3" t="inlineStr">
        <is>
          <t>Loker Murid</t>
        </is>
      </c>
      <c r="F146" s="3" t="inlineStr">
        <is>
          <t>Loker Murid</t>
        </is>
      </c>
      <c r="G146" s="3" t="n"/>
      <c r="H146" s="3" t="n"/>
      <c r="I146" s="3" t="n">
        <v>1</v>
      </c>
      <c r="J146" s="4" t="n"/>
      <c r="K146" s="3" t="n">
        <v>2018</v>
      </c>
      <c r="L146" s="5" t="n"/>
      <c r="M146" s="5" t="n">
        <v>1250000</v>
      </c>
      <c r="N146" s="3" t="n"/>
      <c r="O146" s="3" t="n">
        <v>4</v>
      </c>
      <c r="P146" s="5" t="n">
        <v>1250000</v>
      </c>
      <c r="Q146" s="5" t="n">
        <v>0</v>
      </c>
      <c r="R146" s="3" t="inlineStr"/>
      <c r="S146" s="3" t="inlineStr">
        <is>
          <t>Aktif</t>
        </is>
      </c>
      <c r="T146" s="3" t="n"/>
      <c r="U146" s="3" t="inlineStr">
        <is>
          <t>LIST ASSET YPIK 2025(1).xlsx | Inv. SDIA</t>
        </is>
      </c>
    </row>
    <row r="147">
      <c r="A147" s="3" t="n">
        <v>144</v>
      </c>
      <c r="B147" s="3" t="n"/>
      <c r="C147" s="3" t="inlineStr">
        <is>
          <t>SDIA 23 JATIKRAMAT</t>
        </is>
      </c>
      <c r="D147" s="3" t="n"/>
      <c r="E147" s="3" t="inlineStr">
        <is>
          <t>Whiteboard</t>
        </is>
      </c>
      <c r="F147" s="3" t="inlineStr">
        <is>
          <t>Whiteboard</t>
        </is>
      </c>
      <c r="G147" s="3" t="n"/>
      <c r="H147" s="3" t="n"/>
      <c r="I147" s="3" t="n">
        <v>1</v>
      </c>
      <c r="J147" s="4" t="n"/>
      <c r="K147" s="3" t="n">
        <v>2018</v>
      </c>
      <c r="L147" s="5" t="n"/>
      <c r="M147" s="5" t="n">
        <v>500000</v>
      </c>
      <c r="N147" s="3" t="n"/>
      <c r="O147" s="3" t="n">
        <v>4</v>
      </c>
      <c r="P147" s="5" t="n">
        <v>500000</v>
      </c>
      <c r="Q147" s="5" t="n">
        <v>0</v>
      </c>
      <c r="R147" s="3" t="inlineStr"/>
      <c r="S147" s="3" t="inlineStr">
        <is>
          <t>Aktif</t>
        </is>
      </c>
      <c r="T147" s="3" t="n"/>
      <c r="U147" s="3" t="inlineStr">
        <is>
          <t>LIST ASSET YPIK 2025(1).xlsx | Inv. SDIA</t>
        </is>
      </c>
    </row>
    <row r="148">
      <c r="A148" s="3" t="n">
        <v>145</v>
      </c>
      <c r="B148" s="3" t="n"/>
      <c r="C148" s="3" t="inlineStr">
        <is>
          <t>SDIA 23 JATIKRAMAT</t>
        </is>
      </c>
      <c r="D148" s="3" t="n"/>
      <c r="E148" s="3" t="inlineStr">
        <is>
          <t>Lemari Guru</t>
        </is>
      </c>
      <c r="F148" s="3" t="inlineStr">
        <is>
          <t>Lemari Guru</t>
        </is>
      </c>
      <c r="G148" s="3" t="n"/>
      <c r="H148" s="3" t="n"/>
      <c r="I148" s="3" t="n">
        <v>1</v>
      </c>
      <c r="J148" s="4" t="n"/>
      <c r="K148" s="3" t="n">
        <v>2018</v>
      </c>
      <c r="L148" s="5" t="n"/>
      <c r="M148" s="5" t="n">
        <v>800000</v>
      </c>
      <c r="N148" s="3" t="n"/>
      <c r="O148" s="3" t="n">
        <v>4</v>
      </c>
      <c r="P148" s="5" t="n">
        <v>800000</v>
      </c>
      <c r="Q148" s="5" t="n">
        <v>0</v>
      </c>
      <c r="R148" s="3" t="inlineStr"/>
      <c r="S148" s="3" t="inlineStr">
        <is>
          <t>Aktif</t>
        </is>
      </c>
      <c r="T148" s="3" t="n"/>
      <c r="U148" s="3" t="inlineStr">
        <is>
          <t>LIST ASSET YPIK 2025(1).xlsx | Inv. SDIA</t>
        </is>
      </c>
    </row>
    <row r="149">
      <c r="A149" s="3" t="n">
        <v>146</v>
      </c>
      <c r="B149" s="3" t="n"/>
      <c r="C149" s="3" t="inlineStr">
        <is>
          <t>SDIA 23 JATIKRAMAT</t>
        </is>
      </c>
      <c r="D149" s="3" t="n"/>
      <c r="E149" s="3" t="inlineStr">
        <is>
          <t>Lemari Kayu</t>
        </is>
      </c>
      <c r="F149" s="3" t="inlineStr">
        <is>
          <t>Lemari Kayu</t>
        </is>
      </c>
      <c r="G149" s="3" t="n"/>
      <c r="H149" s="3" t="n"/>
      <c r="I149" s="3" t="n">
        <v>1</v>
      </c>
      <c r="J149" s="4" t="n"/>
      <c r="K149" s="3" t="n">
        <v>2018</v>
      </c>
      <c r="L149" s="5" t="n"/>
      <c r="M149" s="5" t="n">
        <v>800000</v>
      </c>
      <c r="N149" s="3" t="n"/>
      <c r="O149" s="3" t="n">
        <v>4</v>
      </c>
      <c r="P149" s="5" t="n">
        <v>800000</v>
      </c>
      <c r="Q149" s="5" t="n">
        <v>0</v>
      </c>
      <c r="R149" s="3" t="inlineStr"/>
      <c r="S149" s="3" t="inlineStr">
        <is>
          <t>Aktif</t>
        </is>
      </c>
      <c r="T149" s="3" t="n"/>
      <c r="U149" s="3" t="inlineStr">
        <is>
          <t>LIST ASSET YPIK 2025(1).xlsx | Inv. SDIA</t>
        </is>
      </c>
    </row>
    <row r="150">
      <c r="A150" s="3" t="n">
        <v>147</v>
      </c>
      <c r="B150" s="3" t="n"/>
      <c r="C150" s="3" t="inlineStr">
        <is>
          <t>SDIA 23 JATIKRAMAT</t>
        </is>
      </c>
      <c r="D150" s="3" t="n"/>
      <c r="E150" s="3" t="inlineStr">
        <is>
          <t>Tempat Tidur</t>
        </is>
      </c>
      <c r="F150" s="3" t="inlineStr">
        <is>
          <t>Tempat Tidur</t>
        </is>
      </c>
      <c r="G150" s="3" t="n"/>
      <c r="H150" s="3" t="n"/>
      <c r="I150" s="3" t="n">
        <v>1</v>
      </c>
      <c r="J150" s="4" t="n"/>
      <c r="K150" s="3" t="n">
        <v>2018</v>
      </c>
      <c r="L150" s="5" t="n"/>
      <c r="M150" s="5" t="n">
        <v>2000000</v>
      </c>
      <c r="N150" s="3" t="n"/>
      <c r="O150" s="3" t="n">
        <v>4</v>
      </c>
      <c r="P150" s="5" t="n">
        <v>2000000</v>
      </c>
      <c r="Q150" s="5" t="n">
        <v>0</v>
      </c>
      <c r="R150" s="3" t="inlineStr"/>
      <c r="S150" s="3" t="inlineStr">
        <is>
          <t>Aktif</t>
        </is>
      </c>
      <c r="T150" s="3" t="n"/>
      <c r="U150" s="3" t="inlineStr">
        <is>
          <t>LIST ASSET YPIK 2025(1).xlsx | Inv. SDIA</t>
        </is>
      </c>
    </row>
    <row r="151">
      <c r="A151" s="3" t="n">
        <v>148</v>
      </c>
      <c r="B151" s="3" t="n"/>
      <c r="C151" s="3" t="inlineStr">
        <is>
          <t>SDIA 23 JATIKRAMAT</t>
        </is>
      </c>
      <c r="D151" s="3" t="n"/>
      <c r="E151" s="3" t="inlineStr">
        <is>
          <t>Meja Guru</t>
        </is>
      </c>
      <c r="F151" s="3" t="inlineStr">
        <is>
          <t>Meja Guru</t>
        </is>
      </c>
      <c r="G151" s="3" t="n"/>
      <c r="H151" s="3" t="n"/>
      <c r="I151" s="3" t="n">
        <v>1</v>
      </c>
      <c r="J151" s="4" t="n"/>
      <c r="K151" s="3" t="n">
        <v>2018</v>
      </c>
      <c r="L151" s="5" t="n"/>
      <c r="M151" s="5" t="n">
        <v>400000</v>
      </c>
      <c r="N151" s="3" t="n"/>
      <c r="O151" s="3" t="n">
        <v>4</v>
      </c>
      <c r="P151" s="5" t="n">
        <v>400000</v>
      </c>
      <c r="Q151" s="5" t="n">
        <v>0</v>
      </c>
      <c r="R151" s="3" t="inlineStr"/>
      <c r="S151" s="3" t="inlineStr">
        <is>
          <t>Aktif</t>
        </is>
      </c>
      <c r="T151" s="3" t="n"/>
      <c r="U151" s="3" t="inlineStr">
        <is>
          <t>LIST ASSET YPIK 2025(1).xlsx | Inv. SDIA</t>
        </is>
      </c>
    </row>
    <row r="152">
      <c r="A152" s="3" t="n">
        <v>149</v>
      </c>
      <c r="B152" s="3" t="n"/>
      <c r="C152" s="3" t="inlineStr">
        <is>
          <t>SDIA 23 JATIKRAMAT</t>
        </is>
      </c>
      <c r="D152" s="3" t="n"/>
      <c r="E152" s="3" t="inlineStr">
        <is>
          <t>Kursi Guru</t>
        </is>
      </c>
      <c r="F152" s="3" t="inlineStr">
        <is>
          <t>Kursi Guru</t>
        </is>
      </c>
      <c r="G152" s="3" t="n"/>
      <c r="H152" s="3" t="n"/>
      <c r="I152" s="3" t="n">
        <v>1</v>
      </c>
      <c r="J152" s="4" t="n"/>
      <c r="K152" s="3" t="n">
        <v>2018</v>
      </c>
      <c r="L152" s="5" t="n"/>
      <c r="M152" s="5" t="n">
        <v>300000</v>
      </c>
      <c r="N152" s="3" t="n"/>
      <c r="O152" s="3" t="n">
        <v>4</v>
      </c>
      <c r="P152" s="5" t="n">
        <v>300000</v>
      </c>
      <c r="Q152" s="5" t="n">
        <v>0</v>
      </c>
      <c r="R152" s="3" t="inlineStr"/>
      <c r="S152" s="3" t="inlineStr">
        <is>
          <t>Aktif</t>
        </is>
      </c>
      <c r="T152" s="3" t="n"/>
      <c r="U152" s="3" t="inlineStr">
        <is>
          <t>LIST ASSET YPIK 2025(1).xlsx | Inv. SDIA</t>
        </is>
      </c>
    </row>
    <row r="153">
      <c r="A153" s="3" t="n">
        <v>150</v>
      </c>
      <c r="B153" s="3" t="n"/>
      <c r="C153" s="3" t="inlineStr">
        <is>
          <t>SDIA 23 JATIKRAMAT</t>
        </is>
      </c>
      <c r="D153" s="3" t="n"/>
      <c r="E153" s="3" t="inlineStr">
        <is>
          <t>Timbangan Badan</t>
        </is>
      </c>
      <c r="F153" s="3" t="inlineStr">
        <is>
          <t>Timbangan Badan</t>
        </is>
      </c>
      <c r="G153" s="3" t="n"/>
      <c r="H153" s="3" t="n"/>
      <c r="I153" s="3" t="n">
        <v>1</v>
      </c>
      <c r="J153" s="4" t="n"/>
      <c r="K153" s="3" t="n">
        <v>2018</v>
      </c>
      <c r="L153" s="5" t="n"/>
      <c r="M153" s="5" t="n">
        <v>1000000</v>
      </c>
      <c r="N153" s="3" t="n"/>
      <c r="O153" s="3" t="n">
        <v>4</v>
      </c>
      <c r="P153" s="5" t="n">
        <v>1000000</v>
      </c>
      <c r="Q153" s="5" t="n">
        <v>0</v>
      </c>
      <c r="R153" s="3" t="inlineStr"/>
      <c r="S153" s="3" t="inlineStr">
        <is>
          <t>Aktif</t>
        </is>
      </c>
      <c r="T153" s="3" t="n"/>
      <c r="U153" s="3" t="inlineStr">
        <is>
          <t>LIST ASSET YPIK 2025(1).xlsx | Inv. SDIA</t>
        </is>
      </c>
    </row>
    <row r="154">
      <c r="A154" s="3" t="n">
        <v>151</v>
      </c>
      <c r="B154" s="3" t="n"/>
      <c r="C154" s="3" t="inlineStr">
        <is>
          <t>SDIA 23 JATIKRAMAT</t>
        </is>
      </c>
      <c r="D154" s="3" t="n"/>
      <c r="E154" s="3" t="inlineStr">
        <is>
          <t>Rak Sepatu</t>
        </is>
      </c>
      <c r="F154" s="3" t="inlineStr">
        <is>
          <t>Rak Sepatu</t>
        </is>
      </c>
      <c r="G154" s="3" t="n"/>
      <c r="H154" s="3" t="n"/>
      <c r="I154" s="3" t="n">
        <v>1</v>
      </c>
      <c r="J154" s="4" t="n"/>
      <c r="K154" s="3" t="n">
        <v>2018</v>
      </c>
      <c r="L154" s="5" t="n"/>
      <c r="M154" s="5" t="n">
        <v>1250000</v>
      </c>
      <c r="N154" s="3" t="n"/>
      <c r="O154" s="3" t="n">
        <v>4</v>
      </c>
      <c r="P154" s="5" t="n">
        <v>1250000</v>
      </c>
      <c r="Q154" s="5" t="n">
        <v>0</v>
      </c>
      <c r="R154" s="3" t="inlineStr"/>
      <c r="S154" s="3" t="inlineStr">
        <is>
          <t>Aktif</t>
        </is>
      </c>
      <c r="T154" s="3" t="n"/>
      <c r="U154" s="3" t="inlineStr">
        <is>
          <t>LIST ASSET YPIK 2025(1).xlsx | Inv. SDIA</t>
        </is>
      </c>
    </row>
    <row r="155">
      <c r="A155" s="3" t="n">
        <v>152</v>
      </c>
      <c r="B155" s="3" t="n"/>
      <c r="C155" s="3" t="inlineStr">
        <is>
          <t>SDIA 23 JATIKRAMAT</t>
        </is>
      </c>
      <c r="D155" s="3" t="n"/>
      <c r="E155" s="3" t="inlineStr">
        <is>
          <t>Lemari Arsip</t>
        </is>
      </c>
      <c r="F155" s="3" t="inlineStr">
        <is>
          <t>Lemari Arsip</t>
        </is>
      </c>
      <c r="G155" s="3" t="n"/>
      <c r="H155" s="3" t="n"/>
      <c r="I155" s="3" t="n">
        <v>1</v>
      </c>
      <c r="J155" s="4" t="n"/>
      <c r="K155" s="3" t="n">
        <v>2018</v>
      </c>
      <c r="L155" s="5" t="n"/>
      <c r="M155" s="5" t="n">
        <v>800000</v>
      </c>
      <c r="N155" s="3" t="n"/>
      <c r="O155" s="3" t="n">
        <v>4</v>
      </c>
      <c r="P155" s="5" t="n">
        <v>800000</v>
      </c>
      <c r="Q155" s="5" t="n">
        <v>0</v>
      </c>
      <c r="R155" s="3" t="inlineStr"/>
      <c r="S155" s="3" t="inlineStr">
        <is>
          <t>Aktif</t>
        </is>
      </c>
      <c r="T155" s="3" t="n"/>
      <c r="U155" s="3" t="inlineStr">
        <is>
          <t>LIST ASSET YPIK 2025(1).xlsx | Inv. SDIA</t>
        </is>
      </c>
    </row>
    <row r="156">
      <c r="A156" s="3" t="n">
        <v>153</v>
      </c>
      <c r="B156" s="3" t="n"/>
      <c r="C156" s="3" t="inlineStr">
        <is>
          <t>SDIA 23 JATIKRAMAT</t>
        </is>
      </c>
      <c r="D156" s="3" t="n"/>
      <c r="E156" s="3" t="inlineStr">
        <is>
          <t>Whiteboard</t>
        </is>
      </c>
      <c r="F156" s="3" t="inlineStr">
        <is>
          <t>Whiteboard</t>
        </is>
      </c>
      <c r="G156" s="3" t="n"/>
      <c r="H156" s="3" t="n"/>
      <c r="I156" s="3" t="n">
        <v>1</v>
      </c>
      <c r="J156" s="4" t="n"/>
      <c r="K156" s="3" t="n">
        <v>2018</v>
      </c>
      <c r="L156" s="5" t="n"/>
      <c r="M156" s="5" t="n">
        <v>400000</v>
      </c>
      <c r="N156" s="3" t="n"/>
      <c r="O156" s="3" t="n">
        <v>4</v>
      </c>
      <c r="P156" s="5" t="n">
        <v>400000</v>
      </c>
      <c r="Q156" s="5" t="n">
        <v>0</v>
      </c>
      <c r="R156" s="3" t="inlineStr"/>
      <c r="S156" s="3" t="inlineStr">
        <is>
          <t>Aktif</t>
        </is>
      </c>
      <c r="T156" s="3" t="n"/>
      <c r="U156" s="3" t="inlineStr">
        <is>
          <t>LIST ASSET YPIK 2025(1).xlsx | Inv. SDIA</t>
        </is>
      </c>
    </row>
    <row r="157">
      <c r="A157" s="3" t="n">
        <v>154</v>
      </c>
      <c r="B157" s="3" t="n"/>
      <c r="C157" s="3" t="inlineStr">
        <is>
          <t>SDIA 23 JATIKRAMAT</t>
        </is>
      </c>
      <c r="D157" s="3" t="n"/>
      <c r="E157" s="3" t="inlineStr">
        <is>
          <t>Meja Kayu/Meja Panjang</t>
        </is>
      </c>
      <c r="F157" s="3" t="inlineStr">
        <is>
          <t>Meja Kayu/Meja Panjang</t>
        </is>
      </c>
      <c r="G157" s="3" t="n"/>
      <c r="H157" s="3" t="n"/>
      <c r="I157" s="3" t="n">
        <v>1</v>
      </c>
      <c r="J157" s="4" t="n"/>
      <c r="K157" s="3" t="n">
        <v>2018</v>
      </c>
      <c r="L157" s="5" t="n"/>
      <c r="M157" s="5" t="n">
        <v>800000</v>
      </c>
      <c r="N157" s="3" t="n"/>
      <c r="O157" s="3" t="n">
        <v>4</v>
      </c>
      <c r="P157" s="5" t="n">
        <v>800000</v>
      </c>
      <c r="Q157" s="5" t="n">
        <v>0</v>
      </c>
      <c r="R157" s="3" t="inlineStr"/>
      <c r="S157" s="3" t="inlineStr">
        <is>
          <t>Aktif</t>
        </is>
      </c>
      <c r="T157" s="3" t="n"/>
      <c r="U157" s="3" t="inlineStr">
        <is>
          <t>LIST ASSET YPIK 2025(1).xlsx | Inv. SDIA</t>
        </is>
      </c>
    </row>
    <row r="158">
      <c r="A158" s="3" t="n">
        <v>155</v>
      </c>
      <c r="B158" s="3" t="n"/>
      <c r="C158" s="3" t="inlineStr">
        <is>
          <t>SDIA 23 JATIKRAMAT</t>
        </is>
      </c>
      <c r="D158" s="3" t="n"/>
      <c r="E158" s="3" t="inlineStr">
        <is>
          <t>Rak Buku - Terbuka</t>
        </is>
      </c>
      <c r="F158" s="3" t="inlineStr">
        <is>
          <t>Rak Buku - Terbuka</t>
        </is>
      </c>
      <c r="G158" s="3" t="n"/>
      <c r="H158" s="3" t="n"/>
      <c r="I158" s="3" t="n">
        <v>5</v>
      </c>
      <c r="J158" s="4" t="n"/>
      <c r="K158" s="3" t="n">
        <v>2018</v>
      </c>
      <c r="L158" s="5" t="n"/>
      <c r="M158" s="5" t="n">
        <v>6250000</v>
      </c>
      <c r="N158" s="3" t="n"/>
      <c r="O158" s="3" t="n">
        <v>4</v>
      </c>
      <c r="P158" s="5" t="n">
        <v>6250000</v>
      </c>
      <c r="Q158" s="5" t="n">
        <v>0</v>
      </c>
      <c r="R158" s="3" t="inlineStr"/>
      <c r="S158" s="3" t="inlineStr">
        <is>
          <t>Aktif</t>
        </is>
      </c>
      <c r="T158" s="3" t="n"/>
      <c r="U158" s="3" t="inlineStr">
        <is>
          <t>LIST ASSET YPIK 2025(1).xlsx | Inv. SDIA</t>
        </is>
      </c>
    </row>
    <row r="159">
      <c r="A159" s="3" t="n">
        <v>156</v>
      </c>
      <c r="B159" s="3" t="n"/>
      <c r="C159" s="3" t="inlineStr">
        <is>
          <t>SDIA 23 JATIKRAMAT</t>
        </is>
      </c>
      <c r="D159" s="3" t="n"/>
      <c r="E159" s="3" t="inlineStr">
        <is>
          <t>Lemari Arsip</t>
        </is>
      </c>
      <c r="F159" s="3" t="inlineStr">
        <is>
          <t>Lemari Arsip</t>
        </is>
      </c>
      <c r="G159" s="3" t="n"/>
      <c r="H159" s="3" t="n"/>
      <c r="I159" s="3" t="n">
        <v>1</v>
      </c>
      <c r="J159" s="4" t="n"/>
      <c r="K159" s="3" t="n">
        <v>2018</v>
      </c>
      <c r="L159" s="5" t="n"/>
      <c r="M159" s="5" t="n">
        <v>800000</v>
      </c>
      <c r="N159" s="3" t="n"/>
      <c r="O159" s="3" t="n">
        <v>4</v>
      </c>
      <c r="P159" s="5" t="n">
        <v>800000</v>
      </c>
      <c r="Q159" s="5" t="n">
        <v>0</v>
      </c>
      <c r="R159" s="3" t="inlineStr"/>
      <c r="S159" s="3" t="inlineStr">
        <is>
          <t>Aktif</t>
        </is>
      </c>
      <c r="T159" s="3" t="n"/>
      <c r="U159" s="3" t="inlineStr">
        <is>
          <t>LIST ASSET YPIK 2025(1).xlsx | Inv. SDIA</t>
        </is>
      </c>
    </row>
    <row r="160">
      <c r="A160" s="3" t="n">
        <v>157</v>
      </c>
      <c r="B160" s="3" t="n"/>
      <c r="C160" s="3" t="inlineStr">
        <is>
          <t>SDIA 23 JATIKRAMAT</t>
        </is>
      </c>
      <c r="D160" s="3" t="n"/>
      <c r="E160" s="3" t="inlineStr">
        <is>
          <t>Filling Kabinet</t>
        </is>
      </c>
      <c r="F160" s="3" t="inlineStr">
        <is>
          <t>Filling Kabinet</t>
        </is>
      </c>
      <c r="G160" s="3" t="n"/>
      <c r="H160" s="3" t="n"/>
      <c r="I160" s="3" t="n">
        <v>2</v>
      </c>
      <c r="J160" s="4" t="n"/>
      <c r="K160" s="3" t="n">
        <v>2018</v>
      </c>
      <c r="L160" s="5" t="n"/>
      <c r="M160" s="5" t="n">
        <v>2000000</v>
      </c>
      <c r="N160" s="3" t="n"/>
      <c r="O160" s="3" t="n">
        <v>4</v>
      </c>
      <c r="P160" s="5" t="n">
        <v>2000000</v>
      </c>
      <c r="Q160" s="5" t="n">
        <v>0</v>
      </c>
      <c r="R160" s="3" t="inlineStr"/>
      <c r="S160" s="3" t="inlineStr">
        <is>
          <t>Aktif</t>
        </is>
      </c>
      <c r="T160" s="3" t="n"/>
      <c r="U160" s="3" t="inlineStr">
        <is>
          <t>LIST ASSET YPIK 2025(1).xlsx | Inv. SDIA</t>
        </is>
      </c>
    </row>
    <row r="161">
      <c r="A161" s="3" t="n">
        <v>158</v>
      </c>
      <c r="B161" s="3" t="n"/>
      <c r="C161" s="3" t="inlineStr">
        <is>
          <t>SDIA 23 JATIKRAMAT</t>
        </is>
      </c>
      <c r="D161" s="3" t="n"/>
      <c r="E161" s="3" t="inlineStr">
        <is>
          <t>Handy Cam</t>
        </is>
      </c>
      <c r="F161" s="3" t="inlineStr">
        <is>
          <t>Handy Cam</t>
        </is>
      </c>
      <c r="G161" s="3" t="n"/>
      <c r="H161" s="3" t="n"/>
      <c r="I161" s="3" t="n">
        <v>1</v>
      </c>
      <c r="J161" s="4" t="n"/>
      <c r="K161" s="3" t="n">
        <v>2018</v>
      </c>
      <c r="L161" s="5" t="n"/>
      <c r="M161" s="5" t="n">
        <v>4000000</v>
      </c>
      <c r="N161" s="3" t="n"/>
      <c r="O161" s="3" t="n">
        <v>4</v>
      </c>
      <c r="P161" s="5" t="n">
        <v>4000000</v>
      </c>
      <c r="Q161" s="5" t="n">
        <v>0</v>
      </c>
      <c r="R161" s="3" t="inlineStr"/>
      <c r="S161" s="3" t="inlineStr">
        <is>
          <t>Aktif</t>
        </is>
      </c>
      <c r="T161" s="3" t="n"/>
      <c r="U161" s="3" t="inlineStr">
        <is>
          <t>LIST ASSET YPIK 2025(1).xlsx | Inv. SDIA</t>
        </is>
      </c>
    </row>
    <row r="162">
      <c r="A162" s="3" t="n">
        <v>159</v>
      </c>
      <c r="B162" s="3" t="n"/>
      <c r="C162" s="3" t="inlineStr">
        <is>
          <t>SDIA 23 JATIKRAMAT</t>
        </is>
      </c>
      <c r="D162" s="3" t="n"/>
      <c r="E162" s="3" t="inlineStr">
        <is>
          <t>Mading Besar</t>
        </is>
      </c>
      <c r="F162" s="3" t="inlineStr">
        <is>
          <t>Mading Besar</t>
        </is>
      </c>
      <c r="G162" s="3" t="n"/>
      <c r="H162" s="3" t="n"/>
      <c r="I162" s="3" t="n">
        <v>1</v>
      </c>
      <c r="J162" s="4" t="n"/>
      <c r="K162" s="3" t="n">
        <v>2018</v>
      </c>
      <c r="L162" s="5" t="n"/>
      <c r="M162" s="5" t="n">
        <v>1000000</v>
      </c>
      <c r="N162" s="3" t="n"/>
      <c r="O162" s="3" t="n">
        <v>4</v>
      </c>
      <c r="P162" s="5" t="n">
        <v>1000000</v>
      </c>
      <c r="Q162" s="5" t="n">
        <v>0</v>
      </c>
      <c r="R162" s="3" t="inlineStr"/>
      <c r="S162" s="3" t="inlineStr">
        <is>
          <t>Aktif</t>
        </is>
      </c>
      <c r="T162" s="3" t="n"/>
      <c r="U162" s="3" t="inlineStr">
        <is>
          <t>LIST ASSET YPIK 2025(1).xlsx | Inv. SDIA</t>
        </is>
      </c>
    </row>
    <row r="163">
      <c r="A163" s="3" t="n">
        <v>160</v>
      </c>
      <c r="B163" s="3" t="n"/>
      <c r="C163" s="3" t="inlineStr">
        <is>
          <t>SDIA 23 JATIKRAMAT</t>
        </is>
      </c>
      <c r="D163" s="3" t="n"/>
      <c r="E163" s="3" t="inlineStr">
        <is>
          <t>Filling Kabiner</t>
        </is>
      </c>
      <c r="F163" s="3" t="inlineStr">
        <is>
          <t>Filling Kabiner</t>
        </is>
      </c>
      <c r="G163" s="3" t="n"/>
      <c r="H163" s="3" t="n"/>
      <c r="I163" s="3" t="n">
        <v>1</v>
      </c>
      <c r="J163" s="4" t="n"/>
      <c r="K163" s="3" t="n">
        <v>2018</v>
      </c>
      <c r="L163" s="5" t="n"/>
      <c r="M163" s="5" t="n">
        <v>1500000</v>
      </c>
      <c r="N163" s="3" t="n"/>
      <c r="O163" s="3" t="n">
        <v>4</v>
      </c>
      <c r="P163" s="5" t="n">
        <v>1500000</v>
      </c>
      <c r="Q163" s="5" t="n">
        <v>0</v>
      </c>
      <c r="R163" s="3" t="inlineStr"/>
      <c r="S163" s="3" t="inlineStr">
        <is>
          <t>Aktif</t>
        </is>
      </c>
      <c r="T163" s="3" t="n"/>
      <c r="U163" s="3" t="inlineStr">
        <is>
          <t>LIST ASSET YPIK 2025(1).xlsx | Inv. SDIA</t>
        </is>
      </c>
    </row>
    <row r="164">
      <c r="A164" s="3" t="n">
        <v>161</v>
      </c>
      <c r="B164" s="3" t="n"/>
      <c r="C164" s="3" t="inlineStr">
        <is>
          <t>SDIA 23 JATIKRAMAT</t>
        </is>
      </c>
      <c r="D164" s="3" t="n"/>
      <c r="E164" s="3" t="inlineStr">
        <is>
          <t>Meja Guru</t>
        </is>
      </c>
      <c r="F164" s="3" t="inlineStr">
        <is>
          <t>Meja Guru</t>
        </is>
      </c>
      <c r="G164" s="3" t="n"/>
      <c r="H164" s="3" t="n"/>
      <c r="I164" s="3" t="n">
        <v>1</v>
      </c>
      <c r="J164" s="4" t="n"/>
      <c r="K164" s="3" t="n">
        <v>2018</v>
      </c>
      <c r="L164" s="5" t="n"/>
      <c r="M164" s="5" t="n">
        <v>400000</v>
      </c>
      <c r="N164" s="3" t="n"/>
      <c r="O164" s="3" t="n">
        <v>4</v>
      </c>
      <c r="P164" s="5" t="n">
        <v>400000</v>
      </c>
      <c r="Q164" s="5" t="n">
        <v>0</v>
      </c>
      <c r="R164" s="3" t="inlineStr"/>
      <c r="S164" s="3" t="inlineStr">
        <is>
          <t>Aktif</t>
        </is>
      </c>
      <c r="T164" s="3" t="n"/>
      <c r="U164" s="3" t="inlineStr">
        <is>
          <t>LIST ASSET YPIK 2025(1).xlsx | Inv. SDIA</t>
        </is>
      </c>
    </row>
    <row r="165">
      <c r="A165" s="3" t="n">
        <v>162</v>
      </c>
      <c r="B165" s="3" t="n"/>
      <c r="C165" s="3" t="inlineStr">
        <is>
          <t>SDIA 23 JATIKRAMAT</t>
        </is>
      </c>
      <c r="D165" s="3" t="n"/>
      <c r="E165" s="3" t="inlineStr">
        <is>
          <t>Mading Besar</t>
        </is>
      </c>
      <c r="F165" s="3" t="inlineStr">
        <is>
          <t>Mading Besar</t>
        </is>
      </c>
      <c r="G165" s="3" t="n"/>
      <c r="H165" s="3" t="n"/>
      <c r="I165" s="3" t="n">
        <v>1</v>
      </c>
      <c r="J165" s="4" t="n"/>
      <c r="K165" s="3" t="n">
        <v>2018</v>
      </c>
      <c r="L165" s="5" t="n"/>
      <c r="M165" s="5" t="n">
        <v>1000000</v>
      </c>
      <c r="N165" s="3" t="n"/>
      <c r="O165" s="3" t="n">
        <v>4</v>
      </c>
      <c r="P165" s="5" t="n">
        <v>1000000</v>
      </c>
      <c r="Q165" s="5" t="n">
        <v>0</v>
      </c>
      <c r="R165" s="3" t="inlineStr"/>
      <c r="S165" s="3" t="inlineStr">
        <is>
          <t>Aktif</t>
        </is>
      </c>
      <c r="T165" s="3" t="n"/>
      <c r="U165" s="3" t="inlineStr">
        <is>
          <t>LIST ASSET YPIK 2025(1).xlsx | Inv. SDIA</t>
        </is>
      </c>
    </row>
    <row r="166">
      <c r="A166" s="3" t="n">
        <v>163</v>
      </c>
      <c r="B166" s="3" t="n"/>
      <c r="C166" s="3" t="inlineStr">
        <is>
          <t>SDIA 23 JATIKRAMAT</t>
        </is>
      </c>
      <c r="D166" s="3" t="n"/>
      <c r="E166" s="3" t="inlineStr">
        <is>
          <t>Lemari Buku Besar</t>
        </is>
      </c>
      <c r="F166" s="3" t="inlineStr">
        <is>
          <t>Lemari Buku Besar</t>
        </is>
      </c>
      <c r="G166" s="3" t="n"/>
      <c r="H166" s="3" t="n"/>
      <c r="I166" s="3" t="n">
        <v>1</v>
      </c>
      <c r="J166" s="4" t="n"/>
      <c r="K166" s="3" t="n">
        <v>2018</v>
      </c>
      <c r="L166" s="5" t="n"/>
      <c r="M166" s="5" t="n">
        <v>800000</v>
      </c>
      <c r="N166" s="3" t="n"/>
      <c r="O166" s="3" t="n">
        <v>4</v>
      </c>
      <c r="P166" s="5" t="n">
        <v>800000</v>
      </c>
      <c r="Q166" s="5" t="n">
        <v>0</v>
      </c>
      <c r="R166" s="3" t="inlineStr"/>
      <c r="S166" s="3" t="inlineStr">
        <is>
          <t>Aktif</t>
        </is>
      </c>
      <c r="T166" s="3" t="n"/>
      <c r="U166" s="3" t="inlineStr">
        <is>
          <t>LIST ASSET YPIK 2025(1).xlsx | Inv. SDIA</t>
        </is>
      </c>
    </row>
    <row r="167">
      <c r="A167" s="3" t="n">
        <v>164</v>
      </c>
      <c r="B167" s="3" t="n"/>
      <c r="C167" s="3" t="inlineStr">
        <is>
          <t>SDIA 23 JATIKRAMAT</t>
        </is>
      </c>
      <c r="D167" s="3" t="n"/>
      <c r="E167" s="3" t="inlineStr">
        <is>
          <t>Meja Besar</t>
        </is>
      </c>
      <c r="F167" s="3" t="inlineStr">
        <is>
          <t>Meja Besar</t>
        </is>
      </c>
      <c r="G167" s="3" t="n"/>
      <c r="H167" s="3" t="n"/>
      <c r="I167" s="3" t="n">
        <v>1</v>
      </c>
      <c r="J167" s="4" t="n"/>
      <c r="K167" s="3" t="n">
        <v>2018</v>
      </c>
      <c r="L167" s="5" t="n"/>
      <c r="M167" s="5" t="n">
        <v>600000</v>
      </c>
      <c r="N167" s="3" t="n"/>
      <c r="O167" s="3" t="n">
        <v>4</v>
      </c>
      <c r="P167" s="5" t="n">
        <v>600000</v>
      </c>
      <c r="Q167" s="5" t="n">
        <v>0</v>
      </c>
      <c r="R167" s="3" t="inlineStr"/>
      <c r="S167" s="3" t="inlineStr">
        <is>
          <t>Aktif</t>
        </is>
      </c>
      <c r="T167" s="3" t="n"/>
      <c r="U167" s="3" t="inlineStr">
        <is>
          <t>LIST ASSET YPIK 2025(1).xlsx | Inv. SDIA</t>
        </is>
      </c>
    </row>
    <row r="168">
      <c r="A168" s="3" t="n">
        <v>165</v>
      </c>
      <c r="B168" s="3" t="n"/>
      <c r="C168" s="3" t="inlineStr">
        <is>
          <t>SDIA 23 JATIKRAMAT</t>
        </is>
      </c>
      <c r="D168" s="3" t="n"/>
      <c r="E168" s="3" t="inlineStr">
        <is>
          <t>Kursi Kepala Sekolah</t>
        </is>
      </c>
      <c r="F168" s="3" t="inlineStr">
        <is>
          <t>Kursi Kepala Sekolah</t>
        </is>
      </c>
      <c r="G168" s="3" t="n"/>
      <c r="H168" s="3" t="n"/>
      <c r="I168" s="3" t="n">
        <v>1</v>
      </c>
      <c r="J168" s="4" t="n"/>
      <c r="K168" s="3" t="n">
        <v>2018</v>
      </c>
      <c r="L168" s="5" t="n"/>
      <c r="M168" s="5" t="n">
        <v>2000000</v>
      </c>
      <c r="N168" s="3" t="n"/>
      <c r="O168" s="3" t="n">
        <v>4</v>
      </c>
      <c r="P168" s="5" t="n">
        <v>2000000</v>
      </c>
      <c r="Q168" s="5" t="n">
        <v>0</v>
      </c>
      <c r="R168" s="3" t="inlineStr"/>
      <c r="S168" s="3" t="inlineStr">
        <is>
          <t>Aktif</t>
        </is>
      </c>
      <c r="T168" s="3" t="n"/>
      <c r="U168" s="3" t="inlineStr">
        <is>
          <t>LIST ASSET YPIK 2025(1).xlsx | Inv. SDIA</t>
        </is>
      </c>
    </row>
    <row r="169">
      <c r="A169" s="3" t="n">
        <v>166</v>
      </c>
      <c r="B169" s="3" t="n"/>
      <c r="C169" s="3" t="inlineStr">
        <is>
          <t>SDIA 23 JATIKRAMAT</t>
        </is>
      </c>
      <c r="D169" s="3" t="n"/>
      <c r="E169" s="3" t="inlineStr">
        <is>
          <t>Kursi &amp; Meja Tamu</t>
        </is>
      </c>
      <c r="F169" s="3" t="inlineStr">
        <is>
          <t>Kursi &amp; Meja Tamu</t>
        </is>
      </c>
      <c r="G169" s="3" t="n"/>
      <c r="H169" s="3" t="n"/>
      <c r="I169" s="3" t="n">
        <v>1</v>
      </c>
      <c r="J169" s="4" t="n"/>
      <c r="K169" s="3" t="n">
        <v>2018</v>
      </c>
      <c r="L169" s="5" t="n"/>
      <c r="M169" s="5" t="n">
        <v>700000</v>
      </c>
      <c r="N169" s="3" t="n"/>
      <c r="O169" s="3" t="n">
        <v>4</v>
      </c>
      <c r="P169" s="5" t="n">
        <v>700000</v>
      </c>
      <c r="Q169" s="5" t="n">
        <v>0</v>
      </c>
      <c r="R169" s="3" t="inlineStr"/>
      <c r="S169" s="3" t="inlineStr">
        <is>
          <t>Aktif</t>
        </is>
      </c>
      <c r="T169" s="3" t="n"/>
      <c r="U169" s="3" t="inlineStr">
        <is>
          <t>LIST ASSET YPIK 2025(1).xlsx | Inv. SDIA</t>
        </is>
      </c>
    </row>
    <row r="170">
      <c r="A170" s="3" t="n">
        <v>167</v>
      </c>
      <c r="B170" s="3" t="n"/>
      <c r="C170" s="3" t="inlineStr">
        <is>
          <t>SDIA 23 JATIKRAMAT</t>
        </is>
      </c>
      <c r="D170" s="3" t="n"/>
      <c r="E170" s="3" t="inlineStr">
        <is>
          <t>Filling Kabinet</t>
        </is>
      </c>
      <c r="F170" s="3" t="inlineStr">
        <is>
          <t>Filling Kabinet</t>
        </is>
      </c>
      <c r="G170" s="3" t="n"/>
      <c r="H170" s="3" t="n"/>
      <c r="I170" s="3" t="n">
        <v>1</v>
      </c>
      <c r="J170" s="4" t="n"/>
      <c r="K170" s="3" t="n">
        <v>2018</v>
      </c>
      <c r="L170" s="5" t="n"/>
      <c r="M170" s="5" t="n">
        <v>1000000</v>
      </c>
      <c r="N170" s="3" t="n"/>
      <c r="O170" s="3" t="n">
        <v>4</v>
      </c>
      <c r="P170" s="5" t="n">
        <v>1000000</v>
      </c>
      <c r="Q170" s="5" t="n">
        <v>0</v>
      </c>
      <c r="R170" s="3" t="inlineStr"/>
      <c r="S170" s="3" t="inlineStr">
        <is>
          <t>Aktif</t>
        </is>
      </c>
      <c r="T170" s="3" t="n"/>
      <c r="U170" s="3" t="inlineStr">
        <is>
          <t>LIST ASSET YPIK 2025(1).xlsx | Inv. SDIA</t>
        </is>
      </c>
    </row>
    <row r="171">
      <c r="A171" s="3" t="n">
        <v>168</v>
      </c>
      <c r="B171" s="3" t="n"/>
      <c r="C171" s="3" t="inlineStr">
        <is>
          <t>SDIA 23 JATIKRAMAT</t>
        </is>
      </c>
      <c r="D171" s="3" t="n"/>
      <c r="E171" s="3" t="inlineStr">
        <is>
          <t>Filling Kabinet</t>
        </is>
      </c>
      <c r="F171" s="3" t="inlineStr">
        <is>
          <t>Filling Kabinet</t>
        </is>
      </c>
      <c r="G171" s="3" t="n"/>
      <c r="H171" s="3" t="n"/>
      <c r="I171" s="3" t="n">
        <v>1</v>
      </c>
      <c r="J171" s="4" t="n"/>
      <c r="K171" s="3" t="n">
        <v>2018</v>
      </c>
      <c r="L171" s="5" t="n"/>
      <c r="M171" s="5" t="n">
        <v>1250000</v>
      </c>
      <c r="N171" s="3" t="n"/>
      <c r="O171" s="3" t="n">
        <v>4</v>
      </c>
      <c r="P171" s="5" t="n">
        <v>1250000</v>
      </c>
      <c r="Q171" s="5" t="n">
        <v>0</v>
      </c>
      <c r="R171" s="3" t="inlineStr"/>
      <c r="S171" s="3" t="inlineStr">
        <is>
          <t>Aktif</t>
        </is>
      </c>
      <c r="T171" s="3" t="n"/>
      <c r="U171" s="3" t="inlineStr">
        <is>
          <t>LIST ASSET YPIK 2025(1).xlsx | Inv. SDIA</t>
        </is>
      </c>
    </row>
    <row r="172">
      <c r="A172" s="3" t="n">
        <v>169</v>
      </c>
      <c r="B172" s="3" t="n"/>
      <c r="C172" s="3" t="inlineStr">
        <is>
          <t>SDIA 23 JATIKRAMAT</t>
        </is>
      </c>
      <c r="D172" s="3" t="n"/>
      <c r="E172" s="3" t="inlineStr">
        <is>
          <t>Lemari Arsip</t>
        </is>
      </c>
      <c r="F172" s="3" t="inlineStr">
        <is>
          <t>Lemari Arsip</t>
        </is>
      </c>
      <c r="G172" s="3" t="n"/>
      <c r="H172" s="3" t="n"/>
      <c r="I172" s="3" t="n">
        <v>1</v>
      </c>
      <c r="J172" s="4" t="n"/>
      <c r="K172" s="3" t="n">
        <v>2018</v>
      </c>
      <c r="L172" s="5" t="n"/>
      <c r="M172" s="5" t="n">
        <v>1250000</v>
      </c>
      <c r="N172" s="3" t="n"/>
      <c r="O172" s="3" t="n">
        <v>4</v>
      </c>
      <c r="P172" s="5" t="n">
        <v>1250000</v>
      </c>
      <c r="Q172" s="5" t="n">
        <v>0</v>
      </c>
      <c r="R172" s="3" t="inlineStr"/>
      <c r="S172" s="3" t="inlineStr">
        <is>
          <t>Aktif</t>
        </is>
      </c>
      <c r="T172" s="3" t="n"/>
      <c r="U172" s="3" t="inlineStr">
        <is>
          <t>LIST ASSET YPIK 2025(1).xlsx | Inv. SDIA</t>
        </is>
      </c>
    </row>
    <row r="173">
      <c r="A173" s="3" t="n">
        <v>170</v>
      </c>
      <c r="B173" s="3" t="n"/>
      <c r="C173" s="3" t="inlineStr">
        <is>
          <t>SDIA 23 JATIKRAMAT</t>
        </is>
      </c>
      <c r="D173" s="3" t="n"/>
      <c r="E173" s="3" t="inlineStr">
        <is>
          <t>Mading Besar</t>
        </is>
      </c>
      <c r="F173" s="3" t="inlineStr">
        <is>
          <t>Mading Besar</t>
        </is>
      </c>
      <c r="G173" s="3" t="n"/>
      <c r="H173" s="3" t="n"/>
      <c r="I173" s="3" t="n">
        <v>1</v>
      </c>
      <c r="J173" s="4" t="n"/>
      <c r="K173" s="3" t="n">
        <v>2018</v>
      </c>
      <c r="L173" s="5" t="n"/>
      <c r="M173" s="5" t="n">
        <v>1000000</v>
      </c>
      <c r="N173" s="3" t="n"/>
      <c r="O173" s="3" t="n">
        <v>4</v>
      </c>
      <c r="P173" s="5" t="n">
        <v>1000000</v>
      </c>
      <c r="Q173" s="5" t="n">
        <v>0</v>
      </c>
      <c r="R173" s="3" t="inlineStr"/>
      <c r="S173" s="3" t="inlineStr">
        <is>
          <t>Aktif</t>
        </is>
      </c>
      <c r="T173" s="3" t="n"/>
      <c r="U173" s="3" t="inlineStr">
        <is>
          <t>LIST ASSET YPIK 2025(1).xlsx | Inv. SDIA</t>
        </is>
      </c>
    </row>
    <row r="174">
      <c r="A174" s="3" t="n">
        <v>171</v>
      </c>
      <c r="B174" s="3" t="n"/>
      <c r="C174" s="3" t="inlineStr">
        <is>
          <t>SDIA 23 JATIKRAMAT</t>
        </is>
      </c>
      <c r="D174" s="3" t="n"/>
      <c r="E174" s="3" t="inlineStr">
        <is>
          <t>Filling Kabinet</t>
        </is>
      </c>
      <c r="F174" s="3" t="inlineStr">
        <is>
          <t>Filling Kabinet</t>
        </is>
      </c>
      <c r="G174" s="3" t="n"/>
      <c r="H174" s="3" t="n"/>
      <c r="I174" s="3" t="n">
        <v>1</v>
      </c>
      <c r="J174" s="4" t="n"/>
      <c r="K174" s="3" t="n">
        <v>2018</v>
      </c>
      <c r="L174" s="5" t="n"/>
      <c r="M174" s="5" t="n">
        <v>1250000</v>
      </c>
      <c r="N174" s="3" t="n"/>
      <c r="O174" s="3" t="n">
        <v>4</v>
      </c>
      <c r="P174" s="5" t="n">
        <v>1250000</v>
      </c>
      <c r="Q174" s="5" t="n">
        <v>0</v>
      </c>
      <c r="R174" s="3" t="inlineStr"/>
      <c r="S174" s="3" t="inlineStr">
        <is>
          <t>Aktif</t>
        </is>
      </c>
      <c r="T174" s="3" t="n"/>
      <c r="U174" s="3" t="inlineStr">
        <is>
          <t>LIST ASSET YPIK 2025(1).xlsx | Inv. SDIA</t>
        </is>
      </c>
    </row>
    <row r="175">
      <c r="A175" s="3" t="n">
        <v>172</v>
      </c>
      <c r="B175" s="3" t="n"/>
      <c r="C175" s="3" t="inlineStr">
        <is>
          <t>SDIA 23 JATIKRAMAT</t>
        </is>
      </c>
      <c r="D175" s="3" t="n"/>
      <c r="E175" s="3" t="inlineStr">
        <is>
          <t>Rak Sepatu</t>
        </is>
      </c>
      <c r="F175" s="3" t="inlineStr">
        <is>
          <t>Rak Sepatu</t>
        </is>
      </c>
      <c r="G175" s="3" t="n"/>
      <c r="H175" s="3" t="n"/>
      <c r="I175" s="3" t="n">
        <v>2</v>
      </c>
      <c r="J175" s="4" t="n"/>
      <c r="K175" s="3" t="n">
        <v>2018</v>
      </c>
      <c r="L175" s="5" t="n"/>
      <c r="M175" s="5" t="n">
        <v>2500000</v>
      </c>
      <c r="N175" s="3" t="n"/>
      <c r="O175" s="3" t="n">
        <v>4</v>
      </c>
      <c r="P175" s="5" t="n">
        <v>2500000</v>
      </c>
      <c r="Q175" s="5" t="n">
        <v>0</v>
      </c>
      <c r="R175" s="3" t="inlineStr"/>
      <c r="S175" s="3" t="inlineStr">
        <is>
          <t>Aktif</t>
        </is>
      </c>
      <c r="T175" s="3" t="n"/>
      <c r="U175" s="3" t="inlineStr">
        <is>
          <t>LIST ASSET YPIK 2025(1).xlsx | Inv. SDIA</t>
        </is>
      </c>
    </row>
    <row r="176">
      <c r="A176" s="3" t="n">
        <v>173</v>
      </c>
      <c r="B176" s="3" t="n"/>
      <c r="C176" s="3" t="inlineStr">
        <is>
          <t>SDIA 23 JATIKRAMAT</t>
        </is>
      </c>
      <c r="D176" s="3" t="n"/>
      <c r="E176" s="3" t="inlineStr">
        <is>
          <t>Kursi Tunggu</t>
        </is>
      </c>
      <c r="F176" s="3" t="inlineStr">
        <is>
          <t>Kursi Tunggu</t>
        </is>
      </c>
      <c r="G176" s="3" t="n"/>
      <c r="H176" s="3" t="n"/>
      <c r="I176" s="3" t="n">
        <v>1</v>
      </c>
      <c r="J176" s="4" t="n"/>
      <c r="K176" s="3" t="n">
        <v>2018</v>
      </c>
      <c r="L176" s="5" t="n"/>
      <c r="M176" s="5" t="n">
        <v>1500000</v>
      </c>
      <c r="N176" s="3" t="n"/>
      <c r="O176" s="3" t="n">
        <v>4</v>
      </c>
      <c r="P176" s="5" t="n">
        <v>1500000</v>
      </c>
      <c r="Q176" s="5" t="n">
        <v>0</v>
      </c>
      <c r="R176" s="3" t="inlineStr"/>
      <c r="S176" s="3" t="inlineStr">
        <is>
          <t>Aktif</t>
        </is>
      </c>
      <c r="T176" s="3" t="n"/>
      <c r="U176" s="3" t="inlineStr">
        <is>
          <t>LIST ASSET YPIK 2025(1).xlsx | Inv. SDIA</t>
        </is>
      </c>
    </row>
    <row r="177">
      <c r="A177" s="3" t="n">
        <v>174</v>
      </c>
      <c r="B177" s="3" t="n"/>
      <c r="C177" s="3" t="inlineStr">
        <is>
          <t>SDIA 23 JATIKRAMAT</t>
        </is>
      </c>
      <c r="D177" s="3" t="n"/>
      <c r="E177" s="3" t="inlineStr">
        <is>
          <t>Meja Meeting Besar</t>
        </is>
      </c>
      <c r="F177" s="3" t="inlineStr">
        <is>
          <t>Meja Meeting Besar</t>
        </is>
      </c>
      <c r="G177" s="3" t="n"/>
      <c r="H177" s="3" t="n"/>
      <c r="I177" s="3" t="n">
        <v>1</v>
      </c>
      <c r="J177" s="4" t="n"/>
      <c r="K177" s="3" t="n">
        <v>2018</v>
      </c>
      <c r="L177" s="5" t="n"/>
      <c r="M177" s="5" t="n">
        <v>800000</v>
      </c>
      <c r="N177" s="3" t="n"/>
      <c r="O177" s="3" t="n">
        <v>4</v>
      </c>
      <c r="P177" s="5" t="n">
        <v>800000</v>
      </c>
      <c r="Q177" s="5" t="n">
        <v>0</v>
      </c>
      <c r="R177" s="3" t="inlineStr"/>
      <c r="S177" s="3" t="inlineStr">
        <is>
          <t>Aktif</t>
        </is>
      </c>
      <c r="T177" s="3" t="n"/>
      <c r="U177" s="3" t="inlineStr">
        <is>
          <t>LIST ASSET YPIK 2025(1).xlsx | Inv. SDIA</t>
        </is>
      </c>
    </row>
    <row r="178">
      <c r="A178" s="3" t="n">
        <v>175</v>
      </c>
      <c r="B178" s="3" t="n"/>
      <c r="C178" s="3" t="inlineStr">
        <is>
          <t>SDIA 23 JATIKRAMAT</t>
        </is>
      </c>
      <c r="D178" s="3" t="n"/>
      <c r="E178" s="3" t="inlineStr">
        <is>
          <t>Mading Besar</t>
        </is>
      </c>
      <c r="F178" s="3" t="inlineStr">
        <is>
          <t>Mading Besar</t>
        </is>
      </c>
      <c r="G178" s="3" t="n"/>
      <c r="H178" s="3" t="n"/>
      <c r="I178" s="3" t="n">
        <v>1</v>
      </c>
      <c r="J178" s="4" t="n"/>
      <c r="K178" s="3" t="n">
        <v>2018</v>
      </c>
      <c r="L178" s="5" t="n"/>
      <c r="M178" s="5" t="n">
        <v>1000000</v>
      </c>
      <c r="N178" s="3" t="n"/>
      <c r="O178" s="3" t="n">
        <v>4</v>
      </c>
      <c r="P178" s="5" t="n">
        <v>1000000</v>
      </c>
      <c r="Q178" s="5" t="n">
        <v>0</v>
      </c>
      <c r="R178" s="3" t="inlineStr"/>
      <c r="S178" s="3" t="inlineStr">
        <is>
          <t>Aktif</t>
        </is>
      </c>
      <c r="T178" s="3" t="n"/>
      <c r="U178" s="3" t="inlineStr">
        <is>
          <t>LIST ASSET YPIK 2025(1).xlsx | Inv. SDIA</t>
        </is>
      </c>
    </row>
    <row r="179">
      <c r="A179" s="3" t="n">
        <v>176</v>
      </c>
      <c r="B179" s="3" t="n"/>
      <c r="C179" s="3" t="inlineStr">
        <is>
          <t>SDIA 23 JATIKRAMAT</t>
        </is>
      </c>
      <c r="D179" s="3" t="n"/>
      <c r="E179" s="3" t="inlineStr">
        <is>
          <t>Kursi Tamu</t>
        </is>
      </c>
      <c r="F179" s="3" t="inlineStr">
        <is>
          <t>Kursi Tamu</t>
        </is>
      </c>
      <c r="G179" s="3" t="n"/>
      <c r="H179" s="3" t="n"/>
      <c r="I179" s="3" t="n">
        <v>1</v>
      </c>
      <c r="J179" s="4" t="n"/>
      <c r="K179" s="3" t="n">
        <v>2018</v>
      </c>
      <c r="L179" s="5" t="n"/>
      <c r="M179" s="5" t="n">
        <v>600000</v>
      </c>
      <c r="N179" s="3" t="n"/>
      <c r="O179" s="3" t="n">
        <v>4</v>
      </c>
      <c r="P179" s="5" t="n">
        <v>600000</v>
      </c>
      <c r="Q179" s="5" t="n">
        <v>0</v>
      </c>
      <c r="R179" s="3" t="inlineStr"/>
      <c r="S179" s="3" t="inlineStr">
        <is>
          <t>Aktif</t>
        </is>
      </c>
      <c r="T179" s="3" t="n"/>
      <c r="U179" s="3" t="inlineStr">
        <is>
          <t>LIST ASSET YPIK 2025(1).xlsx | Inv. SDIA</t>
        </is>
      </c>
    </row>
    <row r="180">
      <c r="A180" s="3" t="n">
        <v>177</v>
      </c>
      <c r="B180" s="3" t="n"/>
      <c r="C180" s="3" t="inlineStr">
        <is>
          <t>SDIA 23 JATIKRAMAT</t>
        </is>
      </c>
      <c r="D180" s="3" t="n"/>
      <c r="E180" s="3" t="inlineStr">
        <is>
          <t>Mesin Cleaner Vakum</t>
        </is>
      </c>
      <c r="F180" s="3" t="inlineStr">
        <is>
          <t>Mesin Cleaner Vakum</t>
        </is>
      </c>
      <c r="G180" s="3" t="n"/>
      <c r="H180" s="3" t="n"/>
      <c r="I180" s="3" t="n">
        <v>1</v>
      </c>
      <c r="J180" s="4" t="n"/>
      <c r="K180" s="3" t="n">
        <v>2018</v>
      </c>
      <c r="L180" s="5" t="n"/>
      <c r="M180" s="5" t="n">
        <v>300000</v>
      </c>
      <c r="N180" s="3" t="n"/>
      <c r="O180" s="3" t="n">
        <v>4</v>
      </c>
      <c r="P180" s="5" t="n">
        <v>300000</v>
      </c>
      <c r="Q180" s="5" t="n">
        <v>0</v>
      </c>
      <c r="R180" s="3" t="inlineStr"/>
      <c r="S180" s="3" t="inlineStr">
        <is>
          <t>Aktif</t>
        </is>
      </c>
      <c r="T180" s="3" t="n"/>
      <c r="U180" s="3" t="inlineStr">
        <is>
          <t>LIST ASSET YPIK 2025(1).xlsx | Inv. SDIA</t>
        </is>
      </c>
    </row>
    <row r="181">
      <c r="A181" s="3" t="n">
        <v>178</v>
      </c>
      <c r="B181" s="3" t="n"/>
      <c r="C181" s="3" t="inlineStr">
        <is>
          <t>SDIA 23 JATIKRAMAT</t>
        </is>
      </c>
      <c r="D181" s="3" t="n"/>
      <c r="E181" s="3" t="inlineStr">
        <is>
          <t>Pompa Penyedot Air</t>
        </is>
      </c>
      <c r="F181" s="3" t="inlineStr">
        <is>
          <t>Pompa Penyedot Air</t>
        </is>
      </c>
      <c r="G181" s="3" t="n"/>
      <c r="H181" s="3" t="n"/>
      <c r="I181" s="3" t="n">
        <v>1</v>
      </c>
      <c r="J181" s="4" t="n"/>
      <c r="K181" s="3" t="n">
        <v>2018</v>
      </c>
      <c r="L181" s="5" t="n"/>
      <c r="M181" s="5" t="n">
        <v>2500000</v>
      </c>
      <c r="N181" s="3" t="n"/>
      <c r="O181" s="3" t="n">
        <v>4</v>
      </c>
      <c r="P181" s="5" t="n">
        <v>2500000</v>
      </c>
      <c r="Q181" s="5" t="n">
        <v>0</v>
      </c>
      <c r="R181" s="3" t="inlineStr"/>
      <c r="S181" s="3" t="inlineStr">
        <is>
          <t>Aktif</t>
        </is>
      </c>
      <c r="T181" s="3" t="n"/>
      <c r="U181" s="3" t="inlineStr">
        <is>
          <t>LIST ASSET YPIK 2025(1).xlsx | Inv. SDIA</t>
        </is>
      </c>
    </row>
    <row r="182">
      <c r="A182" s="3" t="n">
        <v>179</v>
      </c>
      <c r="B182" s="3" t="n"/>
      <c r="C182" s="3" t="inlineStr">
        <is>
          <t>SDIA 23 JATIKRAMAT</t>
        </is>
      </c>
      <c r="D182" s="3" t="n"/>
      <c r="E182" s="3" t="inlineStr">
        <is>
          <t>Mesin Fogging</t>
        </is>
      </c>
      <c r="F182" s="3" t="inlineStr">
        <is>
          <t>Mesin Fogging</t>
        </is>
      </c>
      <c r="G182" s="3" t="n"/>
      <c r="H182" s="3" t="n"/>
      <c r="I182" s="3" t="n">
        <v>1</v>
      </c>
      <c r="J182" s="4" t="n"/>
      <c r="K182" s="3" t="n">
        <v>2018</v>
      </c>
      <c r="L182" s="5" t="n"/>
      <c r="M182" s="5" t="n">
        <v>5000000</v>
      </c>
      <c r="N182" s="3" t="n"/>
      <c r="O182" s="3" t="n">
        <v>4</v>
      </c>
      <c r="P182" s="5" t="n">
        <v>5000000</v>
      </c>
      <c r="Q182" s="5" t="n">
        <v>0</v>
      </c>
      <c r="R182" s="3" t="inlineStr"/>
      <c r="S182" s="3" t="inlineStr">
        <is>
          <t>Aktif</t>
        </is>
      </c>
      <c r="T182" s="3" t="n"/>
      <c r="U182" s="3" t="inlineStr">
        <is>
          <t>LIST ASSET YPIK 2025(1).xlsx | Inv. SDIA</t>
        </is>
      </c>
    </row>
    <row r="183">
      <c r="A183" s="3" t="n">
        <v>180</v>
      </c>
      <c r="B183" s="3" t="n"/>
      <c r="C183" s="3" t="inlineStr">
        <is>
          <t>SDIA 23 JATIKRAMAT</t>
        </is>
      </c>
      <c r="D183" s="3" t="n"/>
      <c r="E183" s="3" t="inlineStr">
        <is>
          <t>Mesin Las Kecil</t>
        </is>
      </c>
      <c r="F183" s="3" t="inlineStr">
        <is>
          <t>Mesin Las Kecil</t>
        </is>
      </c>
      <c r="G183" s="3" t="n"/>
      <c r="H183" s="3" t="n"/>
      <c r="I183" s="3" t="n">
        <v>1</v>
      </c>
      <c r="J183" s="4" t="n"/>
      <c r="K183" s="3" t="n">
        <v>2018</v>
      </c>
      <c r="L183" s="5" t="n"/>
      <c r="M183" s="5" t="n">
        <v>2200000</v>
      </c>
      <c r="N183" s="3" t="n"/>
      <c r="O183" s="3" t="n">
        <v>4</v>
      </c>
      <c r="P183" s="5" t="n">
        <v>2200000</v>
      </c>
      <c r="Q183" s="5" t="n">
        <v>0</v>
      </c>
      <c r="R183" s="3" t="inlineStr"/>
      <c r="S183" s="3" t="inlineStr">
        <is>
          <t>Aktif</t>
        </is>
      </c>
      <c r="T183" s="3" t="n"/>
      <c r="U183" s="3" t="inlineStr">
        <is>
          <t>LIST ASSET YPIK 2025(1).xlsx | Inv. SDIA</t>
        </is>
      </c>
    </row>
    <row r="184">
      <c r="A184" s="3" t="n">
        <v>181</v>
      </c>
      <c r="B184" s="3" t="n"/>
      <c r="C184" s="3" t="inlineStr">
        <is>
          <t>SDIA 23 JATIKRAMAT</t>
        </is>
      </c>
      <c r="D184" s="3" t="n"/>
      <c r="E184" s="3" t="inlineStr">
        <is>
          <t>Lemari</t>
        </is>
      </c>
      <c r="F184" s="3" t="inlineStr">
        <is>
          <t>Lemari</t>
        </is>
      </c>
      <c r="G184" s="3" t="n"/>
      <c r="H184" s="3" t="n"/>
      <c r="I184" s="3" t="n">
        <v>1</v>
      </c>
      <c r="J184" s="4" t="n"/>
      <c r="K184" s="3" t="n">
        <v>2018</v>
      </c>
      <c r="L184" s="5" t="n"/>
      <c r="M184" s="5" t="n">
        <v>400000</v>
      </c>
      <c r="N184" s="3" t="n"/>
      <c r="O184" s="3" t="n">
        <v>4</v>
      </c>
      <c r="P184" s="5" t="n">
        <v>400000</v>
      </c>
      <c r="Q184" s="5" t="n">
        <v>0</v>
      </c>
      <c r="R184" s="3" t="inlineStr"/>
      <c r="S184" s="3" t="inlineStr">
        <is>
          <t>Aktif</t>
        </is>
      </c>
      <c r="T184" s="3" t="n"/>
      <c r="U184" s="3" t="inlineStr">
        <is>
          <t>LIST ASSET YPIK 2025(1).xlsx | Inv. SDIA</t>
        </is>
      </c>
    </row>
    <row r="185">
      <c r="A185" s="3" t="n">
        <v>182</v>
      </c>
      <c r="B185" s="3" t="n"/>
      <c r="C185" s="3" t="inlineStr">
        <is>
          <t>SDIA 23 JATIKRAMAT</t>
        </is>
      </c>
      <c r="D185" s="3" t="n"/>
      <c r="E185" s="3" t="inlineStr">
        <is>
          <t>Rak Sepatu/Loker</t>
        </is>
      </c>
      <c r="F185" s="3" t="inlineStr">
        <is>
          <t>Rak Sepatu/Loker</t>
        </is>
      </c>
      <c r="G185" s="3" t="n"/>
      <c r="H185" s="3" t="n"/>
      <c r="I185" s="3" t="n">
        <v>1</v>
      </c>
      <c r="J185" s="4" t="n"/>
      <c r="K185" s="3" t="n">
        <v>2018</v>
      </c>
      <c r="L185" s="5" t="n"/>
      <c r="M185" s="5" t="n">
        <v>1250000</v>
      </c>
      <c r="N185" s="3" t="n"/>
      <c r="O185" s="3" t="n">
        <v>4</v>
      </c>
      <c r="P185" s="5" t="n">
        <v>1250000</v>
      </c>
      <c r="Q185" s="5" t="n">
        <v>0</v>
      </c>
      <c r="R185" s="3" t="inlineStr"/>
      <c r="S185" s="3" t="inlineStr">
        <is>
          <t>Aktif</t>
        </is>
      </c>
      <c r="T185" s="3" t="n"/>
      <c r="U185" s="3" t="inlineStr">
        <is>
          <t>LIST ASSET YPIK 2025(1).xlsx | Inv. SDIA</t>
        </is>
      </c>
    </row>
    <row r="186">
      <c r="A186" s="3" t="n">
        <v>183</v>
      </c>
      <c r="B186" s="3" t="n"/>
      <c r="C186" s="3" t="inlineStr">
        <is>
          <t>SDIA 23 JATIKRAMAT</t>
        </is>
      </c>
      <c r="D186" s="3" t="n"/>
      <c r="E186" s="3" t="inlineStr">
        <is>
          <t>Loker</t>
        </is>
      </c>
      <c r="F186" s="3" t="inlineStr">
        <is>
          <t>Loker</t>
        </is>
      </c>
      <c r="G186" s="3" t="n"/>
      <c r="H186" s="3" t="n"/>
      <c r="I186" s="3" t="n">
        <v>1</v>
      </c>
      <c r="J186" s="4" t="n"/>
      <c r="K186" s="3" t="n">
        <v>2018</v>
      </c>
      <c r="L186" s="5" t="n"/>
      <c r="M186" s="5" t="n">
        <v>1250000</v>
      </c>
      <c r="N186" s="3" t="n"/>
      <c r="O186" s="3" t="n">
        <v>4</v>
      </c>
      <c r="P186" s="5" t="n">
        <v>1250000</v>
      </c>
      <c r="Q186" s="5" t="n">
        <v>0</v>
      </c>
      <c r="R186" s="3" t="inlineStr"/>
      <c r="S186" s="3" t="inlineStr">
        <is>
          <t>Aktif</t>
        </is>
      </c>
      <c r="T186" s="3" t="n"/>
      <c r="U186" s="3" t="inlineStr">
        <is>
          <t>LIST ASSET YPIK 2025(1).xlsx | Inv. SDIA</t>
        </is>
      </c>
    </row>
    <row r="187">
      <c r="A187" s="3" t="n">
        <v>184</v>
      </c>
      <c r="B187" s="3" t="n"/>
      <c r="C187" s="3" t="inlineStr">
        <is>
          <t>SDIA 23 JATIKRAMAT</t>
        </is>
      </c>
      <c r="D187" s="3" t="n"/>
      <c r="E187" s="3" t="inlineStr">
        <is>
          <t>Apar - Pemadam</t>
        </is>
      </c>
      <c r="F187" s="3" t="inlineStr">
        <is>
          <t>Apar - Pemadam</t>
        </is>
      </c>
      <c r="G187" s="3" t="n"/>
      <c r="H187" s="3" t="n"/>
      <c r="I187" s="3" t="n">
        <v>10</v>
      </c>
      <c r="J187" s="4" t="n"/>
      <c r="K187" s="3" t="n">
        <v>2018</v>
      </c>
      <c r="L187" s="5" t="n"/>
      <c r="M187" s="5" t="n">
        <v>2000000</v>
      </c>
      <c r="N187" s="3" t="n"/>
      <c r="O187" s="3" t="n">
        <v>4</v>
      </c>
      <c r="P187" s="5" t="n">
        <v>2000000</v>
      </c>
      <c r="Q187" s="5" t="n">
        <v>0</v>
      </c>
      <c r="R187" s="3" t="inlineStr"/>
      <c r="S187" s="3" t="inlineStr">
        <is>
          <t>Aktif</t>
        </is>
      </c>
      <c r="T187" s="3" t="n"/>
      <c r="U187" s="3" t="inlineStr">
        <is>
          <t>LIST ASSET YPIK 2025(1).xlsx | Inv. SDIA</t>
        </is>
      </c>
    </row>
    <row r="188">
      <c r="A188" s="3" t="n">
        <v>185</v>
      </c>
      <c r="B188" s="3" t="n"/>
      <c r="C188" s="3" t="inlineStr">
        <is>
          <t>SDIA 23 JATIKRAMAT</t>
        </is>
      </c>
      <c r="D188" s="3" t="n"/>
      <c r="E188" s="3" t="inlineStr">
        <is>
          <t>Loker</t>
        </is>
      </c>
      <c r="F188" s="3" t="inlineStr">
        <is>
          <t>Loker</t>
        </is>
      </c>
      <c r="G188" s="3" t="n"/>
      <c r="H188" s="3" t="n"/>
      <c r="I188" s="3" t="n">
        <v>1</v>
      </c>
      <c r="J188" s="4" t="n"/>
      <c r="K188" s="3" t="n">
        <v>2018</v>
      </c>
      <c r="L188" s="5" t="n"/>
      <c r="M188" s="5" t="n">
        <v>1250000</v>
      </c>
      <c r="N188" s="3" t="n"/>
      <c r="O188" s="3" t="n">
        <v>4</v>
      </c>
      <c r="P188" s="5" t="n">
        <v>1250000</v>
      </c>
      <c r="Q188" s="5" t="n">
        <v>0</v>
      </c>
      <c r="R188" s="3" t="inlineStr"/>
      <c r="S188" s="3" t="inlineStr">
        <is>
          <t>Aktif</t>
        </is>
      </c>
      <c r="T188" s="3" t="n"/>
      <c r="U188" s="3" t="inlineStr">
        <is>
          <t>LIST ASSET YPIK 2025(1).xlsx | Inv. SDIA</t>
        </is>
      </c>
    </row>
    <row r="189">
      <c r="A189" s="3" t="n">
        <v>186</v>
      </c>
      <c r="B189" s="3" t="n"/>
      <c r="C189" s="3" t="inlineStr">
        <is>
          <t>SDIA 23 JATIKRAMAT</t>
        </is>
      </c>
      <c r="D189" s="3" t="n"/>
      <c r="E189" s="3" t="inlineStr">
        <is>
          <t>Alat Laminating</t>
        </is>
      </c>
      <c r="F189" s="3" t="inlineStr">
        <is>
          <t>Alat Laminating</t>
        </is>
      </c>
      <c r="G189" s="3" t="n"/>
      <c r="H189" s="3" t="n"/>
      <c r="I189" s="3" t="n">
        <v>1</v>
      </c>
      <c r="J189" s="4" t="n"/>
      <c r="K189" s="3" t="n">
        <v>2018</v>
      </c>
      <c r="L189" s="5" t="n"/>
      <c r="M189" s="5" t="n">
        <v>500000</v>
      </c>
      <c r="N189" s="3" t="n"/>
      <c r="O189" s="3" t="n">
        <v>4</v>
      </c>
      <c r="P189" s="5" t="n">
        <v>500000</v>
      </c>
      <c r="Q189" s="5" t="n">
        <v>0</v>
      </c>
      <c r="R189" s="3" t="inlineStr"/>
      <c r="S189" s="3" t="inlineStr">
        <is>
          <t>Aktif</t>
        </is>
      </c>
      <c r="T189" s="3" t="n"/>
      <c r="U189" s="3" t="inlineStr">
        <is>
          <t>LIST ASSET YPIK 2025(1).xlsx | Inv. SDIA</t>
        </is>
      </c>
    </row>
    <row r="190">
      <c r="A190" s="3" t="n">
        <v>187</v>
      </c>
      <c r="B190" s="3" t="n"/>
      <c r="C190" s="3" t="inlineStr">
        <is>
          <t>SDIA 23 JATIKRAMAT</t>
        </is>
      </c>
      <c r="D190" s="3" t="n"/>
      <c r="E190" s="3" t="inlineStr">
        <is>
          <t>Filling Kabinet</t>
        </is>
      </c>
      <c r="F190" s="3" t="inlineStr">
        <is>
          <t>Filling Kabinet</t>
        </is>
      </c>
      <c r="G190" s="3" t="n"/>
      <c r="H190" s="3" t="n"/>
      <c r="I190" s="3" t="n">
        <v>1</v>
      </c>
      <c r="J190" s="4" t="n"/>
      <c r="K190" s="3" t="n">
        <v>2018</v>
      </c>
      <c r="L190" s="5" t="n"/>
      <c r="M190" s="5" t="n">
        <v>1250000</v>
      </c>
      <c r="N190" s="3" t="n"/>
      <c r="O190" s="3" t="n">
        <v>4</v>
      </c>
      <c r="P190" s="5" t="n">
        <v>1250000</v>
      </c>
      <c r="Q190" s="5" t="n">
        <v>0</v>
      </c>
      <c r="R190" s="3" t="inlineStr"/>
      <c r="S190" s="3" t="inlineStr">
        <is>
          <t>Aktif</t>
        </is>
      </c>
      <c r="T190" s="3" t="n"/>
      <c r="U190" s="3" t="inlineStr">
        <is>
          <t>LIST ASSET YPIK 2025(1).xlsx | Inv. SDIA</t>
        </is>
      </c>
    </row>
    <row r="191">
      <c r="A191" s="3" t="n">
        <v>188</v>
      </c>
      <c r="B191" s="3" t="n"/>
      <c r="C191" s="3" t="inlineStr">
        <is>
          <t>SDIA 23 JATIKRAMAT</t>
        </is>
      </c>
      <c r="D191" s="3" t="n"/>
      <c r="E191" s="3" t="inlineStr">
        <is>
          <t>Alat Pengukur Suhu Tubuh</t>
        </is>
      </c>
      <c r="F191" s="3" t="inlineStr">
        <is>
          <t>Alat Pengukur Suhu Tubuh</t>
        </is>
      </c>
      <c r="G191" s="3" t="n"/>
      <c r="H191" s="3" t="n"/>
      <c r="I191" s="3" t="n">
        <v>1</v>
      </c>
      <c r="J191" s="4" t="n"/>
      <c r="K191" s="3" t="n">
        <v>2018</v>
      </c>
      <c r="L191" s="5" t="n"/>
      <c r="M191" s="5" t="n">
        <v>1800000</v>
      </c>
      <c r="N191" s="3" t="n"/>
      <c r="O191" s="3" t="n">
        <v>4</v>
      </c>
      <c r="P191" s="5" t="n">
        <v>1800000</v>
      </c>
      <c r="Q191" s="5" t="n">
        <v>0</v>
      </c>
      <c r="R191" s="3" t="inlineStr"/>
      <c r="S191" s="3" t="inlineStr">
        <is>
          <t>Aktif</t>
        </is>
      </c>
      <c r="T191" s="3" t="n"/>
      <c r="U191" s="3" t="inlineStr">
        <is>
          <t>LIST ASSET YPIK 2025(1).xlsx | Inv. SDIA</t>
        </is>
      </c>
    </row>
    <row r="192">
      <c r="A192" s="3" t="n">
        <v>189</v>
      </c>
      <c r="B192" s="3" t="n"/>
      <c r="C192" s="3" t="inlineStr">
        <is>
          <t>SDIA 23 JATIKRAMAT</t>
        </is>
      </c>
      <c r="D192" s="3" t="n"/>
      <c r="E192" s="3" t="inlineStr">
        <is>
          <t>Filling Kabinet</t>
        </is>
      </c>
      <c r="F192" s="3" t="inlineStr">
        <is>
          <t>Filling Kabinet</t>
        </is>
      </c>
      <c r="G192" s="3" t="n"/>
      <c r="H192" s="3" t="n"/>
      <c r="I192" s="3" t="n">
        <v>1</v>
      </c>
      <c r="J192" s="4" t="n"/>
      <c r="K192" s="3" t="n">
        <v>2018</v>
      </c>
      <c r="L192" s="5" t="n"/>
      <c r="M192" s="5" t="n">
        <v>1250000</v>
      </c>
      <c r="N192" s="3" t="n"/>
      <c r="O192" s="3" t="n">
        <v>4</v>
      </c>
      <c r="P192" s="5" t="n">
        <v>1250000</v>
      </c>
      <c r="Q192" s="5" t="n">
        <v>0</v>
      </c>
      <c r="R192" s="3" t="inlineStr"/>
      <c r="S192" s="3" t="inlineStr">
        <is>
          <t>Aktif</t>
        </is>
      </c>
      <c r="T192" s="3" t="n"/>
      <c r="U192" s="3" t="inlineStr">
        <is>
          <t>LIST ASSET YPIK 2025(1).xlsx | Inv. SDIA</t>
        </is>
      </c>
    </row>
    <row r="193">
      <c r="A193" s="3" t="n">
        <v>190</v>
      </c>
      <c r="B193" s="3" t="n"/>
      <c r="C193" s="3" t="inlineStr">
        <is>
          <t>SDIA 23 JATIKRAMAT</t>
        </is>
      </c>
      <c r="D193" s="3" t="n"/>
      <c r="E193" s="3" t="inlineStr">
        <is>
          <t>Rak Buku Terbuka</t>
        </is>
      </c>
      <c r="F193" s="3" t="inlineStr">
        <is>
          <t>Rak Buku Terbuka</t>
        </is>
      </c>
      <c r="G193" s="3" t="n"/>
      <c r="H193" s="3" t="n"/>
      <c r="I193" s="3" t="n">
        <v>1</v>
      </c>
      <c r="J193" s="4" t="n"/>
      <c r="K193" s="3" t="n">
        <v>2018</v>
      </c>
      <c r="L193" s="5" t="n"/>
      <c r="M193" s="5" t="n">
        <v>1250000</v>
      </c>
      <c r="N193" s="3" t="n"/>
      <c r="O193" s="3" t="n">
        <v>4</v>
      </c>
      <c r="P193" s="5" t="n">
        <v>1250000</v>
      </c>
      <c r="Q193" s="5" t="n">
        <v>0</v>
      </c>
      <c r="R193" s="3" t="inlineStr"/>
      <c r="S193" s="3" t="inlineStr">
        <is>
          <t>Aktif</t>
        </is>
      </c>
      <c r="T193" s="3" t="n"/>
      <c r="U193" s="3" t="inlineStr">
        <is>
          <t>LIST ASSET YPIK 2025(1).xlsx | Inv. SDIA</t>
        </is>
      </c>
    </row>
    <row r="194">
      <c r="A194" s="3" t="n">
        <v>191</v>
      </c>
      <c r="B194" s="3" t="n"/>
      <c r="C194" s="3" t="inlineStr">
        <is>
          <t>SDIA 23 JATIKRAMAT</t>
        </is>
      </c>
      <c r="D194" s="3" t="n"/>
      <c r="E194" s="3" t="inlineStr">
        <is>
          <t>Tenda Keping Besar</t>
        </is>
      </c>
      <c r="F194" s="3" t="inlineStr">
        <is>
          <t>Tenda Keping Besar</t>
        </is>
      </c>
      <c r="G194" s="3" t="n"/>
      <c r="H194" s="3" t="n"/>
      <c r="I194" s="3" t="n">
        <v>1</v>
      </c>
      <c r="J194" s="4" t="n"/>
      <c r="K194" s="3" t="n">
        <v>2018</v>
      </c>
      <c r="L194" s="5" t="n"/>
      <c r="M194" s="5" t="n">
        <v>1500000</v>
      </c>
      <c r="N194" s="3" t="n"/>
      <c r="O194" s="3" t="n">
        <v>4</v>
      </c>
      <c r="P194" s="5" t="n">
        <v>1500000</v>
      </c>
      <c r="Q194" s="5" t="n">
        <v>0</v>
      </c>
      <c r="R194" s="3" t="inlineStr"/>
      <c r="S194" s="3" t="inlineStr">
        <is>
          <t>Aktif</t>
        </is>
      </c>
      <c r="T194" s="3" t="n"/>
      <c r="U194" s="3" t="inlineStr">
        <is>
          <t>LIST ASSET YPIK 2025(1).xlsx | Inv. SDIA</t>
        </is>
      </c>
    </row>
    <row r="195">
      <c r="A195" s="3" t="n">
        <v>192</v>
      </c>
      <c r="B195" s="3" t="n"/>
      <c r="C195" s="3" t="inlineStr">
        <is>
          <t>SDIA 23 JATIKRAMAT</t>
        </is>
      </c>
      <c r="D195" s="3" t="n"/>
      <c r="E195" s="3" t="inlineStr">
        <is>
          <t>Meja Guru</t>
        </is>
      </c>
      <c r="F195" s="3" t="inlineStr">
        <is>
          <t>Meja Guru</t>
        </is>
      </c>
      <c r="G195" s="3" t="n"/>
      <c r="H195" s="3" t="n"/>
      <c r="I195" s="3" t="n">
        <v>1</v>
      </c>
      <c r="J195" s="4" t="n"/>
      <c r="K195" s="3" t="n">
        <v>2018</v>
      </c>
      <c r="L195" s="5" t="n"/>
      <c r="M195" s="5" t="n">
        <v>2000000</v>
      </c>
      <c r="N195" s="3" t="n"/>
      <c r="O195" s="3" t="n">
        <v>4</v>
      </c>
      <c r="P195" s="5" t="n">
        <v>2000000</v>
      </c>
      <c r="Q195" s="5" t="n">
        <v>0</v>
      </c>
      <c r="R195" s="3" t="inlineStr"/>
      <c r="S195" s="3" t="inlineStr">
        <is>
          <t>Aktif</t>
        </is>
      </c>
      <c r="T195" s="3" t="n"/>
      <c r="U195" s="3" t="inlineStr">
        <is>
          <t>LIST ASSET YPIK 2025(1).xlsx | Inv. SDIA</t>
        </is>
      </c>
    </row>
    <row r="196">
      <c r="A196" s="3" t="n">
        <v>193</v>
      </c>
      <c r="B196" s="3" t="n"/>
      <c r="C196" s="3" t="inlineStr">
        <is>
          <t>SDIA 23 JATIKRAMAT</t>
        </is>
      </c>
      <c r="D196" s="3" t="n"/>
      <c r="E196" s="3" t="inlineStr">
        <is>
          <t>Kursi Guru</t>
        </is>
      </c>
      <c r="F196" s="3" t="inlineStr">
        <is>
          <t>Kursi Guru</t>
        </is>
      </c>
      <c r="G196" s="3" t="n"/>
      <c r="H196" s="3" t="n"/>
      <c r="I196" s="3" t="n">
        <v>1</v>
      </c>
      <c r="J196" s="4" t="n"/>
      <c r="K196" s="3" t="n">
        <v>2018</v>
      </c>
      <c r="L196" s="5" t="n"/>
      <c r="M196" s="5" t="n">
        <v>900000</v>
      </c>
      <c r="N196" s="3" t="n"/>
      <c r="O196" s="3" t="n">
        <v>4</v>
      </c>
      <c r="P196" s="5" t="n">
        <v>900000</v>
      </c>
      <c r="Q196" s="5" t="n">
        <v>0</v>
      </c>
      <c r="R196" s="3" t="inlineStr"/>
      <c r="S196" s="3" t="inlineStr">
        <is>
          <t>Aktif</t>
        </is>
      </c>
      <c r="T196" s="3" t="n"/>
      <c r="U196" s="3" t="inlineStr">
        <is>
          <t>LIST ASSET YPIK 2025(1).xlsx | Inv. SDIA</t>
        </is>
      </c>
    </row>
    <row r="197">
      <c r="A197" s="3" t="n">
        <v>194</v>
      </c>
      <c r="B197" s="3" t="n"/>
      <c r="C197" s="3" t="inlineStr">
        <is>
          <t>SDIA 23 JATIKRAMAT</t>
        </is>
      </c>
      <c r="D197" s="3" t="n"/>
      <c r="E197" s="3" t="inlineStr">
        <is>
          <t>Smart Board</t>
        </is>
      </c>
      <c r="F197" s="3" t="inlineStr">
        <is>
          <t>Smart Board</t>
        </is>
      </c>
      <c r="G197" s="3" t="n"/>
      <c r="H197" s="3" t="n"/>
      <c r="I197" s="3" t="n">
        <v>1</v>
      </c>
      <c r="J197" s="4" t="n"/>
      <c r="K197" s="3" t="n">
        <v>2018</v>
      </c>
      <c r="L197" s="5" t="n"/>
      <c r="M197" s="5" t="n">
        <v>5000000</v>
      </c>
      <c r="N197" s="3" t="n"/>
      <c r="O197" s="3" t="n">
        <v>4</v>
      </c>
      <c r="P197" s="5" t="n">
        <v>5000000</v>
      </c>
      <c r="Q197" s="5" t="n">
        <v>0</v>
      </c>
      <c r="R197" s="3" t="inlineStr"/>
      <c r="S197" s="3" t="inlineStr">
        <is>
          <t>Aktif</t>
        </is>
      </c>
      <c r="T197" s="3" t="n"/>
      <c r="U197" s="3" t="inlineStr">
        <is>
          <t>LIST ASSET YPIK 2025(1).xlsx | Inv. SDIA</t>
        </is>
      </c>
    </row>
    <row r="198">
      <c r="A198" s="3" t="n">
        <v>195</v>
      </c>
      <c r="B198" s="3" t="n"/>
      <c r="C198" s="3" t="inlineStr">
        <is>
          <t>SDIA 23 JATIKRAMAT</t>
        </is>
      </c>
      <c r="D198" s="3" t="n"/>
      <c r="E198" s="3" t="inlineStr">
        <is>
          <t>Set Alat Drum Band</t>
        </is>
      </c>
      <c r="F198" s="3" t="inlineStr">
        <is>
          <t>Set Alat Drum Band</t>
        </is>
      </c>
      <c r="G198" s="3" t="n"/>
      <c r="H198" s="3" t="n"/>
      <c r="I198" s="3" t="n">
        <v>1</v>
      </c>
      <c r="J198" s="4" t="n"/>
      <c r="K198" s="3" t="n">
        <v>2018</v>
      </c>
      <c r="L198" s="5" t="n"/>
      <c r="M198" s="5" t="n">
        <v>6000000</v>
      </c>
      <c r="N198" s="3" t="n"/>
      <c r="O198" s="3" t="n">
        <v>4</v>
      </c>
      <c r="P198" s="5" t="n">
        <v>6000000</v>
      </c>
      <c r="Q198" s="5" t="n">
        <v>0</v>
      </c>
      <c r="R198" s="3" t="inlineStr"/>
      <c r="S198" s="3" t="inlineStr">
        <is>
          <t>Aktif</t>
        </is>
      </c>
      <c r="T198" s="3" t="n"/>
      <c r="U198" s="3" t="inlineStr">
        <is>
          <t>LIST ASSET YPIK 2025(1).xlsx | Inv. SDIA</t>
        </is>
      </c>
    </row>
    <row r="199">
      <c r="A199" s="3" t="n">
        <v>196</v>
      </c>
      <c r="B199" s="3" t="n"/>
      <c r="C199" s="3" t="inlineStr">
        <is>
          <t>SDIA 23 JATIKRAMAT</t>
        </is>
      </c>
      <c r="D199" s="3" t="n"/>
      <c r="E199" s="3" t="inlineStr">
        <is>
          <t>Angklung</t>
        </is>
      </c>
      <c r="F199" s="3" t="inlineStr">
        <is>
          <t>Angklung</t>
        </is>
      </c>
      <c r="G199" s="3" t="n"/>
      <c r="H199" s="3" t="n"/>
      <c r="I199" s="3" t="n">
        <v>3</v>
      </c>
      <c r="J199" s="4" t="n"/>
      <c r="K199" s="3" t="n">
        <v>2018</v>
      </c>
      <c r="L199" s="5" t="n"/>
      <c r="M199" s="5" t="n">
        <v>13500000</v>
      </c>
      <c r="N199" s="3" t="n"/>
      <c r="O199" s="3" t="n">
        <v>4</v>
      </c>
      <c r="P199" s="5" t="n">
        <v>13500000</v>
      </c>
      <c r="Q199" s="5" t="n">
        <v>0</v>
      </c>
      <c r="R199" s="3" t="inlineStr"/>
      <c r="S199" s="3" t="inlineStr">
        <is>
          <t>Aktif</t>
        </is>
      </c>
      <c r="T199" s="3" t="n"/>
      <c r="U199" s="3" t="inlineStr">
        <is>
          <t>LIST ASSET YPIK 2025(1).xlsx | Inv. SDIA</t>
        </is>
      </c>
    </row>
    <row r="200">
      <c r="A200" s="3" t="n">
        <v>197</v>
      </c>
      <c r="B200" s="3" t="n"/>
      <c r="C200" s="3" t="inlineStr">
        <is>
          <t>SDIA 23 JATIKRAMAT</t>
        </is>
      </c>
      <c r="D200" s="3" t="n"/>
      <c r="E200" s="3" t="inlineStr">
        <is>
          <t>Lemari Kaca Besar</t>
        </is>
      </c>
      <c r="F200" s="3" t="inlineStr">
        <is>
          <t>Lemari Kaca Besar</t>
        </is>
      </c>
      <c r="G200" s="3" t="n"/>
      <c r="H200" s="3" t="n"/>
      <c r="I200" s="3" t="n">
        <v>1</v>
      </c>
      <c r="J200" s="4" t="n"/>
      <c r="K200" s="3" t="n">
        <v>2018</v>
      </c>
      <c r="L200" s="5" t="n"/>
      <c r="M200" s="5" t="n">
        <v>2500000</v>
      </c>
      <c r="N200" s="3" t="n"/>
      <c r="O200" s="3" t="n">
        <v>4</v>
      </c>
      <c r="P200" s="5" t="n">
        <v>2500000</v>
      </c>
      <c r="Q200" s="5" t="n">
        <v>0</v>
      </c>
      <c r="R200" s="3" t="inlineStr"/>
      <c r="S200" s="3" t="inlineStr">
        <is>
          <t>Aktif</t>
        </is>
      </c>
      <c r="T200" s="3" t="n"/>
      <c r="U200" s="3" t="inlineStr">
        <is>
          <t>LIST ASSET YPIK 2025(1).xlsx | Inv. SDIA</t>
        </is>
      </c>
    </row>
    <row r="201">
      <c r="A201" s="3" t="n">
        <v>198</v>
      </c>
      <c r="B201" s="3" t="n"/>
      <c r="C201" s="3" t="inlineStr">
        <is>
          <t>SDIA 23 JATIKRAMAT</t>
        </is>
      </c>
      <c r="D201" s="3" t="n"/>
      <c r="E201" s="3" t="inlineStr">
        <is>
          <t>Meja Guru</t>
        </is>
      </c>
      <c r="F201" s="3" t="inlineStr">
        <is>
          <t>Meja Guru</t>
        </is>
      </c>
      <c r="G201" s="3" t="n"/>
      <c r="H201" s="3" t="n"/>
      <c r="I201" s="3" t="n">
        <v>1</v>
      </c>
      <c r="J201" s="4" t="n"/>
      <c r="K201" s="3" t="n">
        <v>2018</v>
      </c>
      <c r="L201" s="5" t="n"/>
      <c r="M201" s="5" t="n">
        <v>400000</v>
      </c>
      <c r="N201" s="3" t="n"/>
      <c r="O201" s="3" t="n">
        <v>4</v>
      </c>
      <c r="P201" s="5" t="n">
        <v>400000</v>
      </c>
      <c r="Q201" s="5" t="n">
        <v>0</v>
      </c>
      <c r="R201" s="3" t="inlineStr"/>
      <c r="S201" s="3" t="inlineStr">
        <is>
          <t>Aktif</t>
        </is>
      </c>
      <c r="T201" s="3" t="n"/>
      <c r="U201" s="3" t="inlineStr">
        <is>
          <t>LIST ASSET YPIK 2025(1).xlsx | Inv. SDIA</t>
        </is>
      </c>
    </row>
    <row r="202">
      <c r="A202" s="3" t="n">
        <v>199</v>
      </c>
      <c r="B202" s="3" t="n"/>
      <c r="C202" s="3" t="inlineStr">
        <is>
          <t>SDIA 23 JATIKRAMAT</t>
        </is>
      </c>
      <c r="D202" s="3" t="n"/>
      <c r="E202" s="3" t="inlineStr">
        <is>
          <t>Kursi Guru</t>
        </is>
      </c>
      <c r="F202" s="3" t="inlineStr">
        <is>
          <t>Kursi Guru</t>
        </is>
      </c>
      <c r="G202" s="3" t="n"/>
      <c r="H202" s="3" t="n"/>
      <c r="I202" s="3" t="n">
        <v>1</v>
      </c>
      <c r="J202" s="4" t="n"/>
      <c r="K202" s="3" t="n">
        <v>2018</v>
      </c>
      <c r="L202" s="5" t="n"/>
      <c r="M202" s="5" t="n">
        <v>300000</v>
      </c>
      <c r="N202" s="3" t="n"/>
      <c r="O202" s="3" t="n">
        <v>4</v>
      </c>
      <c r="P202" s="5" t="n">
        <v>300000</v>
      </c>
      <c r="Q202" s="5" t="n">
        <v>0</v>
      </c>
      <c r="R202" s="3" t="inlineStr"/>
      <c r="S202" s="3" t="inlineStr">
        <is>
          <t>Aktif</t>
        </is>
      </c>
      <c r="T202" s="3" t="n"/>
      <c r="U202" s="3" t="inlineStr">
        <is>
          <t>LIST ASSET YPIK 2025(1).xlsx | Inv. SDIA</t>
        </is>
      </c>
    </row>
    <row r="203">
      <c r="A203" s="3" t="n">
        <v>200</v>
      </c>
      <c r="B203" s="3" t="n"/>
      <c r="C203" s="3" t="inlineStr">
        <is>
          <t>SDIA 23 JATIKRAMAT</t>
        </is>
      </c>
      <c r="D203" s="3" t="n"/>
      <c r="E203" s="3" t="inlineStr">
        <is>
          <t>Papan untuk Tenis Meja</t>
        </is>
      </c>
      <c r="F203" s="3" t="inlineStr">
        <is>
          <t>Papan untuk Tenis Meja</t>
        </is>
      </c>
      <c r="G203" s="3" t="n"/>
      <c r="H203" s="3" t="n"/>
      <c r="I203" s="3" t="n">
        <v>1</v>
      </c>
      <c r="J203" s="4" t="n"/>
      <c r="K203" s="3" t="n">
        <v>2018</v>
      </c>
      <c r="L203" s="5" t="n"/>
      <c r="M203" s="5" t="n">
        <v>2500000</v>
      </c>
      <c r="N203" s="3" t="n"/>
      <c r="O203" s="3" t="n">
        <v>4</v>
      </c>
      <c r="P203" s="5" t="n">
        <v>2500000</v>
      </c>
      <c r="Q203" s="5" t="n">
        <v>0</v>
      </c>
      <c r="R203" s="3" t="inlineStr"/>
      <c r="S203" s="3" t="inlineStr">
        <is>
          <t>Aktif</t>
        </is>
      </c>
      <c r="T203" s="3" t="n"/>
      <c r="U203" s="3" t="inlineStr">
        <is>
          <t>LIST ASSET YPIK 2025(1).xlsx | Inv. SDIA</t>
        </is>
      </c>
    </row>
    <row r="204">
      <c r="A204" s="3" t="n">
        <v>201</v>
      </c>
      <c r="B204" s="3" t="n"/>
      <c r="C204" s="3" t="inlineStr">
        <is>
          <t>SDIA 23 JATIKRAMAT</t>
        </is>
      </c>
      <c r="D204" s="3" t="n"/>
      <c r="E204" s="3" t="inlineStr">
        <is>
          <t>Whiteboard</t>
        </is>
      </c>
      <c r="F204" s="3" t="inlineStr">
        <is>
          <t>Whiteboard</t>
        </is>
      </c>
      <c r="G204" s="3" t="n"/>
      <c r="H204" s="3" t="n"/>
      <c r="I204" s="3" t="n">
        <v>1</v>
      </c>
      <c r="J204" s="4" t="n"/>
      <c r="K204" s="3" t="n">
        <v>2018</v>
      </c>
      <c r="L204" s="5" t="n"/>
      <c r="M204" s="5" t="n">
        <v>600000</v>
      </c>
      <c r="N204" s="3" t="n"/>
      <c r="O204" s="3" t="n">
        <v>4</v>
      </c>
      <c r="P204" s="5" t="n">
        <v>600000</v>
      </c>
      <c r="Q204" s="5" t="n">
        <v>0</v>
      </c>
      <c r="R204" s="3" t="inlineStr"/>
      <c r="S204" s="3" t="inlineStr">
        <is>
          <t>Aktif</t>
        </is>
      </c>
      <c r="T204" s="3" t="n"/>
      <c r="U204" s="3" t="inlineStr">
        <is>
          <t>LIST ASSET YPIK 2025(1).xlsx | Inv. SDIA</t>
        </is>
      </c>
    </row>
    <row r="205">
      <c r="A205" s="3" t="n">
        <v>202</v>
      </c>
      <c r="B205" s="3" t="n"/>
      <c r="C205" s="3" t="inlineStr">
        <is>
          <t>SDIA 23 JATIKRAMAT</t>
        </is>
      </c>
      <c r="D205" s="3" t="n"/>
      <c r="E205" s="3" t="inlineStr">
        <is>
          <t>Whiteboard</t>
        </is>
      </c>
      <c r="F205" s="3" t="inlineStr">
        <is>
          <t>Whiteboard</t>
        </is>
      </c>
      <c r="G205" s="3" t="n"/>
      <c r="H205" s="3" t="n"/>
      <c r="I205" s="3" t="n">
        <v>1</v>
      </c>
      <c r="J205" s="4" t="n"/>
      <c r="K205" s="3" t="n">
        <v>2018</v>
      </c>
      <c r="L205" s="5" t="n"/>
      <c r="M205" s="5" t="n">
        <v>600000</v>
      </c>
      <c r="N205" s="3" t="n"/>
      <c r="O205" s="3" t="n">
        <v>4</v>
      </c>
      <c r="P205" s="5" t="n">
        <v>600000</v>
      </c>
      <c r="Q205" s="5" t="n">
        <v>0</v>
      </c>
      <c r="R205" s="3" t="inlineStr"/>
      <c r="S205" s="3" t="inlineStr">
        <is>
          <t>Aktif</t>
        </is>
      </c>
      <c r="T205" s="3" t="n"/>
      <c r="U205" s="3" t="inlineStr">
        <is>
          <t>LIST ASSET YPIK 2025(1).xlsx | Inv. SDIA</t>
        </is>
      </c>
    </row>
    <row r="206">
      <c r="A206" s="3" t="n">
        <v>203</v>
      </c>
      <c r="B206" s="3" t="n"/>
      <c r="C206" s="3" t="inlineStr">
        <is>
          <t>SDIA 23 JATIKRAMAT</t>
        </is>
      </c>
      <c r="D206" s="3" t="n"/>
      <c r="E206" s="3" t="inlineStr">
        <is>
          <t>Lemaari Arsip</t>
        </is>
      </c>
      <c r="F206" s="3" t="inlineStr">
        <is>
          <t>Lemaari Arsip</t>
        </is>
      </c>
      <c r="G206" s="3" t="n"/>
      <c r="H206" s="3" t="n"/>
      <c r="I206" s="3" t="n">
        <v>1</v>
      </c>
      <c r="J206" s="4" t="n"/>
      <c r="K206" s="3" t="n">
        <v>2018</v>
      </c>
      <c r="L206" s="5" t="n"/>
      <c r="M206" s="5" t="n">
        <v>1250000</v>
      </c>
      <c r="N206" s="3" t="n"/>
      <c r="O206" s="3" t="n">
        <v>4</v>
      </c>
      <c r="P206" s="5" t="n">
        <v>1250000</v>
      </c>
      <c r="Q206" s="5" t="n">
        <v>0</v>
      </c>
      <c r="R206" s="3" t="inlineStr"/>
      <c r="S206" s="3" t="inlineStr">
        <is>
          <t>Aktif</t>
        </is>
      </c>
      <c r="T206" s="3" t="n"/>
      <c r="U206" s="3" t="inlineStr">
        <is>
          <t>LIST ASSET YPIK 2025(1).xlsx | Inv. SDIA</t>
        </is>
      </c>
    </row>
    <row r="207">
      <c r="A207" s="3" t="n">
        <v>204</v>
      </c>
      <c r="B207" s="3" t="n"/>
      <c r="C207" s="3" t="inlineStr">
        <is>
          <t>SDIA 23 JATIKRAMAT</t>
        </is>
      </c>
      <c r="D207" s="3" t="n"/>
      <c r="E207" s="3" t="inlineStr">
        <is>
          <t>Lemari Pajangan</t>
        </is>
      </c>
      <c r="F207" s="3" t="inlineStr">
        <is>
          <t>Lemari Pajangan</t>
        </is>
      </c>
      <c r="G207" s="3" t="n"/>
      <c r="H207" s="3" t="n"/>
      <c r="I207" s="3" t="n">
        <v>1</v>
      </c>
      <c r="J207" s="4" t="n"/>
      <c r="K207" s="3" t="n">
        <v>2018</v>
      </c>
      <c r="L207" s="5" t="n"/>
      <c r="M207" s="5" t="n">
        <v>1250000</v>
      </c>
      <c r="N207" s="3" t="n"/>
      <c r="O207" s="3" t="n">
        <v>4</v>
      </c>
      <c r="P207" s="5" t="n">
        <v>1250000</v>
      </c>
      <c r="Q207" s="5" t="n">
        <v>0</v>
      </c>
      <c r="R207" s="3" t="inlineStr"/>
      <c r="S207" s="3" t="inlineStr">
        <is>
          <t>Aktif</t>
        </is>
      </c>
      <c r="T207" s="3" t="n"/>
      <c r="U207" s="3" t="inlineStr">
        <is>
          <t>LIST ASSET YPIK 2025(1).xlsx | Inv. SDIA</t>
        </is>
      </c>
    </row>
    <row r="208">
      <c r="A208" s="3" t="n">
        <v>205</v>
      </c>
      <c r="B208" s="3" t="n"/>
      <c r="C208" s="3" t="inlineStr">
        <is>
          <t>SDIA 23 JATIKRAMAT</t>
        </is>
      </c>
      <c r="D208" s="3" t="n"/>
      <c r="E208" s="3" t="inlineStr">
        <is>
          <t>Matras</t>
        </is>
      </c>
      <c r="F208" s="3" t="inlineStr">
        <is>
          <t>Matras</t>
        </is>
      </c>
      <c r="G208" s="3" t="n"/>
      <c r="H208" s="3" t="n"/>
      <c r="I208" s="3" t="n">
        <v>1</v>
      </c>
      <c r="J208" s="4" t="n"/>
      <c r="K208" s="3" t="n">
        <v>2018</v>
      </c>
      <c r="L208" s="5" t="n"/>
      <c r="M208" s="5" t="n">
        <v>500000</v>
      </c>
      <c r="N208" s="3" t="n"/>
      <c r="O208" s="3" t="n">
        <v>4</v>
      </c>
      <c r="P208" s="5" t="n">
        <v>500000</v>
      </c>
      <c r="Q208" s="5" t="n">
        <v>0</v>
      </c>
      <c r="R208" s="3" t="inlineStr"/>
      <c r="S208" s="3" t="inlineStr">
        <is>
          <t>Aktif</t>
        </is>
      </c>
      <c r="T208" s="3" t="n"/>
      <c r="U208" s="3" t="inlineStr">
        <is>
          <t>LIST ASSET YPIK 2025(1).xlsx | Inv. SDIA</t>
        </is>
      </c>
    </row>
    <row r="209">
      <c r="A209" s="3" t="n">
        <v>206</v>
      </c>
      <c r="B209" s="3" t="n"/>
      <c r="C209" s="3" t="inlineStr">
        <is>
          <t>SDIA 23 JATIKRAMAT</t>
        </is>
      </c>
      <c r="D209" s="3" t="n"/>
      <c r="E209" s="3" t="inlineStr">
        <is>
          <t>Meja Guru</t>
        </is>
      </c>
      <c r="F209" s="3" t="inlineStr">
        <is>
          <t>Meja Guru</t>
        </is>
      </c>
      <c r="G209" s="3" t="n"/>
      <c r="H209" s="3" t="n"/>
      <c r="I209" s="3" t="n">
        <v>1</v>
      </c>
      <c r="J209" s="4" t="n"/>
      <c r="K209" s="3" t="n">
        <v>2018</v>
      </c>
      <c r="L209" s="5" t="n"/>
      <c r="M209" s="5" t="n">
        <v>400000</v>
      </c>
      <c r="N209" s="3" t="n"/>
      <c r="O209" s="3" t="n">
        <v>4</v>
      </c>
      <c r="P209" s="5" t="n">
        <v>400000</v>
      </c>
      <c r="Q209" s="5" t="n">
        <v>0</v>
      </c>
      <c r="R209" s="3" t="inlineStr"/>
      <c r="S209" s="3" t="inlineStr">
        <is>
          <t>Aktif</t>
        </is>
      </c>
      <c r="T209" s="3" t="n"/>
      <c r="U209" s="3" t="inlineStr">
        <is>
          <t>LIST ASSET YPIK 2025(1).xlsx | Inv. SDIA</t>
        </is>
      </c>
    </row>
    <row r="210">
      <c r="A210" s="3" t="n">
        <v>207</v>
      </c>
      <c r="B210" s="3" t="n"/>
      <c r="C210" s="3" t="inlineStr">
        <is>
          <t>SDIA 23 JATIKRAMAT</t>
        </is>
      </c>
      <c r="D210" s="3" t="n"/>
      <c r="E210" s="3" t="inlineStr">
        <is>
          <t>Kursi Guru</t>
        </is>
      </c>
      <c r="F210" s="3" t="inlineStr">
        <is>
          <t>Kursi Guru</t>
        </is>
      </c>
      <c r="G210" s="3" t="n"/>
      <c r="H210" s="3" t="n"/>
      <c r="I210" s="3" t="n">
        <v>1</v>
      </c>
      <c r="J210" s="4" t="n"/>
      <c r="K210" s="3" t="n">
        <v>2018</v>
      </c>
      <c r="L210" s="5" t="n"/>
      <c r="M210" s="5" t="n">
        <v>300000</v>
      </c>
      <c r="N210" s="3" t="n"/>
      <c r="O210" s="3" t="n">
        <v>4</v>
      </c>
      <c r="P210" s="5" t="n">
        <v>300000</v>
      </c>
      <c r="Q210" s="5" t="n">
        <v>0</v>
      </c>
      <c r="R210" s="3" t="inlineStr"/>
      <c r="S210" s="3" t="inlineStr">
        <is>
          <t>Aktif</t>
        </is>
      </c>
      <c r="T210" s="3" t="n"/>
      <c r="U210" s="3" t="inlineStr">
        <is>
          <t>LIST ASSET YPIK 2025(1).xlsx | Inv. SDIA</t>
        </is>
      </c>
    </row>
    <row r="211">
      <c r="A211" s="3" t="n">
        <v>208</v>
      </c>
      <c r="B211" s="3" t="n"/>
      <c r="C211" s="3" t="inlineStr">
        <is>
          <t>SDIA 23 JATIKRAMAT</t>
        </is>
      </c>
      <c r="D211" s="3" t="n"/>
      <c r="E211" s="3" t="inlineStr">
        <is>
          <t>Meja Murid 4 Abu</t>
        </is>
      </c>
      <c r="F211" s="3" t="inlineStr">
        <is>
          <t>Meja Murid 4 Abu</t>
        </is>
      </c>
      <c r="G211" s="3" t="n"/>
      <c r="H211" s="3" t="n"/>
      <c r="I211" s="3" t="n">
        <v>26</v>
      </c>
      <c r="J211" s="4" t="n"/>
      <c r="K211" s="3" t="n">
        <v>2018</v>
      </c>
      <c r="L211" s="5" t="n"/>
      <c r="M211" s="5" t="n">
        <v>6500000</v>
      </c>
      <c r="N211" s="3" t="n"/>
      <c r="O211" s="3" t="n">
        <v>4</v>
      </c>
      <c r="P211" s="5" t="n">
        <v>6500000</v>
      </c>
      <c r="Q211" s="5" t="n">
        <v>0</v>
      </c>
      <c r="R211" s="3" t="inlineStr"/>
      <c r="S211" s="3" t="inlineStr">
        <is>
          <t>Aktif</t>
        </is>
      </c>
      <c r="T211" s="3" t="n"/>
      <c r="U211" s="3" t="inlineStr">
        <is>
          <t>LIST ASSET YPIK 2025(1).xlsx | Inv. SDIA</t>
        </is>
      </c>
    </row>
    <row r="212">
      <c r="A212" s="3" t="n">
        <v>209</v>
      </c>
      <c r="B212" s="3" t="n"/>
      <c r="C212" s="3" t="inlineStr">
        <is>
          <t>SDIA 23 JATIKRAMAT</t>
        </is>
      </c>
      <c r="D212" s="3" t="n"/>
      <c r="E212" s="3" t="inlineStr">
        <is>
          <t>Kursi Murid 4 Abu</t>
        </is>
      </c>
      <c r="F212" s="3" t="inlineStr">
        <is>
          <t>Kursi Murid 4 Abu</t>
        </is>
      </c>
      <c r="G212" s="3" t="n"/>
      <c r="H212" s="3" t="n"/>
      <c r="I212" s="3" t="n">
        <v>26</v>
      </c>
      <c r="J212" s="4" t="n"/>
      <c r="K212" s="3" t="n">
        <v>2018</v>
      </c>
      <c r="L212" s="5" t="n"/>
      <c r="M212" s="5" t="n">
        <v>6500000</v>
      </c>
      <c r="N212" s="3" t="n"/>
      <c r="O212" s="3" t="n">
        <v>4</v>
      </c>
      <c r="P212" s="5" t="n">
        <v>6500000</v>
      </c>
      <c r="Q212" s="5" t="n">
        <v>0</v>
      </c>
      <c r="R212" s="3" t="inlineStr"/>
      <c r="S212" s="3" t="inlineStr">
        <is>
          <t>Aktif</t>
        </is>
      </c>
      <c r="T212" s="3" t="n"/>
      <c r="U212" s="3" t="inlineStr">
        <is>
          <t>LIST ASSET YPIK 2025(1).xlsx | Inv. SDIA</t>
        </is>
      </c>
    </row>
    <row r="213">
      <c r="A213" s="3" t="n">
        <v>210</v>
      </c>
      <c r="B213" s="3" t="n"/>
      <c r="C213" s="3" t="inlineStr">
        <is>
          <t>SDIA 23 JATIKRAMAT</t>
        </is>
      </c>
      <c r="D213" s="3" t="n"/>
      <c r="E213" s="3" t="inlineStr">
        <is>
          <t>Lemari Kelas</t>
        </is>
      </c>
      <c r="F213" s="3" t="inlineStr">
        <is>
          <t>Lemari Kelas</t>
        </is>
      </c>
      <c r="G213" s="3" t="n"/>
      <c r="H213" s="3" t="n"/>
      <c r="I213" s="3" t="n">
        <v>1</v>
      </c>
      <c r="J213" s="4" t="n"/>
      <c r="K213" s="3" t="n">
        <v>2018</v>
      </c>
      <c r="L213" s="5" t="n"/>
      <c r="M213" s="5" t="n">
        <v>800000</v>
      </c>
      <c r="N213" s="3" t="n"/>
      <c r="O213" s="3" t="n">
        <v>4</v>
      </c>
      <c r="P213" s="5" t="n">
        <v>800000</v>
      </c>
      <c r="Q213" s="5" t="n">
        <v>0</v>
      </c>
      <c r="R213" s="3" t="inlineStr"/>
      <c r="S213" s="3" t="inlineStr">
        <is>
          <t>Aktif</t>
        </is>
      </c>
      <c r="T213" s="3" t="n"/>
      <c r="U213" s="3" t="inlineStr">
        <is>
          <t>LIST ASSET YPIK 2025(1).xlsx | Inv. SDIA</t>
        </is>
      </c>
    </row>
    <row r="214">
      <c r="A214" s="3" t="n">
        <v>211</v>
      </c>
      <c r="B214" s="3" t="n"/>
      <c r="C214" s="3" t="inlineStr">
        <is>
          <t>SDIA 23 JATIKRAMAT</t>
        </is>
      </c>
      <c r="D214" s="3" t="n"/>
      <c r="E214" s="3" t="inlineStr">
        <is>
          <t>Loker Murid</t>
        </is>
      </c>
      <c r="F214" s="3" t="inlineStr">
        <is>
          <t>Loker Murid</t>
        </is>
      </c>
      <c r="G214" s="3" t="n"/>
      <c r="H214" s="3" t="n"/>
      <c r="I214" s="3" t="n">
        <v>1</v>
      </c>
      <c r="J214" s="4" t="n"/>
      <c r="K214" s="3" t="n">
        <v>2018</v>
      </c>
      <c r="L214" s="5" t="n"/>
      <c r="M214" s="5" t="n">
        <v>1250000</v>
      </c>
      <c r="N214" s="3" t="n"/>
      <c r="O214" s="3" t="n">
        <v>4</v>
      </c>
      <c r="P214" s="5" t="n">
        <v>1250000</v>
      </c>
      <c r="Q214" s="5" t="n">
        <v>0</v>
      </c>
      <c r="R214" s="3" t="inlineStr"/>
      <c r="S214" s="3" t="inlineStr">
        <is>
          <t>Aktif</t>
        </is>
      </c>
      <c r="T214" s="3" t="n"/>
      <c r="U214" s="3" t="inlineStr">
        <is>
          <t>LIST ASSET YPIK 2025(1).xlsx | Inv. SDIA</t>
        </is>
      </c>
    </row>
    <row r="215">
      <c r="A215" s="3" t="n">
        <v>212</v>
      </c>
      <c r="B215" s="3" t="n"/>
      <c r="C215" s="3" t="inlineStr">
        <is>
          <t>SDIA 23 JATIKRAMAT</t>
        </is>
      </c>
      <c r="D215" s="3" t="n"/>
      <c r="E215" s="3" t="inlineStr">
        <is>
          <t>Meja Guru</t>
        </is>
      </c>
      <c r="F215" s="3" t="inlineStr">
        <is>
          <t>Meja Guru</t>
        </is>
      </c>
      <c r="G215" s="3" t="n"/>
      <c r="H215" s="3" t="n"/>
      <c r="I215" s="3" t="n">
        <v>1</v>
      </c>
      <c r="J215" s="4" t="n"/>
      <c r="K215" s="3" t="n">
        <v>2018</v>
      </c>
      <c r="L215" s="5" t="n"/>
      <c r="M215" s="5" t="n">
        <v>400000</v>
      </c>
      <c r="N215" s="3" t="n"/>
      <c r="O215" s="3" t="n">
        <v>4</v>
      </c>
      <c r="P215" s="5" t="n">
        <v>400000</v>
      </c>
      <c r="Q215" s="5" t="n">
        <v>0</v>
      </c>
      <c r="R215" s="3" t="inlineStr"/>
      <c r="S215" s="3" t="inlineStr">
        <is>
          <t>Aktif</t>
        </is>
      </c>
      <c r="T215" s="3" t="n"/>
      <c r="U215" s="3" t="inlineStr">
        <is>
          <t>LIST ASSET YPIK 2025(1).xlsx | Inv. SDIA</t>
        </is>
      </c>
    </row>
    <row r="216">
      <c r="A216" s="3" t="n">
        <v>213</v>
      </c>
      <c r="B216" s="3" t="n"/>
      <c r="C216" s="3" t="inlineStr">
        <is>
          <t>SDIA 23 JATIKRAMAT</t>
        </is>
      </c>
      <c r="D216" s="3" t="n"/>
      <c r="E216" s="3" t="inlineStr">
        <is>
          <t>Kursi Guru</t>
        </is>
      </c>
      <c r="F216" s="3" t="inlineStr">
        <is>
          <t>Kursi Guru</t>
        </is>
      </c>
      <c r="G216" s="3" t="n"/>
      <c r="H216" s="3" t="n"/>
      <c r="I216" s="3" t="n">
        <v>2</v>
      </c>
      <c r="J216" s="4" t="n"/>
      <c r="K216" s="3" t="n">
        <v>2018</v>
      </c>
      <c r="L216" s="5" t="n"/>
      <c r="M216" s="5" t="n">
        <v>300000</v>
      </c>
      <c r="N216" s="3" t="n"/>
      <c r="O216" s="3" t="n">
        <v>4</v>
      </c>
      <c r="P216" s="5" t="n">
        <v>300000</v>
      </c>
      <c r="Q216" s="5" t="n">
        <v>0</v>
      </c>
      <c r="R216" s="3" t="inlineStr"/>
      <c r="S216" s="3" t="inlineStr">
        <is>
          <t>Aktif</t>
        </is>
      </c>
      <c r="T216" s="3" t="n"/>
      <c r="U216" s="3" t="inlineStr">
        <is>
          <t>LIST ASSET YPIK 2025(1).xlsx | Inv. SDIA</t>
        </is>
      </c>
    </row>
    <row r="217">
      <c r="A217" s="3" t="n">
        <v>214</v>
      </c>
      <c r="B217" s="3" t="n"/>
      <c r="C217" s="3" t="inlineStr">
        <is>
          <t>SDIA 23 JATIKRAMAT</t>
        </is>
      </c>
      <c r="D217" s="3" t="n"/>
      <c r="E217" s="3" t="inlineStr">
        <is>
          <t>Meja Murid 4 Umar</t>
        </is>
      </c>
      <c r="F217" s="3" t="inlineStr">
        <is>
          <t>Meja Murid 4 Umar</t>
        </is>
      </c>
      <c r="G217" s="3" t="n"/>
      <c r="H217" s="3" t="n"/>
      <c r="I217" s="3" t="n">
        <v>25</v>
      </c>
      <c r="J217" s="4" t="n"/>
      <c r="K217" s="3" t="n">
        <v>2018</v>
      </c>
      <c r="L217" s="5" t="n"/>
      <c r="M217" s="5" t="n">
        <v>6250000</v>
      </c>
      <c r="N217" s="3" t="n"/>
      <c r="O217" s="3" t="n">
        <v>4</v>
      </c>
      <c r="P217" s="5" t="n">
        <v>6250000</v>
      </c>
      <c r="Q217" s="5" t="n">
        <v>0</v>
      </c>
      <c r="R217" s="3" t="inlineStr"/>
      <c r="S217" s="3" t="inlineStr">
        <is>
          <t>Aktif</t>
        </is>
      </c>
      <c r="T217" s="3" t="n"/>
      <c r="U217" s="3" t="inlineStr">
        <is>
          <t>LIST ASSET YPIK 2025(1).xlsx | Inv. SDIA</t>
        </is>
      </c>
    </row>
    <row r="218">
      <c r="A218" s="3" t="n">
        <v>215</v>
      </c>
      <c r="B218" s="3" t="n"/>
      <c r="C218" s="3" t="inlineStr">
        <is>
          <t>SDIA 23 JATIKRAMAT</t>
        </is>
      </c>
      <c r="D218" s="3" t="n"/>
      <c r="E218" s="3" t="inlineStr">
        <is>
          <t>Kursi Murid 4 Umar</t>
        </is>
      </c>
      <c r="F218" s="3" t="inlineStr">
        <is>
          <t>Kursi Murid 4 Umar</t>
        </is>
      </c>
      <c r="G218" s="3" t="n"/>
      <c r="H218" s="3" t="n"/>
      <c r="I218" s="3" t="n">
        <v>25</v>
      </c>
      <c r="J218" s="4" t="n"/>
      <c r="K218" s="3" t="n">
        <v>2018</v>
      </c>
      <c r="L218" s="5" t="n"/>
      <c r="M218" s="5" t="n">
        <v>2500000</v>
      </c>
      <c r="N218" s="3" t="n"/>
      <c r="O218" s="3" t="n">
        <v>4</v>
      </c>
      <c r="P218" s="5" t="n">
        <v>2500000</v>
      </c>
      <c r="Q218" s="5" t="n">
        <v>0</v>
      </c>
      <c r="R218" s="3" t="inlineStr"/>
      <c r="S218" s="3" t="inlineStr">
        <is>
          <t>Aktif</t>
        </is>
      </c>
      <c r="T218" s="3" t="n"/>
      <c r="U218" s="3" t="inlineStr">
        <is>
          <t>LIST ASSET YPIK 2025(1).xlsx | Inv. SDIA</t>
        </is>
      </c>
    </row>
    <row r="219">
      <c r="A219" s="3" t="n">
        <v>216</v>
      </c>
      <c r="B219" s="3" t="n"/>
      <c r="C219" s="3" t="inlineStr">
        <is>
          <t>SDIA 23 JATIKRAMAT</t>
        </is>
      </c>
      <c r="D219" s="3" t="n"/>
      <c r="E219" s="3" t="inlineStr">
        <is>
          <t>Lemari Kelas</t>
        </is>
      </c>
      <c r="F219" s="3" t="inlineStr">
        <is>
          <t>Lemari Kelas</t>
        </is>
      </c>
      <c r="G219" s="3" t="n"/>
      <c r="H219" s="3" t="n"/>
      <c r="I219" s="3" t="n">
        <v>1</v>
      </c>
      <c r="J219" s="4" t="n"/>
      <c r="K219" s="3" t="n">
        <v>2018</v>
      </c>
      <c r="L219" s="5" t="n"/>
      <c r="M219" s="5" t="n">
        <v>800000</v>
      </c>
      <c r="N219" s="3" t="n"/>
      <c r="O219" s="3" t="n">
        <v>4</v>
      </c>
      <c r="P219" s="5" t="n">
        <v>800000</v>
      </c>
      <c r="Q219" s="5" t="n">
        <v>0</v>
      </c>
      <c r="R219" s="3" t="inlineStr"/>
      <c r="S219" s="3" t="inlineStr">
        <is>
          <t>Aktif</t>
        </is>
      </c>
      <c r="T219" s="3" t="n"/>
      <c r="U219" s="3" t="inlineStr">
        <is>
          <t>LIST ASSET YPIK 2025(1).xlsx | Inv. SDIA</t>
        </is>
      </c>
    </row>
    <row r="220">
      <c r="A220" s="3" t="n">
        <v>217</v>
      </c>
      <c r="B220" s="3" t="n"/>
      <c r="C220" s="3" t="inlineStr">
        <is>
          <t>SDIA 23 JATIKRAMAT</t>
        </is>
      </c>
      <c r="D220" s="3" t="n"/>
      <c r="E220" s="3" t="inlineStr">
        <is>
          <t>Mading Besar</t>
        </is>
      </c>
      <c r="F220" s="3" t="inlineStr">
        <is>
          <t>Mading Besar</t>
        </is>
      </c>
      <c r="G220" s="3" t="n"/>
      <c r="H220" s="3" t="n"/>
      <c r="I220" s="3" t="n">
        <v>1</v>
      </c>
      <c r="J220" s="4" t="n"/>
      <c r="K220" s="3" t="n">
        <v>2018</v>
      </c>
      <c r="L220" s="5" t="n"/>
      <c r="M220" s="5" t="n">
        <v>1000000</v>
      </c>
      <c r="N220" s="3" t="n"/>
      <c r="O220" s="3" t="n">
        <v>4</v>
      </c>
      <c r="P220" s="5" t="n">
        <v>1000000</v>
      </c>
      <c r="Q220" s="5" t="n">
        <v>0</v>
      </c>
      <c r="R220" s="3" t="inlineStr"/>
      <c r="S220" s="3" t="inlineStr">
        <is>
          <t>Aktif</t>
        </is>
      </c>
      <c r="T220" s="3" t="n"/>
      <c r="U220" s="3" t="inlineStr">
        <is>
          <t>LIST ASSET YPIK 2025(1).xlsx | Inv. SDIA</t>
        </is>
      </c>
    </row>
    <row r="221">
      <c r="A221" s="3" t="n">
        <v>218</v>
      </c>
      <c r="B221" s="3" t="n"/>
      <c r="C221" s="3" t="inlineStr">
        <is>
          <t>SDIA 23 JATIKRAMAT</t>
        </is>
      </c>
      <c r="D221" s="3" t="n"/>
      <c r="E221" s="3" t="inlineStr">
        <is>
          <t>Loker Murid</t>
        </is>
      </c>
      <c r="F221" s="3" t="inlineStr">
        <is>
          <t>Loker Murid</t>
        </is>
      </c>
      <c r="G221" s="3" t="n"/>
      <c r="H221" s="3" t="n"/>
      <c r="I221" s="3" t="n">
        <v>1</v>
      </c>
      <c r="J221" s="4" t="n"/>
      <c r="K221" s="3" t="n">
        <v>2018</v>
      </c>
      <c r="L221" s="5" t="n"/>
      <c r="M221" s="5" t="n">
        <v>1250000</v>
      </c>
      <c r="N221" s="3" t="n"/>
      <c r="O221" s="3" t="n">
        <v>4</v>
      </c>
      <c r="P221" s="5" t="n">
        <v>1250000</v>
      </c>
      <c r="Q221" s="5" t="n">
        <v>0</v>
      </c>
      <c r="R221" s="3" t="inlineStr"/>
      <c r="S221" s="3" t="inlineStr">
        <is>
          <t>Aktif</t>
        </is>
      </c>
      <c r="T221" s="3" t="n"/>
      <c r="U221" s="3" t="inlineStr">
        <is>
          <t>LIST ASSET YPIK 2025(1).xlsx | Inv. SDIA</t>
        </is>
      </c>
    </row>
    <row r="222">
      <c r="A222" s="3" t="n">
        <v>219</v>
      </c>
      <c r="B222" s="3" t="n"/>
      <c r="C222" s="3" t="inlineStr">
        <is>
          <t>SDIA 23 JATIKRAMAT</t>
        </is>
      </c>
      <c r="D222" s="3" t="n"/>
      <c r="E222" s="3" t="inlineStr">
        <is>
          <t>Lemari Guru</t>
        </is>
      </c>
      <c r="F222" s="3" t="inlineStr">
        <is>
          <t>Lemari Guru</t>
        </is>
      </c>
      <c r="G222" s="3" t="n"/>
      <c r="H222" s="3" t="n"/>
      <c r="I222" s="3" t="n">
        <v>1</v>
      </c>
      <c r="J222" s="4" t="n"/>
      <c r="K222" s="3" t="n">
        <v>2018</v>
      </c>
      <c r="L222" s="5" t="n"/>
      <c r="M222" s="5" t="n">
        <v>600000</v>
      </c>
      <c r="N222" s="3" t="n"/>
      <c r="O222" s="3" t="n">
        <v>4</v>
      </c>
      <c r="P222" s="5" t="n">
        <v>600000</v>
      </c>
      <c r="Q222" s="5" t="n">
        <v>0</v>
      </c>
      <c r="R222" s="3" t="inlineStr"/>
      <c r="S222" s="3" t="inlineStr">
        <is>
          <t>Aktif</t>
        </is>
      </c>
      <c r="T222" s="3" t="n"/>
      <c r="U222" s="3" t="inlineStr">
        <is>
          <t>LIST ASSET YPIK 2025(1).xlsx | Inv. SDIA</t>
        </is>
      </c>
    </row>
    <row r="223">
      <c r="A223" s="3" t="n">
        <v>220</v>
      </c>
      <c r="B223" s="3" t="n"/>
      <c r="C223" s="3" t="inlineStr">
        <is>
          <t>SDIA 23 JATIKRAMAT</t>
        </is>
      </c>
      <c r="D223" s="3" t="n"/>
      <c r="E223" s="3" t="inlineStr">
        <is>
          <t>Meja Guru</t>
        </is>
      </c>
      <c r="F223" s="3" t="inlineStr">
        <is>
          <t>Meja Guru</t>
        </is>
      </c>
      <c r="G223" s="3" t="n"/>
      <c r="H223" s="3" t="n"/>
      <c r="I223" s="3" t="n">
        <v>1</v>
      </c>
      <c r="J223" s="4" t="n"/>
      <c r="K223" s="3" t="n">
        <v>2018</v>
      </c>
      <c r="L223" s="5" t="n"/>
      <c r="M223" s="5" t="n">
        <v>400000</v>
      </c>
      <c r="N223" s="3" t="n"/>
      <c r="O223" s="3" t="n">
        <v>4</v>
      </c>
      <c r="P223" s="5" t="n">
        <v>400000</v>
      </c>
      <c r="Q223" s="5" t="n">
        <v>0</v>
      </c>
      <c r="R223" s="3" t="inlineStr"/>
      <c r="S223" s="3" t="inlineStr">
        <is>
          <t>Aktif</t>
        </is>
      </c>
      <c r="T223" s="3" t="n"/>
      <c r="U223" s="3" t="inlineStr">
        <is>
          <t>LIST ASSET YPIK 2025(1).xlsx | Inv. SDIA</t>
        </is>
      </c>
    </row>
    <row r="224">
      <c r="A224" s="3" t="n">
        <v>221</v>
      </c>
      <c r="B224" s="3" t="n"/>
      <c r="C224" s="3" t="inlineStr">
        <is>
          <t>SDIA 23 JATIKRAMAT</t>
        </is>
      </c>
      <c r="D224" s="3" t="n"/>
      <c r="E224" s="3" t="inlineStr">
        <is>
          <t>Kursi Guru</t>
        </is>
      </c>
      <c r="F224" s="3" t="inlineStr">
        <is>
          <t>Kursi Guru</t>
        </is>
      </c>
      <c r="G224" s="3" t="n"/>
      <c r="H224" s="3" t="n"/>
      <c r="I224" s="3" t="n">
        <v>1</v>
      </c>
      <c r="J224" s="4" t="n"/>
      <c r="K224" s="3" t="n">
        <v>2018</v>
      </c>
      <c r="L224" s="5" t="n"/>
      <c r="M224" s="5" t="n">
        <v>300000</v>
      </c>
      <c r="N224" s="3" t="n"/>
      <c r="O224" s="3" t="n">
        <v>4</v>
      </c>
      <c r="P224" s="5" t="n">
        <v>300000</v>
      </c>
      <c r="Q224" s="5" t="n">
        <v>0</v>
      </c>
      <c r="R224" s="3" t="inlineStr"/>
      <c r="S224" s="3" t="inlineStr">
        <is>
          <t>Aktif</t>
        </is>
      </c>
      <c r="T224" s="3" t="n"/>
      <c r="U224" s="3" t="inlineStr">
        <is>
          <t>LIST ASSET YPIK 2025(1).xlsx | Inv. SDIA</t>
        </is>
      </c>
    </row>
    <row r="225">
      <c r="A225" s="3" t="n">
        <v>222</v>
      </c>
      <c r="B225" s="3" t="n"/>
      <c r="C225" s="3" t="inlineStr">
        <is>
          <t>SDIA 23 JATIKRAMAT</t>
        </is>
      </c>
      <c r="D225" s="3" t="n"/>
      <c r="E225" s="3" t="inlineStr">
        <is>
          <t>Meja Murid 4 Usman</t>
        </is>
      </c>
      <c r="F225" s="3" t="inlineStr">
        <is>
          <t>Meja Murid 4 Usman</t>
        </is>
      </c>
      <c r="G225" s="3" t="n"/>
      <c r="H225" s="3" t="n"/>
      <c r="I225" s="3" t="n">
        <v>24</v>
      </c>
      <c r="J225" s="4" t="n"/>
      <c r="K225" s="3" t="n">
        <v>2018</v>
      </c>
      <c r="L225" s="5" t="n"/>
      <c r="M225" s="5" t="n">
        <v>6000000</v>
      </c>
      <c r="N225" s="3" t="n"/>
      <c r="O225" s="3" t="n">
        <v>4</v>
      </c>
      <c r="P225" s="5" t="n">
        <v>6000000</v>
      </c>
      <c r="Q225" s="5" t="n">
        <v>0</v>
      </c>
      <c r="R225" s="3" t="inlineStr"/>
      <c r="S225" s="3" t="inlineStr">
        <is>
          <t>Aktif</t>
        </is>
      </c>
      <c r="T225" s="3" t="n"/>
      <c r="U225" s="3" t="inlineStr">
        <is>
          <t>LIST ASSET YPIK 2025(1).xlsx | Inv. SDIA</t>
        </is>
      </c>
    </row>
    <row r="226">
      <c r="A226" s="3" t="n">
        <v>223</v>
      </c>
      <c r="B226" s="3" t="n"/>
      <c r="C226" s="3" t="inlineStr">
        <is>
          <t>SDIA 23 JATIKRAMAT</t>
        </is>
      </c>
      <c r="D226" s="3" t="n"/>
      <c r="E226" s="3" t="inlineStr">
        <is>
          <t>Kursi Murid 4 Usman</t>
        </is>
      </c>
      <c r="F226" s="3" t="inlineStr">
        <is>
          <t>Kursi Murid 4 Usman</t>
        </is>
      </c>
      <c r="G226" s="3" t="n"/>
      <c r="H226" s="3" t="n"/>
      <c r="I226" s="3" t="n">
        <v>24</v>
      </c>
      <c r="J226" s="4" t="n"/>
      <c r="K226" s="3" t="n">
        <v>2018</v>
      </c>
      <c r="L226" s="5" t="n"/>
      <c r="M226" s="5" t="n">
        <v>2400000</v>
      </c>
      <c r="N226" s="3" t="n"/>
      <c r="O226" s="3" t="n">
        <v>4</v>
      </c>
      <c r="P226" s="5" t="n">
        <v>2400000</v>
      </c>
      <c r="Q226" s="5" t="n">
        <v>0</v>
      </c>
      <c r="R226" s="3" t="inlineStr"/>
      <c r="S226" s="3" t="inlineStr">
        <is>
          <t>Aktif</t>
        </is>
      </c>
      <c r="T226" s="3" t="n"/>
      <c r="U226" s="3" t="inlineStr">
        <is>
          <t>LIST ASSET YPIK 2025(1).xlsx | Inv. SDIA</t>
        </is>
      </c>
    </row>
    <row r="227">
      <c r="A227" s="3" t="n">
        <v>224</v>
      </c>
      <c r="B227" s="3" t="n"/>
      <c r="C227" s="3" t="inlineStr">
        <is>
          <t>SDIA 23 JATIKRAMAT</t>
        </is>
      </c>
      <c r="D227" s="3" t="n"/>
      <c r="E227" s="3" t="inlineStr">
        <is>
          <t>Mading Besar</t>
        </is>
      </c>
      <c r="F227" s="3" t="inlineStr">
        <is>
          <t>Mading Besar</t>
        </is>
      </c>
      <c r="G227" s="3" t="n"/>
      <c r="H227" s="3" t="n"/>
      <c r="I227" s="3" t="n">
        <v>1</v>
      </c>
      <c r="J227" s="4" t="n"/>
      <c r="K227" s="3" t="n">
        <v>2018</v>
      </c>
      <c r="L227" s="5" t="n"/>
      <c r="M227" s="5" t="n">
        <v>1000000</v>
      </c>
      <c r="N227" s="3" t="n"/>
      <c r="O227" s="3" t="n">
        <v>4</v>
      </c>
      <c r="P227" s="5" t="n">
        <v>1000000</v>
      </c>
      <c r="Q227" s="5" t="n">
        <v>0</v>
      </c>
      <c r="R227" s="3" t="inlineStr"/>
      <c r="S227" s="3" t="inlineStr">
        <is>
          <t>Aktif</t>
        </is>
      </c>
      <c r="T227" s="3" t="n"/>
      <c r="U227" s="3" t="inlineStr">
        <is>
          <t>LIST ASSET YPIK 2025(1).xlsx | Inv. SDIA</t>
        </is>
      </c>
    </row>
    <row r="228">
      <c r="A228" s="3" t="n">
        <v>225</v>
      </c>
      <c r="B228" s="3" t="n"/>
      <c r="C228" s="3" t="inlineStr">
        <is>
          <t>SDIA 23 JATIKRAMAT</t>
        </is>
      </c>
      <c r="D228" s="3" t="n"/>
      <c r="E228" s="3" t="inlineStr">
        <is>
          <t>Loker Murid'</t>
        </is>
      </c>
      <c r="F228" s="3" t="inlineStr">
        <is>
          <t>Loker Murid'</t>
        </is>
      </c>
      <c r="G228" s="3" t="n"/>
      <c r="H228" s="3" t="n"/>
      <c r="I228" s="3" t="n">
        <v>1</v>
      </c>
      <c r="J228" s="4" t="n"/>
      <c r="K228" s="3" t="n">
        <v>2018</v>
      </c>
      <c r="L228" s="5" t="n"/>
      <c r="M228" s="5" t="n">
        <v>1250000</v>
      </c>
      <c r="N228" s="3" t="n"/>
      <c r="O228" s="3" t="n">
        <v>4</v>
      </c>
      <c r="P228" s="5" t="n">
        <v>1250000</v>
      </c>
      <c r="Q228" s="5" t="n">
        <v>0</v>
      </c>
      <c r="R228" s="3" t="inlineStr"/>
      <c r="S228" s="3" t="inlineStr">
        <is>
          <t>Aktif</t>
        </is>
      </c>
      <c r="T228" s="3" t="n"/>
      <c r="U228" s="3" t="inlineStr">
        <is>
          <t>LIST ASSET YPIK 2025(1).xlsx | Inv. SDIA</t>
        </is>
      </c>
    </row>
    <row r="229">
      <c r="A229" s="3" t="n">
        <v>226</v>
      </c>
      <c r="B229" s="3" t="n"/>
      <c r="C229" s="3" t="inlineStr">
        <is>
          <t>SDIA 23 JATIKRAMAT</t>
        </is>
      </c>
      <c r="D229" s="3" t="n"/>
      <c r="E229" s="3" t="inlineStr">
        <is>
          <t>Meja Guru</t>
        </is>
      </c>
      <c r="F229" s="3" t="inlineStr">
        <is>
          <t>Meja Guru</t>
        </is>
      </c>
      <c r="G229" s="3" t="n"/>
      <c r="H229" s="3" t="n"/>
      <c r="I229" s="3" t="n">
        <v>1</v>
      </c>
      <c r="J229" s="4" t="n"/>
      <c r="K229" s="3" t="n">
        <v>2018</v>
      </c>
      <c r="L229" s="5" t="n"/>
      <c r="M229" s="5" t="n">
        <v>400000</v>
      </c>
      <c r="N229" s="3" t="n"/>
      <c r="O229" s="3" t="n">
        <v>4</v>
      </c>
      <c r="P229" s="5" t="n">
        <v>400000</v>
      </c>
      <c r="Q229" s="5" t="n">
        <v>0</v>
      </c>
      <c r="R229" s="3" t="inlineStr"/>
      <c r="S229" s="3" t="inlineStr">
        <is>
          <t>Aktif</t>
        </is>
      </c>
      <c r="T229" s="3" t="n"/>
      <c r="U229" s="3" t="inlineStr">
        <is>
          <t>LIST ASSET YPIK 2025(1).xlsx | Inv. SDIA</t>
        </is>
      </c>
    </row>
    <row r="230">
      <c r="A230" s="3" t="n">
        <v>227</v>
      </c>
      <c r="B230" s="3" t="n"/>
      <c r="C230" s="3" t="inlineStr">
        <is>
          <t>SDIA 23 JATIKRAMAT</t>
        </is>
      </c>
      <c r="D230" s="3" t="n"/>
      <c r="E230" s="3" t="inlineStr">
        <is>
          <t>Kursi Guru</t>
        </is>
      </c>
      <c r="F230" s="3" t="inlineStr">
        <is>
          <t>Kursi Guru</t>
        </is>
      </c>
      <c r="G230" s="3" t="n"/>
      <c r="H230" s="3" t="n"/>
      <c r="I230" s="3" t="n">
        <v>1</v>
      </c>
      <c r="J230" s="4" t="n"/>
      <c r="K230" s="3" t="n">
        <v>2018</v>
      </c>
      <c r="L230" s="5" t="n"/>
      <c r="M230" s="5" t="n">
        <v>300000</v>
      </c>
      <c r="N230" s="3" t="n"/>
      <c r="O230" s="3" t="n">
        <v>4</v>
      </c>
      <c r="P230" s="5" t="n">
        <v>300000</v>
      </c>
      <c r="Q230" s="5" t="n">
        <v>0</v>
      </c>
      <c r="R230" s="3" t="inlineStr"/>
      <c r="S230" s="3" t="inlineStr">
        <is>
          <t>Aktif</t>
        </is>
      </c>
      <c r="T230" s="3" t="n"/>
      <c r="U230" s="3" t="inlineStr">
        <is>
          <t>LIST ASSET YPIK 2025(1).xlsx | Inv. SDIA</t>
        </is>
      </c>
    </row>
    <row r="231">
      <c r="A231" s="3" t="n">
        <v>228</v>
      </c>
      <c r="B231" s="3" t="n"/>
      <c r="C231" s="3" t="inlineStr">
        <is>
          <t>SDIA 23 JATIKRAMAT</t>
        </is>
      </c>
      <c r="D231" s="3" t="n"/>
      <c r="E231" s="3" t="inlineStr">
        <is>
          <t>Meja Murid 8</t>
        </is>
      </c>
      <c r="F231" s="3" t="inlineStr">
        <is>
          <t>Meja Murid 8</t>
        </is>
      </c>
      <c r="G231" s="3" t="n"/>
      <c r="H231" s="3" t="n"/>
      <c r="I231" s="3" t="n">
        <v>30</v>
      </c>
      <c r="J231" s="4" t="n"/>
      <c r="K231" s="3" t="n">
        <v>2018</v>
      </c>
      <c r="L231" s="5" t="n"/>
      <c r="M231" s="5" t="n">
        <v>7500000</v>
      </c>
      <c r="N231" s="3" t="n"/>
      <c r="O231" s="3" t="n">
        <v>4</v>
      </c>
      <c r="P231" s="5" t="n">
        <v>7500000</v>
      </c>
      <c r="Q231" s="5" t="n">
        <v>0</v>
      </c>
      <c r="R231" s="3" t="inlineStr"/>
      <c r="S231" s="3" t="inlineStr">
        <is>
          <t>Aktif</t>
        </is>
      </c>
      <c r="T231" s="3" t="n"/>
      <c r="U231" s="3" t="inlineStr">
        <is>
          <t>LIST ASSET YPIK 2025(1).xlsx | Inv. SDIA</t>
        </is>
      </c>
    </row>
    <row r="232">
      <c r="A232" s="3" t="n">
        <v>229</v>
      </c>
      <c r="B232" s="3" t="n"/>
      <c r="C232" s="3" t="inlineStr">
        <is>
          <t>SDIA 23 JATIKRAMAT</t>
        </is>
      </c>
      <c r="D232" s="3" t="n"/>
      <c r="E232" s="3" t="inlineStr">
        <is>
          <t>Kursi Murid</t>
        </is>
      </c>
      <c r="F232" s="3" t="inlineStr">
        <is>
          <t>Kursi Murid</t>
        </is>
      </c>
      <c r="G232" s="3" t="n"/>
      <c r="H232" s="3" t="n"/>
      <c r="I232" s="3" t="n">
        <v>30</v>
      </c>
      <c r="J232" s="4" t="n"/>
      <c r="K232" s="3" t="n">
        <v>2018</v>
      </c>
      <c r="L232" s="5" t="n"/>
      <c r="M232" s="5" t="n">
        <v>4500000</v>
      </c>
      <c r="N232" s="3" t="n"/>
      <c r="O232" s="3" t="n">
        <v>4</v>
      </c>
      <c r="P232" s="5" t="n">
        <v>4500000</v>
      </c>
      <c r="Q232" s="5" t="n">
        <v>0</v>
      </c>
      <c r="R232" s="3" t="inlineStr"/>
      <c r="S232" s="3" t="inlineStr">
        <is>
          <t>Aktif</t>
        </is>
      </c>
      <c r="T232" s="3" t="n"/>
      <c r="U232" s="3" t="inlineStr">
        <is>
          <t>LIST ASSET YPIK 2025(1).xlsx | Inv. SDIA</t>
        </is>
      </c>
    </row>
    <row r="233">
      <c r="A233" s="3" t="n">
        <v>230</v>
      </c>
      <c r="B233" s="3" t="n"/>
      <c r="C233" s="3" t="inlineStr">
        <is>
          <t>SDIA 23 JATIKRAMAT</t>
        </is>
      </c>
      <c r="D233" s="3" t="n"/>
      <c r="E233" s="3" t="inlineStr">
        <is>
          <t>Lemari Kelas</t>
        </is>
      </c>
      <c r="F233" s="3" t="inlineStr">
        <is>
          <t>Lemari Kelas</t>
        </is>
      </c>
      <c r="G233" s="3" t="n"/>
      <c r="H233" s="3" t="n"/>
      <c r="I233" s="3" t="n">
        <v>1</v>
      </c>
      <c r="J233" s="4" t="n"/>
      <c r="K233" s="3" t="n">
        <v>2018</v>
      </c>
      <c r="L233" s="5" t="n"/>
      <c r="M233" s="5" t="n">
        <v>1000000</v>
      </c>
      <c r="N233" s="3" t="n"/>
      <c r="O233" s="3" t="n">
        <v>4</v>
      </c>
      <c r="P233" s="5" t="n">
        <v>1000000</v>
      </c>
      <c r="Q233" s="5" t="n">
        <v>0</v>
      </c>
      <c r="R233" s="3" t="inlineStr"/>
      <c r="S233" s="3" t="inlineStr">
        <is>
          <t>Aktif</t>
        </is>
      </c>
      <c r="T233" s="3" t="n"/>
      <c r="U233" s="3" t="inlineStr">
        <is>
          <t>LIST ASSET YPIK 2025(1).xlsx | Inv. SDIA</t>
        </is>
      </c>
    </row>
    <row r="234">
      <c r="A234" s="3" t="n">
        <v>231</v>
      </c>
      <c r="B234" s="3" t="n"/>
      <c r="C234" s="3" t="inlineStr">
        <is>
          <t>SDIA 23 JATIKRAMAT</t>
        </is>
      </c>
      <c r="D234" s="3" t="n"/>
      <c r="E234" s="3" t="inlineStr">
        <is>
          <t>Mading Besar</t>
        </is>
      </c>
      <c r="F234" s="3" t="inlineStr">
        <is>
          <t>Mading Besar</t>
        </is>
      </c>
      <c r="G234" s="3" t="n"/>
      <c r="H234" s="3" t="n"/>
      <c r="I234" s="3" t="n">
        <v>1</v>
      </c>
      <c r="J234" s="4" t="n"/>
      <c r="K234" s="3" t="n">
        <v>2018</v>
      </c>
      <c r="L234" s="5" t="n"/>
      <c r="M234" s="5" t="n">
        <v>1000000</v>
      </c>
      <c r="N234" s="3" t="n"/>
      <c r="O234" s="3" t="n">
        <v>4</v>
      </c>
      <c r="P234" s="5" t="n">
        <v>1000000</v>
      </c>
      <c r="Q234" s="5" t="n">
        <v>0</v>
      </c>
      <c r="R234" s="3" t="inlineStr"/>
      <c r="S234" s="3" t="inlineStr">
        <is>
          <t>Aktif</t>
        </is>
      </c>
      <c r="T234" s="3" t="n"/>
      <c r="U234" s="3" t="inlineStr">
        <is>
          <t>LIST ASSET YPIK 2025(1).xlsx | Inv. SDIA</t>
        </is>
      </c>
    </row>
    <row r="235">
      <c r="A235" s="3" t="n">
        <v>232</v>
      </c>
      <c r="B235" s="3" t="n"/>
      <c r="C235" s="3" t="inlineStr">
        <is>
          <t>SDIA 23 JATIKRAMAT</t>
        </is>
      </c>
      <c r="D235" s="3" t="n"/>
      <c r="E235" s="3" t="inlineStr">
        <is>
          <t>Loker Murid</t>
        </is>
      </c>
      <c r="F235" s="3" t="inlineStr">
        <is>
          <t>Loker Murid</t>
        </is>
      </c>
      <c r="G235" s="3" t="n"/>
      <c r="H235" s="3" t="n"/>
      <c r="I235" s="3" t="n">
        <v>1</v>
      </c>
      <c r="J235" s="4" t="n"/>
      <c r="K235" s="3" t="n">
        <v>2018</v>
      </c>
      <c r="L235" s="5" t="n"/>
      <c r="M235" s="5" t="n">
        <v>1250000</v>
      </c>
      <c r="N235" s="3" t="n"/>
      <c r="O235" s="3" t="n">
        <v>4</v>
      </c>
      <c r="P235" s="5" t="n">
        <v>1250000</v>
      </c>
      <c r="Q235" s="5" t="n">
        <v>0</v>
      </c>
      <c r="R235" s="3" t="inlineStr"/>
      <c r="S235" s="3" t="inlineStr">
        <is>
          <t>Aktif</t>
        </is>
      </c>
      <c r="T235" s="3" t="n"/>
      <c r="U235" s="3" t="inlineStr">
        <is>
          <t>LIST ASSET YPIK 2025(1).xlsx | Inv. SDIA</t>
        </is>
      </c>
    </row>
    <row r="236">
      <c r="A236" s="3" t="n">
        <v>233</v>
      </c>
      <c r="B236" s="3" t="n"/>
      <c r="C236" s="3" t="inlineStr">
        <is>
          <t>SDIA 23 JATIKRAMAT</t>
        </is>
      </c>
      <c r="D236" s="3" t="n"/>
      <c r="E236" s="3" t="inlineStr">
        <is>
          <t>Meja Guru</t>
        </is>
      </c>
      <c r="F236" s="3" t="inlineStr">
        <is>
          <t>Meja Guru</t>
        </is>
      </c>
      <c r="G236" s="3" t="n"/>
      <c r="H236" s="3" t="n"/>
      <c r="I236" s="3" t="n">
        <v>1</v>
      </c>
      <c r="J236" s="4" t="n"/>
      <c r="K236" s="3" t="n">
        <v>2018</v>
      </c>
      <c r="L236" s="5" t="n"/>
      <c r="M236" s="5" t="n">
        <v>400000</v>
      </c>
      <c r="N236" s="3" t="n"/>
      <c r="O236" s="3" t="n">
        <v>4</v>
      </c>
      <c r="P236" s="5" t="n">
        <v>400000</v>
      </c>
      <c r="Q236" s="5" t="n">
        <v>0</v>
      </c>
      <c r="R236" s="3" t="inlineStr"/>
      <c r="S236" s="3" t="inlineStr">
        <is>
          <t>Aktif</t>
        </is>
      </c>
      <c r="T236" s="3" t="n"/>
      <c r="U236" s="3" t="inlineStr">
        <is>
          <t>LIST ASSET YPIK 2025(1).xlsx | Inv. SDIA</t>
        </is>
      </c>
    </row>
    <row r="237">
      <c r="A237" s="3" t="n">
        <v>234</v>
      </c>
      <c r="B237" s="3" t="n"/>
      <c r="C237" s="3" t="inlineStr">
        <is>
          <t>SDIA 23 JATIKRAMAT</t>
        </is>
      </c>
      <c r="D237" s="3" t="n"/>
      <c r="E237" s="3" t="inlineStr">
        <is>
          <t>Kursi Guru</t>
        </is>
      </c>
      <c r="F237" s="3" t="inlineStr">
        <is>
          <t>Kursi Guru</t>
        </is>
      </c>
      <c r="G237" s="3" t="n"/>
      <c r="H237" s="3" t="n"/>
      <c r="I237" s="3" t="n">
        <v>1</v>
      </c>
      <c r="J237" s="4" t="n"/>
      <c r="K237" s="3" t="n">
        <v>2018</v>
      </c>
      <c r="L237" s="5" t="n"/>
      <c r="M237" s="5" t="n">
        <v>300000</v>
      </c>
      <c r="N237" s="3" t="n"/>
      <c r="O237" s="3" t="n">
        <v>4</v>
      </c>
      <c r="P237" s="5" t="n">
        <v>300000</v>
      </c>
      <c r="Q237" s="5" t="n">
        <v>0</v>
      </c>
      <c r="R237" s="3" t="inlineStr"/>
      <c r="S237" s="3" t="inlineStr">
        <is>
          <t>Aktif</t>
        </is>
      </c>
      <c r="T237" s="3" t="n"/>
      <c r="U237" s="3" t="inlineStr">
        <is>
          <t>LIST ASSET YPIK 2025(1).xlsx | Inv. SDIA</t>
        </is>
      </c>
    </row>
    <row r="238">
      <c r="A238" s="3" t="n">
        <v>235</v>
      </c>
      <c r="B238" s="3" t="n"/>
      <c r="C238" s="3" t="inlineStr">
        <is>
          <t>SDIA 23 JATIKRAMAT</t>
        </is>
      </c>
      <c r="D238" s="3" t="n"/>
      <c r="E238" s="3" t="inlineStr">
        <is>
          <t>Meja Murid 3 Abu</t>
        </is>
      </c>
      <c r="F238" s="3" t="inlineStr">
        <is>
          <t>Meja Murid 3 Abu</t>
        </is>
      </c>
      <c r="G238" s="3" t="n"/>
      <c r="H238" s="3" t="n"/>
      <c r="I238" s="3" t="n">
        <v>30</v>
      </c>
      <c r="J238" s="4" t="n"/>
      <c r="K238" s="3" t="n">
        <v>2018</v>
      </c>
      <c r="L238" s="5" t="n"/>
      <c r="M238" s="5" t="n">
        <v>7500000</v>
      </c>
      <c r="N238" s="3" t="n"/>
      <c r="O238" s="3" t="n">
        <v>4</v>
      </c>
      <c r="P238" s="5" t="n">
        <v>7500000</v>
      </c>
      <c r="Q238" s="5" t="n">
        <v>0</v>
      </c>
      <c r="R238" s="3" t="inlineStr"/>
      <c r="S238" s="3" t="inlineStr">
        <is>
          <t>Aktif</t>
        </is>
      </c>
      <c r="T238" s="3" t="n"/>
      <c r="U238" s="3" t="inlineStr">
        <is>
          <t>LIST ASSET YPIK 2025(1).xlsx | Inv. SDIA</t>
        </is>
      </c>
    </row>
    <row r="239">
      <c r="A239" s="3" t="n">
        <v>236</v>
      </c>
      <c r="B239" s="3" t="n"/>
      <c r="C239" s="3" t="inlineStr">
        <is>
          <t>SDIA 23 JATIKRAMAT</t>
        </is>
      </c>
      <c r="D239" s="3" t="n"/>
      <c r="E239" s="3" t="inlineStr">
        <is>
          <t>Kursi Murid 3 Abu</t>
        </is>
      </c>
      <c r="F239" s="3" t="inlineStr">
        <is>
          <t>Kursi Murid 3 Abu</t>
        </is>
      </c>
      <c r="G239" s="3" t="n"/>
      <c r="H239" s="3" t="n"/>
      <c r="I239" s="3" t="n">
        <v>30</v>
      </c>
      <c r="J239" s="4" t="n"/>
      <c r="K239" s="3" t="n">
        <v>2018</v>
      </c>
      <c r="L239" s="5" t="n"/>
      <c r="M239" s="5" t="n">
        <v>4500000</v>
      </c>
      <c r="N239" s="3" t="n"/>
      <c r="O239" s="3" t="n">
        <v>4</v>
      </c>
      <c r="P239" s="5" t="n">
        <v>4500000</v>
      </c>
      <c r="Q239" s="5" t="n">
        <v>0</v>
      </c>
      <c r="R239" s="3" t="inlineStr"/>
      <c r="S239" s="3" t="inlineStr">
        <is>
          <t>Aktif</t>
        </is>
      </c>
      <c r="T239" s="3" t="n"/>
      <c r="U239" s="3" t="inlineStr">
        <is>
          <t>LIST ASSET YPIK 2025(1).xlsx | Inv. SDIA</t>
        </is>
      </c>
    </row>
    <row r="240">
      <c r="A240" s="3" t="n">
        <v>237</v>
      </c>
      <c r="B240" s="3" t="n"/>
      <c r="C240" s="3" t="inlineStr">
        <is>
          <t>SDIA 23 JATIKRAMAT</t>
        </is>
      </c>
      <c r="D240" s="3" t="n"/>
      <c r="E240" s="3" t="inlineStr">
        <is>
          <t>Whiteboard</t>
        </is>
      </c>
      <c r="F240" s="3" t="inlineStr">
        <is>
          <t>Whiteboard</t>
        </is>
      </c>
      <c r="G240" s="3" t="n"/>
      <c r="H240" s="3" t="n"/>
      <c r="I240" s="3" t="n">
        <v>1</v>
      </c>
      <c r="J240" s="4" t="n"/>
      <c r="K240" s="3" t="n">
        <v>2018</v>
      </c>
      <c r="L240" s="5" t="n"/>
      <c r="M240" s="5" t="n">
        <v>600000</v>
      </c>
      <c r="N240" s="3" t="n"/>
      <c r="O240" s="3" t="n">
        <v>4</v>
      </c>
      <c r="P240" s="5" t="n">
        <v>600000</v>
      </c>
      <c r="Q240" s="5" t="n">
        <v>0</v>
      </c>
      <c r="R240" s="3" t="inlineStr"/>
      <c r="S240" s="3" t="inlineStr">
        <is>
          <t>Aktif</t>
        </is>
      </c>
      <c r="T240" s="3" t="n"/>
      <c r="U240" s="3" t="inlineStr">
        <is>
          <t>LIST ASSET YPIK 2025(1).xlsx | Inv. SDIA</t>
        </is>
      </c>
    </row>
    <row r="241">
      <c r="A241" s="3" t="n">
        <v>238</v>
      </c>
      <c r="B241" s="3" t="n"/>
      <c r="C241" s="3" t="inlineStr">
        <is>
          <t>SDIA 23 JATIKRAMAT</t>
        </is>
      </c>
      <c r="D241" s="3" t="n"/>
      <c r="E241" s="3" t="inlineStr">
        <is>
          <t>Lemari Kelas</t>
        </is>
      </c>
      <c r="F241" s="3" t="inlineStr">
        <is>
          <t>Lemari Kelas</t>
        </is>
      </c>
      <c r="G241" s="3" t="n"/>
      <c r="H241" s="3" t="n"/>
      <c r="I241" s="3" t="n">
        <v>1</v>
      </c>
      <c r="J241" s="4" t="n"/>
      <c r="K241" s="3" t="n">
        <v>2018</v>
      </c>
      <c r="L241" s="5" t="n"/>
      <c r="M241" s="5" t="n">
        <v>800000</v>
      </c>
      <c r="N241" s="3" t="n"/>
      <c r="O241" s="3" t="n">
        <v>4</v>
      </c>
      <c r="P241" s="5" t="n">
        <v>800000</v>
      </c>
      <c r="Q241" s="5" t="n">
        <v>0</v>
      </c>
      <c r="R241" s="3" t="inlineStr"/>
      <c r="S241" s="3" t="inlineStr">
        <is>
          <t>Aktif</t>
        </is>
      </c>
      <c r="T241" s="3" t="n"/>
      <c r="U241" s="3" t="inlineStr">
        <is>
          <t>LIST ASSET YPIK 2025(1).xlsx | Inv. SDIA</t>
        </is>
      </c>
    </row>
    <row r="242">
      <c r="A242" s="3" t="n">
        <v>239</v>
      </c>
      <c r="B242" s="3" t="n"/>
      <c r="C242" s="3" t="inlineStr">
        <is>
          <t>SDIA 23 JATIKRAMAT</t>
        </is>
      </c>
      <c r="D242" s="3" t="n"/>
      <c r="E242" s="3" t="inlineStr">
        <is>
          <t>Mading Besar</t>
        </is>
      </c>
      <c r="F242" s="3" t="inlineStr">
        <is>
          <t>Mading Besar</t>
        </is>
      </c>
      <c r="G242" s="3" t="n"/>
      <c r="H242" s="3" t="n"/>
      <c r="I242" s="3" t="n">
        <v>1</v>
      </c>
      <c r="J242" s="4" t="n"/>
      <c r="K242" s="3" t="n">
        <v>2018</v>
      </c>
      <c r="L242" s="5" t="n"/>
      <c r="M242" s="5" t="n">
        <v>1000000</v>
      </c>
      <c r="N242" s="3" t="n"/>
      <c r="O242" s="3" t="n">
        <v>4</v>
      </c>
      <c r="P242" s="5" t="n">
        <v>1000000</v>
      </c>
      <c r="Q242" s="5" t="n">
        <v>0</v>
      </c>
      <c r="R242" s="3" t="inlineStr"/>
      <c r="S242" s="3" t="inlineStr">
        <is>
          <t>Aktif</t>
        </is>
      </c>
      <c r="T242" s="3" t="n"/>
      <c r="U242" s="3" t="inlineStr">
        <is>
          <t>LIST ASSET YPIK 2025(1).xlsx | Inv. SDIA</t>
        </is>
      </c>
    </row>
    <row r="243">
      <c r="A243" s="3" t="n">
        <v>240</v>
      </c>
      <c r="B243" s="3" t="n"/>
      <c r="C243" s="3" t="inlineStr">
        <is>
          <t>SDIA 23 JATIKRAMAT</t>
        </is>
      </c>
      <c r="D243" s="3" t="n"/>
      <c r="E243" s="3" t="inlineStr">
        <is>
          <t>Loker Murid</t>
        </is>
      </c>
      <c r="F243" s="3" t="inlineStr">
        <is>
          <t>Loker Murid</t>
        </is>
      </c>
      <c r="G243" s="3" t="n"/>
      <c r="H243" s="3" t="n"/>
      <c r="I243" s="3" t="n">
        <v>1</v>
      </c>
      <c r="J243" s="4" t="n"/>
      <c r="K243" s="3" t="n">
        <v>2018</v>
      </c>
      <c r="L243" s="5" t="n"/>
      <c r="M243" s="5" t="n">
        <v>1250000</v>
      </c>
      <c r="N243" s="3" t="n"/>
      <c r="O243" s="3" t="n">
        <v>4</v>
      </c>
      <c r="P243" s="5" t="n">
        <v>1250000</v>
      </c>
      <c r="Q243" s="5" t="n">
        <v>0</v>
      </c>
      <c r="R243" s="3" t="inlineStr"/>
      <c r="S243" s="3" t="inlineStr">
        <is>
          <t>Aktif</t>
        </is>
      </c>
      <c r="T243" s="3" t="n"/>
      <c r="U243" s="3" t="inlineStr">
        <is>
          <t>LIST ASSET YPIK 2025(1).xlsx | Inv. SDIA</t>
        </is>
      </c>
    </row>
    <row r="244">
      <c r="A244" s="3" t="n">
        <v>241</v>
      </c>
      <c r="B244" s="3" t="n"/>
      <c r="C244" s="3" t="inlineStr">
        <is>
          <t>SDIA 23 JATIKRAMAT</t>
        </is>
      </c>
      <c r="D244" s="3" t="n"/>
      <c r="E244" s="3" t="inlineStr">
        <is>
          <t>Lemari APP</t>
        </is>
      </c>
      <c r="F244" s="3" t="inlineStr">
        <is>
          <t>Lemari APP</t>
        </is>
      </c>
      <c r="G244" s="3" t="n"/>
      <c r="H244" s="3" t="n"/>
      <c r="I244" s="3" t="n">
        <v>2</v>
      </c>
      <c r="J244" s="4" t="n"/>
      <c r="K244" s="3" t="n">
        <v>2018</v>
      </c>
      <c r="L244" s="5" t="n"/>
      <c r="M244" s="5" t="n">
        <v>1500000</v>
      </c>
      <c r="N244" s="3" t="n"/>
      <c r="O244" s="3" t="n">
        <v>4</v>
      </c>
      <c r="P244" s="5" t="n">
        <v>1500000</v>
      </c>
      <c r="Q244" s="5" t="n">
        <v>0</v>
      </c>
      <c r="R244" s="3" t="inlineStr"/>
      <c r="S244" s="3" t="inlineStr">
        <is>
          <t>Aktif</t>
        </is>
      </c>
      <c r="T244" s="3" t="n"/>
      <c r="U244" s="3" t="inlineStr">
        <is>
          <t>LIST ASSET YPIK 2025(1).xlsx | Inv. SDIA</t>
        </is>
      </c>
    </row>
    <row r="245">
      <c r="A245" s="3" t="n">
        <v>242</v>
      </c>
      <c r="B245" s="3" t="n"/>
      <c r="C245" s="3" t="inlineStr">
        <is>
          <t>SDIA 23 JATIKRAMAT</t>
        </is>
      </c>
      <c r="D245" s="3" t="n"/>
      <c r="E245" s="3" t="inlineStr">
        <is>
          <t>Lemari Besi</t>
        </is>
      </c>
      <c r="F245" s="3" t="inlineStr">
        <is>
          <t>Lemari Besi</t>
        </is>
      </c>
      <c r="G245" s="3" t="n"/>
      <c r="H245" s="3" t="n"/>
      <c r="I245" s="3" t="n">
        <v>1</v>
      </c>
      <c r="J245" s="4" t="n"/>
      <c r="K245" s="3" t="n">
        <v>2018</v>
      </c>
      <c r="L245" s="5" t="n"/>
      <c r="M245" s="5" t="n">
        <v>1500000</v>
      </c>
      <c r="N245" s="3" t="n"/>
      <c r="O245" s="3" t="n">
        <v>4</v>
      </c>
      <c r="P245" s="5" t="n">
        <v>1500000</v>
      </c>
      <c r="Q245" s="5" t="n">
        <v>0</v>
      </c>
      <c r="R245" s="3" t="inlineStr"/>
      <c r="S245" s="3" t="inlineStr">
        <is>
          <t>Aktif</t>
        </is>
      </c>
      <c r="T245" s="3" t="n"/>
      <c r="U245" s="3" t="inlineStr">
        <is>
          <t>LIST ASSET YPIK 2025(1).xlsx | Inv. SDIA</t>
        </is>
      </c>
    </row>
    <row r="246">
      <c r="A246" s="3" t="n">
        <v>243</v>
      </c>
      <c r="B246" s="3" t="n"/>
      <c r="C246" s="3" t="inlineStr">
        <is>
          <t>SDIA 23 JATIKRAMAT</t>
        </is>
      </c>
      <c r="D246" s="3" t="n"/>
      <c r="E246" s="3" t="inlineStr">
        <is>
          <t>Meja Murid 3 Umar</t>
        </is>
      </c>
      <c r="F246" s="3" t="inlineStr">
        <is>
          <t>Meja Murid 3 Umar</t>
        </is>
      </c>
      <c r="G246" s="3" t="n"/>
      <c r="H246" s="3" t="n"/>
      <c r="I246" s="3" t="n">
        <v>30</v>
      </c>
      <c r="J246" s="4" t="n"/>
      <c r="K246" s="3" t="n">
        <v>2018</v>
      </c>
      <c r="L246" s="5" t="n"/>
      <c r="M246" s="5" t="n">
        <v>7500000</v>
      </c>
      <c r="N246" s="3" t="n"/>
      <c r="O246" s="3" t="n">
        <v>4</v>
      </c>
      <c r="P246" s="5" t="n">
        <v>7500000</v>
      </c>
      <c r="Q246" s="5" t="n">
        <v>0</v>
      </c>
      <c r="R246" s="3" t="inlineStr"/>
      <c r="S246" s="3" t="inlineStr">
        <is>
          <t>Aktif</t>
        </is>
      </c>
      <c r="T246" s="3" t="n"/>
      <c r="U246" s="3" t="inlineStr">
        <is>
          <t>LIST ASSET YPIK 2025(1).xlsx | Inv. SDIA</t>
        </is>
      </c>
    </row>
    <row r="247">
      <c r="A247" s="3" t="n">
        <v>244</v>
      </c>
      <c r="B247" s="3" t="n"/>
      <c r="C247" s="3" t="inlineStr">
        <is>
          <t>SDIA 23 JATIKRAMAT</t>
        </is>
      </c>
      <c r="D247" s="3" t="n"/>
      <c r="E247" s="3" t="inlineStr">
        <is>
          <t>Kursi Murid 3 Umar</t>
        </is>
      </c>
      <c r="F247" s="3" t="inlineStr">
        <is>
          <t>Kursi Murid 3 Umar</t>
        </is>
      </c>
      <c r="G247" s="3" t="n"/>
      <c r="H247" s="3" t="n"/>
      <c r="I247" s="3" t="n">
        <v>30</v>
      </c>
      <c r="J247" s="4" t="n"/>
      <c r="K247" s="3" t="n">
        <v>2018</v>
      </c>
      <c r="L247" s="5" t="n"/>
      <c r="M247" s="5" t="n">
        <v>4500000</v>
      </c>
      <c r="N247" s="3" t="n"/>
      <c r="O247" s="3" t="n">
        <v>4</v>
      </c>
      <c r="P247" s="5" t="n">
        <v>4500000</v>
      </c>
      <c r="Q247" s="5" t="n">
        <v>0</v>
      </c>
      <c r="R247" s="3" t="inlineStr"/>
      <c r="S247" s="3" t="inlineStr">
        <is>
          <t>Aktif</t>
        </is>
      </c>
      <c r="T247" s="3" t="n"/>
      <c r="U247" s="3" t="inlineStr">
        <is>
          <t>LIST ASSET YPIK 2025(1).xlsx | Inv. SDIA</t>
        </is>
      </c>
    </row>
    <row r="248">
      <c r="A248" s="3" t="n">
        <v>245</v>
      </c>
      <c r="B248" s="3" t="n"/>
      <c r="C248" s="3" t="inlineStr">
        <is>
          <t>SDIA 23 JATIKRAMAT</t>
        </is>
      </c>
      <c r="D248" s="3" t="n"/>
      <c r="E248" s="3" t="inlineStr">
        <is>
          <t>Mading Besar</t>
        </is>
      </c>
      <c r="F248" s="3" t="inlineStr">
        <is>
          <t>Mading Besar</t>
        </is>
      </c>
      <c r="G248" s="3" t="n"/>
      <c r="H248" s="3" t="n"/>
      <c r="I248" s="3" t="n">
        <v>2</v>
      </c>
      <c r="J248" s="4" t="n"/>
      <c r="K248" s="3" t="n">
        <v>2018</v>
      </c>
      <c r="L248" s="5" t="n"/>
      <c r="M248" s="5" t="n">
        <v>2000000</v>
      </c>
      <c r="N248" s="3" t="n"/>
      <c r="O248" s="3" t="n">
        <v>4</v>
      </c>
      <c r="P248" s="5" t="n">
        <v>2000000</v>
      </c>
      <c r="Q248" s="5" t="n">
        <v>0</v>
      </c>
      <c r="R248" s="3" t="inlineStr"/>
      <c r="S248" s="3" t="inlineStr">
        <is>
          <t>Aktif</t>
        </is>
      </c>
      <c r="T248" s="3" t="n"/>
      <c r="U248" s="3" t="inlineStr">
        <is>
          <t>LIST ASSET YPIK 2025(1).xlsx | Inv. SDIA</t>
        </is>
      </c>
    </row>
    <row r="249">
      <c r="A249" s="3" t="n">
        <v>246</v>
      </c>
      <c r="B249" s="3" t="n"/>
      <c r="C249" s="3" t="inlineStr">
        <is>
          <t>SDIA 23 JATIKRAMAT</t>
        </is>
      </c>
      <c r="D249" s="3" t="n"/>
      <c r="E249" s="3" t="inlineStr">
        <is>
          <t>Papan Whiteboard</t>
        </is>
      </c>
      <c r="F249" s="3" t="inlineStr">
        <is>
          <t>Papan Whiteboard</t>
        </is>
      </c>
      <c r="G249" s="3" t="n"/>
      <c r="H249" s="3" t="n"/>
      <c r="I249" s="3" t="n">
        <v>2</v>
      </c>
      <c r="J249" s="4" t="n"/>
      <c r="K249" s="3" t="n">
        <v>2018</v>
      </c>
      <c r="L249" s="5" t="n"/>
      <c r="M249" s="5" t="n">
        <v>1200000</v>
      </c>
      <c r="N249" s="3" t="n"/>
      <c r="O249" s="3" t="n">
        <v>4</v>
      </c>
      <c r="P249" s="5" t="n">
        <v>1200000</v>
      </c>
      <c r="Q249" s="5" t="n">
        <v>0</v>
      </c>
      <c r="R249" s="3" t="inlineStr"/>
      <c r="S249" s="3" t="inlineStr">
        <is>
          <t>Aktif</t>
        </is>
      </c>
      <c r="T249" s="3" t="n"/>
      <c r="U249" s="3" t="inlineStr">
        <is>
          <t>LIST ASSET YPIK 2025(1).xlsx | Inv. SDIA</t>
        </is>
      </c>
    </row>
    <row r="250">
      <c r="A250" s="3" t="n">
        <v>247</v>
      </c>
      <c r="B250" s="3" t="n"/>
      <c r="C250" s="3" t="inlineStr">
        <is>
          <t>SDIA 23 JATIKRAMAT</t>
        </is>
      </c>
      <c r="D250" s="3" t="n"/>
      <c r="E250" s="3" t="inlineStr">
        <is>
          <t>Mikroskop</t>
        </is>
      </c>
      <c r="F250" s="3" t="inlineStr">
        <is>
          <t>Mikroskop</t>
        </is>
      </c>
      <c r="G250" s="3" t="n"/>
      <c r="H250" s="3" t="n"/>
      <c r="I250" s="3" t="n">
        <v>1</v>
      </c>
      <c r="J250" s="4" t="n"/>
      <c r="K250" s="3" t="n">
        <v>2018</v>
      </c>
      <c r="L250" s="5" t="n"/>
      <c r="M250" s="5" t="n">
        <v>5000000</v>
      </c>
      <c r="N250" s="3" t="n"/>
      <c r="O250" s="3" t="n">
        <v>4</v>
      </c>
      <c r="P250" s="5" t="n">
        <v>5000000</v>
      </c>
      <c r="Q250" s="5" t="n">
        <v>0</v>
      </c>
      <c r="R250" s="3" t="inlineStr"/>
      <c r="S250" s="3" t="inlineStr">
        <is>
          <t>Aktif</t>
        </is>
      </c>
      <c r="T250" s="3" t="n"/>
      <c r="U250" s="3" t="inlineStr">
        <is>
          <t>LIST ASSET YPIK 2025(1).xlsx | Inv. SDIA</t>
        </is>
      </c>
    </row>
    <row r="251">
      <c r="A251" s="3" t="n">
        <v>248</v>
      </c>
      <c r="B251" s="3" t="n"/>
      <c r="C251" s="3" t="inlineStr">
        <is>
          <t>SDIA 23 JATIKRAMAT</t>
        </is>
      </c>
      <c r="D251" s="3" t="n"/>
      <c r="E251" s="3" t="inlineStr">
        <is>
          <t>Mikroskop</t>
        </is>
      </c>
      <c r="F251" s="3" t="inlineStr">
        <is>
          <t>Mikroskop</t>
        </is>
      </c>
      <c r="G251" s="3" t="n"/>
      <c r="H251" s="3" t="n"/>
      <c r="I251" s="3" t="n">
        <v>1</v>
      </c>
      <c r="J251" s="4" t="n"/>
      <c r="K251" s="3" t="n">
        <v>2018</v>
      </c>
      <c r="L251" s="5" t="n"/>
      <c r="M251" s="5" t="n">
        <v>5000000</v>
      </c>
      <c r="N251" s="3" t="n"/>
      <c r="O251" s="3" t="n">
        <v>4</v>
      </c>
      <c r="P251" s="5" t="n">
        <v>5000000</v>
      </c>
      <c r="Q251" s="5" t="n">
        <v>0</v>
      </c>
      <c r="R251" s="3" t="inlineStr"/>
      <c r="S251" s="3" t="inlineStr">
        <is>
          <t>Aktif</t>
        </is>
      </c>
      <c r="T251" s="3" t="n"/>
      <c r="U251" s="3" t="inlineStr">
        <is>
          <t>LIST ASSET YPIK 2025(1).xlsx | Inv. SDIA</t>
        </is>
      </c>
    </row>
    <row r="252">
      <c r="A252" s="3" t="n">
        <v>249</v>
      </c>
      <c r="B252" s="3" t="n"/>
      <c r="C252" s="3" t="inlineStr">
        <is>
          <t>SDIA 23 JATIKRAMAT</t>
        </is>
      </c>
      <c r="D252" s="3" t="n"/>
      <c r="E252" s="3" t="inlineStr">
        <is>
          <t>Timbangan Besi - di Pasar</t>
        </is>
      </c>
      <c r="F252" s="3" t="inlineStr">
        <is>
          <t>Timbangan Besi - di Pasar</t>
        </is>
      </c>
      <c r="G252" s="3" t="n"/>
      <c r="H252" s="3" t="n"/>
      <c r="I252" s="3" t="n">
        <v>1</v>
      </c>
      <c r="J252" s="4" t="n"/>
      <c r="K252" s="3" t="n">
        <v>2018</v>
      </c>
      <c r="L252" s="5" t="n"/>
      <c r="M252" s="5" t="n">
        <v>1250000</v>
      </c>
      <c r="N252" s="3" t="n"/>
      <c r="O252" s="3" t="n">
        <v>4</v>
      </c>
      <c r="P252" s="5" t="n">
        <v>1250000</v>
      </c>
      <c r="Q252" s="5" t="n">
        <v>0</v>
      </c>
      <c r="R252" s="3" t="inlineStr"/>
      <c r="S252" s="3" t="inlineStr">
        <is>
          <t>Aktif</t>
        </is>
      </c>
      <c r="T252" s="3" t="n"/>
      <c r="U252" s="3" t="inlineStr">
        <is>
          <t>LIST ASSET YPIK 2025(1).xlsx | Inv. SDIA</t>
        </is>
      </c>
    </row>
    <row r="253">
      <c r="A253" s="3" t="n">
        <v>250</v>
      </c>
      <c r="B253" s="3" t="n"/>
      <c r="C253" s="3" t="inlineStr">
        <is>
          <t>SDIA 23 JATIKRAMAT</t>
        </is>
      </c>
      <c r="D253" s="3" t="n"/>
      <c r="E253" s="3" t="inlineStr">
        <is>
          <t>Meja Guru</t>
        </is>
      </c>
      <c r="F253" s="3" t="inlineStr">
        <is>
          <t>Meja Guru</t>
        </is>
      </c>
      <c r="G253" s="3" t="n"/>
      <c r="H253" s="3" t="n"/>
      <c r="I253" s="3" t="n">
        <v>1</v>
      </c>
      <c r="J253" s="4" t="n"/>
      <c r="K253" s="3" t="n">
        <v>2018</v>
      </c>
      <c r="L253" s="5" t="n"/>
      <c r="M253" s="5" t="n">
        <v>400000</v>
      </c>
      <c r="N253" s="3" t="n"/>
      <c r="O253" s="3" t="n">
        <v>4</v>
      </c>
      <c r="P253" s="5" t="n">
        <v>400000</v>
      </c>
      <c r="Q253" s="5" t="n">
        <v>0</v>
      </c>
      <c r="R253" s="3" t="inlineStr"/>
      <c r="S253" s="3" t="inlineStr">
        <is>
          <t>Aktif</t>
        </is>
      </c>
      <c r="T253" s="3" t="n"/>
      <c r="U253" s="3" t="inlineStr">
        <is>
          <t>LIST ASSET YPIK 2025(1).xlsx | Inv. SDIA</t>
        </is>
      </c>
    </row>
    <row r="254">
      <c r="A254" s="3" t="n">
        <v>251</v>
      </c>
      <c r="B254" s="3" t="n"/>
      <c r="C254" s="3" t="inlineStr">
        <is>
          <t>SDIA 23 JATIKRAMAT</t>
        </is>
      </c>
      <c r="D254" s="3" t="n"/>
      <c r="E254" s="3" t="inlineStr">
        <is>
          <t>Kursi Guru</t>
        </is>
      </c>
      <c r="F254" s="3" t="inlineStr">
        <is>
          <t>Kursi Guru</t>
        </is>
      </c>
      <c r="G254" s="3" t="n"/>
      <c r="H254" s="3" t="n"/>
      <c r="I254" s="3" t="n">
        <v>1</v>
      </c>
      <c r="J254" s="4" t="n"/>
      <c r="K254" s="3" t="n">
        <v>2018</v>
      </c>
      <c r="L254" s="5" t="n"/>
      <c r="M254" s="5" t="n">
        <v>300000</v>
      </c>
      <c r="N254" s="3" t="n"/>
      <c r="O254" s="3" t="n">
        <v>4</v>
      </c>
      <c r="P254" s="5" t="n">
        <v>300000</v>
      </c>
      <c r="Q254" s="5" t="n">
        <v>0</v>
      </c>
      <c r="R254" s="3" t="inlineStr"/>
      <c r="S254" s="3" t="inlineStr">
        <is>
          <t>Aktif</t>
        </is>
      </c>
      <c r="T254" s="3" t="n"/>
      <c r="U254" s="3" t="inlineStr">
        <is>
          <t>LIST ASSET YPIK 2025(1).xlsx | Inv. SDIA</t>
        </is>
      </c>
    </row>
    <row r="255">
      <c r="A255" s="3" t="n">
        <v>252</v>
      </c>
      <c r="B255" s="3" t="n"/>
      <c r="C255" s="3" t="inlineStr">
        <is>
          <t>SDIA 23 JATIKRAMAT</t>
        </is>
      </c>
      <c r="D255" s="3" t="n"/>
      <c r="E255" s="3" t="inlineStr">
        <is>
          <t>Meja Murid 2 Abu</t>
        </is>
      </c>
      <c r="F255" s="3" t="inlineStr">
        <is>
          <t>Meja Murid 2 Abu</t>
        </is>
      </c>
      <c r="G255" s="3" t="n"/>
      <c r="H255" s="3" t="n"/>
      <c r="I255" s="3" t="n">
        <v>30</v>
      </c>
      <c r="J255" s="4" t="n"/>
      <c r="K255" s="3" t="n">
        <v>2018</v>
      </c>
      <c r="L255" s="5" t="n"/>
      <c r="M255" s="5" t="n">
        <v>7500000</v>
      </c>
      <c r="N255" s="3" t="n"/>
      <c r="O255" s="3" t="n">
        <v>4</v>
      </c>
      <c r="P255" s="5" t="n">
        <v>7500000</v>
      </c>
      <c r="Q255" s="5" t="n">
        <v>0</v>
      </c>
      <c r="R255" s="3" t="inlineStr"/>
      <c r="S255" s="3" t="inlineStr">
        <is>
          <t>Aktif</t>
        </is>
      </c>
      <c r="T255" s="3" t="n"/>
      <c r="U255" s="3" t="inlineStr">
        <is>
          <t>LIST ASSET YPIK 2025(1).xlsx | Inv. SDIA</t>
        </is>
      </c>
    </row>
    <row r="256">
      <c r="A256" s="3" t="n">
        <v>253</v>
      </c>
      <c r="B256" s="3" t="n"/>
      <c r="C256" s="3" t="inlineStr">
        <is>
          <t>SDIA 23 JATIKRAMAT</t>
        </is>
      </c>
      <c r="D256" s="3" t="n"/>
      <c r="E256" s="3" t="inlineStr">
        <is>
          <t>Kursi Murid 2 Abu</t>
        </is>
      </c>
      <c r="F256" s="3" t="inlineStr">
        <is>
          <t>Kursi Murid 2 Abu</t>
        </is>
      </c>
      <c r="G256" s="3" t="n"/>
      <c r="H256" s="3" t="n"/>
      <c r="I256" s="3" t="n">
        <v>30</v>
      </c>
      <c r="J256" s="4" t="n"/>
      <c r="K256" s="3" t="n">
        <v>2018</v>
      </c>
      <c r="L256" s="5" t="n"/>
      <c r="M256" s="5" t="n">
        <v>4500000</v>
      </c>
      <c r="N256" s="3" t="n"/>
      <c r="O256" s="3" t="n">
        <v>4</v>
      </c>
      <c r="P256" s="5" t="n">
        <v>4500000</v>
      </c>
      <c r="Q256" s="5" t="n">
        <v>0</v>
      </c>
      <c r="R256" s="3" t="inlineStr"/>
      <c r="S256" s="3" t="inlineStr">
        <is>
          <t>Aktif</t>
        </is>
      </c>
      <c r="T256" s="3" t="n"/>
      <c r="U256" s="3" t="inlineStr">
        <is>
          <t>LIST ASSET YPIK 2025(1).xlsx | Inv. SDIA</t>
        </is>
      </c>
    </row>
    <row r="257">
      <c r="A257" s="3" t="n">
        <v>254</v>
      </c>
      <c r="B257" s="3" t="n"/>
      <c r="C257" s="3" t="inlineStr">
        <is>
          <t>SDIA 23 JATIKRAMAT</t>
        </is>
      </c>
      <c r="D257" s="3" t="n"/>
      <c r="E257" s="3" t="inlineStr">
        <is>
          <t>Lemari Kelas</t>
        </is>
      </c>
      <c r="F257" s="3" t="inlineStr">
        <is>
          <t>Lemari Kelas</t>
        </is>
      </c>
      <c r="G257" s="3" t="n"/>
      <c r="H257" s="3" t="n"/>
      <c r="I257" s="3" t="n">
        <v>1</v>
      </c>
      <c r="J257" s="4" t="n"/>
      <c r="K257" s="3" t="n">
        <v>2018</v>
      </c>
      <c r="L257" s="5" t="n"/>
      <c r="M257" s="5" t="n">
        <v>800000</v>
      </c>
      <c r="N257" s="3" t="n"/>
      <c r="O257" s="3" t="n">
        <v>4</v>
      </c>
      <c r="P257" s="5" t="n">
        <v>800000</v>
      </c>
      <c r="Q257" s="5" t="n">
        <v>0</v>
      </c>
      <c r="R257" s="3" t="inlineStr"/>
      <c r="S257" s="3" t="inlineStr">
        <is>
          <t>Aktif</t>
        </is>
      </c>
      <c r="T257" s="3" t="n"/>
      <c r="U257" s="3" t="inlineStr">
        <is>
          <t>LIST ASSET YPIK 2025(1).xlsx | Inv. SDIA</t>
        </is>
      </c>
    </row>
    <row r="258">
      <c r="A258" s="3" t="n">
        <v>255</v>
      </c>
      <c r="B258" s="3" t="n"/>
      <c r="C258" s="3" t="inlineStr">
        <is>
          <t>SDIA 23 JATIKRAMAT</t>
        </is>
      </c>
      <c r="D258" s="3" t="n"/>
      <c r="E258" s="3" t="inlineStr">
        <is>
          <t>Loker Murid</t>
        </is>
      </c>
      <c r="F258" s="3" t="inlineStr">
        <is>
          <t>Loker Murid</t>
        </is>
      </c>
      <c r="G258" s="3" t="n"/>
      <c r="H258" s="3" t="n"/>
      <c r="I258" s="3" t="n">
        <v>1</v>
      </c>
      <c r="J258" s="4" t="n"/>
      <c r="K258" s="3" t="n">
        <v>2018</v>
      </c>
      <c r="L258" s="5" t="n"/>
      <c r="M258" s="5" t="n">
        <v>1260000</v>
      </c>
      <c r="N258" s="3" t="n"/>
      <c r="O258" s="3" t="n">
        <v>4</v>
      </c>
      <c r="P258" s="5" t="n">
        <v>1260000</v>
      </c>
      <c r="Q258" s="5" t="n">
        <v>0</v>
      </c>
      <c r="R258" s="3" t="inlineStr"/>
      <c r="S258" s="3" t="inlineStr">
        <is>
          <t>Aktif</t>
        </is>
      </c>
      <c r="T258" s="3" t="n"/>
      <c r="U258" s="3" t="inlineStr">
        <is>
          <t>LIST ASSET YPIK 2025(1).xlsx | Inv. SDIA</t>
        </is>
      </c>
    </row>
    <row r="259">
      <c r="A259" s="3" t="n">
        <v>256</v>
      </c>
      <c r="B259" s="3" t="n"/>
      <c r="C259" s="3" t="inlineStr">
        <is>
          <t>SDIA 23 JATIKRAMAT</t>
        </is>
      </c>
      <c r="D259" s="3" t="n"/>
      <c r="E259" s="3" t="inlineStr">
        <is>
          <t>Loker Murid</t>
        </is>
      </c>
      <c r="F259" s="3" t="inlineStr">
        <is>
          <t>Loker Murid</t>
        </is>
      </c>
      <c r="G259" s="3" t="n"/>
      <c r="H259" s="3" t="n"/>
      <c r="I259" s="3" t="n">
        <v>2</v>
      </c>
      <c r="J259" s="4" t="n"/>
      <c r="K259" s="3" t="n">
        <v>2018</v>
      </c>
      <c r="L259" s="5" t="n"/>
      <c r="M259" s="5" t="n">
        <v>2500000</v>
      </c>
      <c r="N259" s="3" t="n"/>
      <c r="O259" s="3" t="n">
        <v>4</v>
      </c>
      <c r="P259" s="5" t="n">
        <v>2500000</v>
      </c>
      <c r="Q259" s="5" t="n">
        <v>0</v>
      </c>
      <c r="R259" s="3" t="inlineStr"/>
      <c r="S259" s="3" t="inlineStr">
        <is>
          <t>Aktif</t>
        </is>
      </c>
      <c r="T259" s="3" t="n"/>
      <c r="U259" s="3" t="inlineStr">
        <is>
          <t>LIST ASSET YPIK 2025(1).xlsx | Inv. SDIA</t>
        </is>
      </c>
    </row>
    <row r="260">
      <c r="A260" s="3" t="n">
        <v>257</v>
      </c>
      <c r="B260" s="3" t="n"/>
      <c r="C260" s="3" t="inlineStr">
        <is>
          <t>SDIA 23 JATIKRAMAT</t>
        </is>
      </c>
      <c r="D260" s="3" t="n"/>
      <c r="E260" s="3" t="inlineStr">
        <is>
          <t>Mading Besar</t>
        </is>
      </c>
      <c r="F260" s="3" t="inlineStr">
        <is>
          <t>Mading Besar</t>
        </is>
      </c>
      <c r="G260" s="3" t="n"/>
      <c r="H260" s="3" t="n"/>
      <c r="I260" s="3" t="n">
        <v>1</v>
      </c>
      <c r="J260" s="4" t="n"/>
      <c r="K260" s="3" t="n">
        <v>2018</v>
      </c>
      <c r="L260" s="5" t="n"/>
      <c r="M260" s="5" t="n">
        <v>1000000</v>
      </c>
      <c r="N260" s="3" t="n"/>
      <c r="O260" s="3" t="n">
        <v>4</v>
      </c>
      <c r="P260" s="5" t="n">
        <v>1000000</v>
      </c>
      <c r="Q260" s="5" t="n">
        <v>0</v>
      </c>
      <c r="R260" s="3" t="inlineStr"/>
      <c r="S260" s="3" t="inlineStr">
        <is>
          <t>Aktif</t>
        </is>
      </c>
      <c r="T260" s="3" t="n"/>
      <c r="U260" s="3" t="inlineStr">
        <is>
          <t>LIST ASSET YPIK 2025(1).xlsx | Inv. SDIA</t>
        </is>
      </c>
    </row>
    <row r="261">
      <c r="A261" s="3" t="n">
        <v>258</v>
      </c>
      <c r="B261" s="3" t="n"/>
      <c r="C261" s="3" t="inlineStr">
        <is>
          <t>SDIA 23 JATIKRAMAT</t>
        </is>
      </c>
      <c r="D261" s="3" t="n"/>
      <c r="E261" s="3" t="inlineStr">
        <is>
          <t>Mading Besar di Koridor</t>
        </is>
      </c>
      <c r="F261" s="3" t="inlineStr">
        <is>
          <t>Mading Besar di Koridor</t>
        </is>
      </c>
      <c r="G261" s="3" t="n"/>
      <c r="H261" s="3" t="n"/>
      <c r="I261" s="3" t="n">
        <v>1</v>
      </c>
      <c r="J261" s="4" t="n"/>
      <c r="K261" s="3" t="n">
        <v>2018</v>
      </c>
      <c r="L261" s="5" t="n"/>
      <c r="M261" s="5" t="n">
        <v>1000000</v>
      </c>
      <c r="N261" s="3" t="n"/>
      <c r="O261" s="3" t="n">
        <v>4</v>
      </c>
      <c r="P261" s="5" t="n">
        <v>1000000</v>
      </c>
      <c r="Q261" s="5" t="n">
        <v>0</v>
      </c>
      <c r="R261" s="3" t="inlineStr"/>
      <c r="S261" s="3" t="inlineStr">
        <is>
          <t>Aktif</t>
        </is>
      </c>
      <c r="T261" s="3" t="n"/>
      <c r="U261" s="3" t="inlineStr">
        <is>
          <t>LIST ASSET YPIK 2025(1).xlsx | Inv. SDIA</t>
        </is>
      </c>
    </row>
    <row r="262">
      <c r="A262" s="3" t="n">
        <v>259</v>
      </c>
      <c r="B262" s="3" t="n"/>
      <c r="C262" s="3" t="inlineStr">
        <is>
          <t>SDIA 23 JATIKRAMAT</t>
        </is>
      </c>
      <c r="D262" s="3" t="n"/>
      <c r="E262" s="3" t="inlineStr">
        <is>
          <t>Whiteboard</t>
        </is>
      </c>
      <c r="F262" s="3" t="inlineStr">
        <is>
          <t>Whiteboard</t>
        </is>
      </c>
      <c r="G262" s="3" t="n"/>
      <c r="H262" s="3" t="n"/>
      <c r="I262" s="3" t="n">
        <v>1</v>
      </c>
      <c r="J262" s="4" t="n"/>
      <c r="K262" s="3" t="n">
        <v>2018</v>
      </c>
      <c r="L262" s="5" t="n"/>
      <c r="M262" s="5" t="n">
        <v>600000</v>
      </c>
      <c r="N262" s="3" t="n"/>
      <c r="O262" s="3" t="n">
        <v>4</v>
      </c>
      <c r="P262" s="5" t="n">
        <v>600000</v>
      </c>
      <c r="Q262" s="5" t="n">
        <v>0</v>
      </c>
      <c r="R262" s="3" t="inlineStr"/>
      <c r="S262" s="3" t="inlineStr">
        <is>
          <t>Aktif</t>
        </is>
      </c>
      <c r="T262" s="3" t="n"/>
      <c r="U262" s="3" t="inlineStr">
        <is>
          <t>LIST ASSET YPIK 2025(1).xlsx | Inv. SDIA</t>
        </is>
      </c>
    </row>
    <row r="263">
      <c r="A263" s="3" t="n">
        <v>260</v>
      </c>
      <c r="B263" s="3" t="n"/>
      <c r="C263" s="3" t="inlineStr">
        <is>
          <t>SDIA 23 JATIKRAMAT</t>
        </is>
      </c>
      <c r="D263" s="3" t="n"/>
      <c r="E263" s="3" t="inlineStr">
        <is>
          <t>Meja Guru</t>
        </is>
      </c>
      <c r="F263" s="3" t="inlineStr">
        <is>
          <t>Meja Guru</t>
        </is>
      </c>
      <c r="G263" s="3" t="n"/>
      <c r="H263" s="3" t="n"/>
      <c r="I263" s="3" t="n">
        <v>1</v>
      </c>
      <c r="J263" s="4" t="n"/>
      <c r="K263" s="3" t="n">
        <v>2018</v>
      </c>
      <c r="L263" s="5" t="n"/>
      <c r="M263" s="5" t="n">
        <v>400000</v>
      </c>
      <c r="N263" s="3" t="n"/>
      <c r="O263" s="3" t="n">
        <v>4</v>
      </c>
      <c r="P263" s="5" t="n">
        <v>400000</v>
      </c>
      <c r="Q263" s="5" t="n">
        <v>0</v>
      </c>
      <c r="R263" s="3" t="inlineStr"/>
      <c r="S263" s="3" t="inlineStr">
        <is>
          <t>Aktif</t>
        </is>
      </c>
      <c r="T263" s="3" t="n"/>
      <c r="U263" s="3" t="inlineStr">
        <is>
          <t>LIST ASSET YPIK 2025(1).xlsx | Inv. SDIA</t>
        </is>
      </c>
    </row>
    <row r="264">
      <c r="A264" s="3" t="n">
        <v>261</v>
      </c>
      <c r="B264" s="3" t="n"/>
      <c r="C264" s="3" t="inlineStr">
        <is>
          <t>SDIA 23 JATIKRAMAT</t>
        </is>
      </c>
      <c r="D264" s="3" t="n"/>
      <c r="E264" s="3" t="inlineStr">
        <is>
          <t>Kursi Guru</t>
        </is>
      </c>
      <c r="F264" s="3" t="inlineStr">
        <is>
          <t>Kursi Guru</t>
        </is>
      </c>
      <c r="G264" s="3" t="n"/>
      <c r="H264" s="3" t="n"/>
      <c r="I264" s="3" t="n">
        <v>1</v>
      </c>
      <c r="J264" s="4" t="n"/>
      <c r="K264" s="3" t="n">
        <v>2018</v>
      </c>
      <c r="L264" s="5" t="n"/>
      <c r="M264" s="5" t="n">
        <v>300000</v>
      </c>
      <c r="N264" s="3" t="n"/>
      <c r="O264" s="3" t="n">
        <v>4</v>
      </c>
      <c r="P264" s="5" t="n">
        <v>300000</v>
      </c>
      <c r="Q264" s="5" t="n">
        <v>0</v>
      </c>
      <c r="R264" s="3" t="inlineStr"/>
      <c r="S264" s="3" t="inlineStr">
        <is>
          <t>Aktif</t>
        </is>
      </c>
      <c r="T264" s="3" t="n"/>
      <c r="U264" s="3" t="inlineStr">
        <is>
          <t>LIST ASSET YPIK 2025(1).xlsx | Inv. SDIA</t>
        </is>
      </c>
    </row>
    <row r="265">
      <c r="A265" s="3" t="n">
        <v>262</v>
      </c>
      <c r="B265" s="3" t="n"/>
      <c r="C265" s="3" t="inlineStr">
        <is>
          <t>SDIA 23 JATIKRAMAT</t>
        </is>
      </c>
      <c r="D265" s="3" t="n"/>
      <c r="E265" s="3" t="inlineStr">
        <is>
          <t>Lemari Kelas</t>
        </is>
      </c>
      <c r="F265" s="3" t="inlineStr">
        <is>
          <t>Lemari Kelas</t>
        </is>
      </c>
      <c r="G265" s="3" t="n"/>
      <c r="H265" s="3" t="n"/>
      <c r="I265" s="3" t="n">
        <v>1</v>
      </c>
      <c r="J265" s="4" t="n"/>
      <c r="K265" s="3" t="n">
        <v>2018</v>
      </c>
      <c r="L265" s="5" t="n"/>
      <c r="M265" s="5" t="n">
        <v>800000</v>
      </c>
      <c r="N265" s="3" t="n"/>
      <c r="O265" s="3" t="n">
        <v>4</v>
      </c>
      <c r="P265" s="5" t="n">
        <v>800000</v>
      </c>
      <c r="Q265" s="5" t="n">
        <v>0</v>
      </c>
      <c r="R265" s="3" t="inlineStr"/>
      <c r="S265" s="3" t="inlineStr">
        <is>
          <t>Aktif</t>
        </is>
      </c>
      <c r="T265" s="3" t="n"/>
      <c r="U265" s="3" t="inlineStr">
        <is>
          <t>LIST ASSET YPIK 2025(1).xlsx | Inv. SDIA</t>
        </is>
      </c>
    </row>
    <row r="266">
      <c r="A266" s="3" t="n">
        <v>263</v>
      </c>
      <c r="B266" s="3" t="n"/>
      <c r="C266" s="3" t="inlineStr">
        <is>
          <t>SDIA 23 JATIKRAMAT</t>
        </is>
      </c>
      <c r="D266" s="3" t="n"/>
      <c r="E266" s="3" t="inlineStr">
        <is>
          <t>Loker Murid</t>
        </is>
      </c>
      <c r="F266" s="3" t="inlineStr">
        <is>
          <t>Loker Murid</t>
        </is>
      </c>
      <c r="G266" s="3" t="n"/>
      <c r="H266" s="3" t="n"/>
      <c r="I266" s="3" t="n">
        <v>2</v>
      </c>
      <c r="J266" s="4" t="n"/>
      <c r="K266" s="3" t="n">
        <v>2018</v>
      </c>
      <c r="L266" s="5" t="n"/>
      <c r="M266" s="5" t="n">
        <v>2500000</v>
      </c>
      <c r="N266" s="3" t="n"/>
      <c r="O266" s="3" t="n">
        <v>4</v>
      </c>
      <c r="P266" s="5" t="n">
        <v>2500000</v>
      </c>
      <c r="Q266" s="5" t="n">
        <v>0</v>
      </c>
      <c r="R266" s="3" t="inlineStr"/>
      <c r="S266" s="3" t="inlineStr">
        <is>
          <t>Aktif</t>
        </is>
      </c>
      <c r="T266" s="3" t="n"/>
      <c r="U266" s="3" t="inlineStr">
        <is>
          <t>LIST ASSET YPIK 2025(1).xlsx | Inv. SDIA</t>
        </is>
      </c>
    </row>
    <row r="267">
      <c r="A267" s="3" t="n">
        <v>264</v>
      </c>
      <c r="B267" s="3" t="n"/>
      <c r="C267" s="3" t="inlineStr">
        <is>
          <t>SDIA 23 JATIKRAMAT</t>
        </is>
      </c>
      <c r="D267" s="3" t="n"/>
      <c r="E267" s="3" t="inlineStr">
        <is>
          <t>Loker Murid</t>
        </is>
      </c>
      <c r="F267" s="3" t="inlineStr">
        <is>
          <t>Loker Murid</t>
        </is>
      </c>
      <c r="G267" s="3" t="n"/>
      <c r="H267" s="3" t="n"/>
      <c r="I267" s="3" t="n">
        <v>1</v>
      </c>
      <c r="J267" s="4" t="n"/>
      <c r="K267" s="3" t="n">
        <v>2018</v>
      </c>
      <c r="L267" s="5" t="n"/>
      <c r="M267" s="5" t="n">
        <v>1250000</v>
      </c>
      <c r="N267" s="3" t="n"/>
      <c r="O267" s="3" t="n">
        <v>4</v>
      </c>
      <c r="P267" s="5" t="n">
        <v>1250000</v>
      </c>
      <c r="Q267" s="5" t="n">
        <v>0</v>
      </c>
      <c r="R267" s="3" t="inlineStr"/>
      <c r="S267" s="3" t="inlineStr">
        <is>
          <t>Aktif</t>
        </is>
      </c>
      <c r="T267" s="3" t="n"/>
      <c r="U267" s="3" t="inlineStr">
        <is>
          <t>LIST ASSET YPIK 2025(1).xlsx | Inv. SDIA</t>
        </is>
      </c>
    </row>
    <row r="268">
      <c r="A268" s="3" t="n">
        <v>265</v>
      </c>
      <c r="B268" s="3" t="n"/>
      <c r="C268" s="3" t="inlineStr">
        <is>
          <t>SDIA 23 JATIKRAMAT</t>
        </is>
      </c>
      <c r="D268" s="3" t="n"/>
      <c r="E268" s="3" t="inlineStr">
        <is>
          <t>Mading Besar</t>
        </is>
      </c>
      <c r="F268" s="3" t="inlineStr">
        <is>
          <t>Mading Besar</t>
        </is>
      </c>
      <c r="G268" s="3" t="n"/>
      <c r="H268" s="3" t="n"/>
      <c r="I268" s="3" t="n">
        <v>1</v>
      </c>
      <c r="J268" s="4" t="n"/>
      <c r="K268" s="3" t="n">
        <v>2018</v>
      </c>
      <c r="L268" s="5" t="n"/>
      <c r="M268" s="5" t="n">
        <v>1000000</v>
      </c>
      <c r="N268" s="3" t="n"/>
      <c r="O268" s="3" t="n">
        <v>4</v>
      </c>
      <c r="P268" s="5" t="n">
        <v>1000000</v>
      </c>
      <c r="Q268" s="5" t="n">
        <v>0</v>
      </c>
      <c r="R268" s="3" t="inlineStr"/>
      <c r="S268" s="3" t="inlineStr">
        <is>
          <t>Aktif</t>
        </is>
      </c>
      <c r="T268" s="3" t="n"/>
      <c r="U268" s="3" t="inlineStr">
        <is>
          <t>LIST ASSET YPIK 2025(1).xlsx | Inv. SDIA</t>
        </is>
      </c>
    </row>
    <row r="269">
      <c r="A269" s="3" t="n">
        <v>266</v>
      </c>
      <c r="B269" s="3" t="n"/>
      <c r="C269" s="3" t="inlineStr">
        <is>
          <t>SDIA 23 JATIKRAMAT</t>
        </is>
      </c>
      <c r="D269" s="3" t="n"/>
      <c r="E269" s="3" t="inlineStr">
        <is>
          <t>Mading Besar Ada di Koridor</t>
        </is>
      </c>
      <c r="F269" s="3" t="inlineStr">
        <is>
          <t>Mading Besar Ada di Koridor</t>
        </is>
      </c>
      <c r="G269" s="3" t="n"/>
      <c r="H269" s="3" t="n"/>
      <c r="I269" s="3" t="n">
        <v>1</v>
      </c>
      <c r="J269" s="4" t="n"/>
      <c r="K269" s="3" t="n">
        <v>2018</v>
      </c>
      <c r="L269" s="5" t="n"/>
      <c r="M269" s="5" t="n">
        <v>1000000</v>
      </c>
      <c r="N269" s="3" t="n"/>
      <c r="O269" s="3" t="n">
        <v>4</v>
      </c>
      <c r="P269" s="5" t="n">
        <v>1000000</v>
      </c>
      <c r="Q269" s="5" t="n">
        <v>0</v>
      </c>
      <c r="R269" s="3" t="inlineStr"/>
      <c r="S269" s="3" t="inlineStr">
        <is>
          <t>Aktif</t>
        </is>
      </c>
      <c r="T269" s="3" t="n"/>
      <c r="U269" s="3" t="inlineStr">
        <is>
          <t>LIST ASSET YPIK 2025(1).xlsx | Inv. SDIA</t>
        </is>
      </c>
    </row>
    <row r="270">
      <c r="A270" s="3" t="n">
        <v>267</v>
      </c>
      <c r="B270" s="3" t="n"/>
      <c r="C270" s="3" t="inlineStr">
        <is>
          <t>SDIA 23 JATIKRAMAT</t>
        </is>
      </c>
      <c r="D270" s="3" t="n"/>
      <c r="E270" s="3" t="inlineStr">
        <is>
          <t>Whiteboard</t>
        </is>
      </c>
      <c r="F270" s="3" t="inlineStr">
        <is>
          <t>Whiteboard</t>
        </is>
      </c>
      <c r="G270" s="3" t="n"/>
      <c r="H270" s="3" t="n"/>
      <c r="I270" s="3" t="n">
        <v>1</v>
      </c>
      <c r="J270" s="4" t="n"/>
      <c r="K270" s="3" t="n">
        <v>2018</v>
      </c>
      <c r="L270" s="5" t="n"/>
      <c r="M270" s="5" t="n">
        <v>600000</v>
      </c>
      <c r="N270" s="3" t="n"/>
      <c r="O270" s="3" t="n">
        <v>4</v>
      </c>
      <c r="P270" s="5" t="n">
        <v>600000</v>
      </c>
      <c r="Q270" s="5" t="n">
        <v>0</v>
      </c>
      <c r="R270" s="3" t="inlineStr"/>
      <c r="S270" s="3" t="inlineStr">
        <is>
          <t>Aktif</t>
        </is>
      </c>
      <c r="T270" s="3" t="n"/>
      <c r="U270" s="3" t="inlineStr">
        <is>
          <t>LIST ASSET YPIK 2025(1).xlsx | Inv. SDIA</t>
        </is>
      </c>
    </row>
    <row r="271">
      <c r="A271" s="3" t="n">
        <v>268</v>
      </c>
      <c r="B271" s="3" t="n"/>
      <c r="C271" s="3" t="inlineStr">
        <is>
          <t>SDIA 23 JATIKRAMAT</t>
        </is>
      </c>
      <c r="D271" s="3" t="n"/>
      <c r="E271" s="3" t="inlineStr">
        <is>
          <t>Meja Guru</t>
        </is>
      </c>
      <c r="F271" s="3" t="inlineStr">
        <is>
          <t>Meja Guru</t>
        </is>
      </c>
      <c r="G271" s="3" t="n"/>
      <c r="H271" s="3" t="n"/>
      <c r="I271" s="3" t="n">
        <v>1</v>
      </c>
      <c r="J271" s="4" t="n"/>
      <c r="K271" s="3" t="n">
        <v>2018</v>
      </c>
      <c r="L271" s="5" t="n"/>
      <c r="M271" s="5" t="n">
        <v>400000</v>
      </c>
      <c r="N271" s="3" t="n"/>
      <c r="O271" s="3" t="n">
        <v>4</v>
      </c>
      <c r="P271" s="5" t="n">
        <v>400000</v>
      </c>
      <c r="Q271" s="5" t="n">
        <v>0</v>
      </c>
      <c r="R271" s="3" t="inlineStr"/>
      <c r="S271" s="3" t="inlineStr">
        <is>
          <t>Aktif</t>
        </is>
      </c>
      <c r="T271" s="3" t="n"/>
      <c r="U271" s="3" t="inlineStr">
        <is>
          <t>LIST ASSET YPIK 2025(1).xlsx | Inv. SDIA</t>
        </is>
      </c>
    </row>
    <row r="272">
      <c r="A272" s="3" t="n">
        <v>269</v>
      </c>
      <c r="B272" s="3" t="n"/>
      <c r="C272" s="3" t="inlineStr">
        <is>
          <t>SDIA 23 JATIKRAMAT</t>
        </is>
      </c>
      <c r="D272" s="3" t="n"/>
      <c r="E272" s="3" t="inlineStr">
        <is>
          <t>Kursi Guru</t>
        </is>
      </c>
      <c r="F272" s="3" t="inlineStr">
        <is>
          <t>Kursi Guru</t>
        </is>
      </c>
      <c r="G272" s="3" t="n"/>
      <c r="H272" s="3" t="n"/>
      <c r="I272" s="3" t="n">
        <v>1</v>
      </c>
      <c r="J272" s="4" t="n"/>
      <c r="K272" s="3" t="n">
        <v>2018</v>
      </c>
      <c r="L272" s="5" t="n"/>
      <c r="M272" s="5" t="n">
        <v>300000</v>
      </c>
      <c r="N272" s="3" t="n"/>
      <c r="O272" s="3" t="n">
        <v>4</v>
      </c>
      <c r="P272" s="5" t="n">
        <v>300000</v>
      </c>
      <c r="Q272" s="5" t="n">
        <v>0</v>
      </c>
      <c r="R272" s="3" t="inlineStr"/>
      <c r="S272" s="3" t="inlineStr">
        <is>
          <t>Aktif</t>
        </is>
      </c>
      <c r="T272" s="3" t="n"/>
      <c r="U272" s="3" t="inlineStr">
        <is>
          <t>LIST ASSET YPIK 2025(1).xlsx | Inv. SDIA</t>
        </is>
      </c>
    </row>
    <row r="273">
      <c r="A273" s="3" t="n">
        <v>270</v>
      </c>
      <c r="B273" s="3" t="n"/>
      <c r="C273" s="3" t="inlineStr">
        <is>
          <t>SDIA 23 JATIKRAMAT</t>
        </is>
      </c>
      <c r="D273" s="3" t="n"/>
      <c r="E273" s="3" t="inlineStr">
        <is>
          <t>Lemari Kelas</t>
        </is>
      </c>
      <c r="F273" s="3" t="inlineStr">
        <is>
          <t>Lemari Kelas</t>
        </is>
      </c>
      <c r="G273" s="3" t="n"/>
      <c r="H273" s="3" t="n"/>
      <c r="I273" s="3" t="n">
        <v>1</v>
      </c>
      <c r="J273" s="4" t="n"/>
      <c r="K273" s="3" t="n">
        <v>2018</v>
      </c>
      <c r="L273" s="5" t="n"/>
      <c r="M273" s="5" t="n">
        <v>800000</v>
      </c>
      <c r="N273" s="3" t="n"/>
      <c r="O273" s="3" t="n">
        <v>4</v>
      </c>
      <c r="P273" s="5" t="n">
        <v>800000</v>
      </c>
      <c r="Q273" s="5" t="n">
        <v>0</v>
      </c>
      <c r="R273" s="3" t="inlineStr"/>
      <c r="S273" s="3" t="inlineStr">
        <is>
          <t>Aktif</t>
        </is>
      </c>
      <c r="T273" s="3" t="n"/>
      <c r="U273" s="3" t="inlineStr">
        <is>
          <t>LIST ASSET YPIK 2025(1).xlsx | Inv. SDIA</t>
        </is>
      </c>
    </row>
    <row r="274">
      <c r="A274" s="3" t="n">
        <v>271</v>
      </c>
      <c r="B274" s="3" t="n"/>
      <c r="C274" s="3" t="inlineStr">
        <is>
          <t>SDIA 23 JATIKRAMAT</t>
        </is>
      </c>
      <c r="D274" s="3" t="n"/>
      <c r="E274" s="3" t="inlineStr">
        <is>
          <t>Loker Murid</t>
        </is>
      </c>
      <c r="F274" s="3" t="inlineStr">
        <is>
          <t>Loker Murid</t>
        </is>
      </c>
      <c r="G274" s="3" t="n"/>
      <c r="H274" s="3" t="n"/>
      <c r="I274" s="3" t="n">
        <v>1</v>
      </c>
      <c r="J274" s="4" t="n"/>
      <c r="K274" s="3" t="n">
        <v>2018</v>
      </c>
      <c r="L274" s="5" t="n"/>
      <c r="M274" s="5" t="n">
        <v>1250000</v>
      </c>
      <c r="N274" s="3" t="n"/>
      <c r="O274" s="3" t="n">
        <v>4</v>
      </c>
      <c r="P274" s="5" t="n">
        <v>1250000</v>
      </c>
      <c r="Q274" s="5" t="n">
        <v>0</v>
      </c>
      <c r="R274" s="3" t="inlineStr"/>
      <c r="S274" s="3" t="inlineStr">
        <is>
          <t>Aktif</t>
        </is>
      </c>
      <c r="T274" s="3" t="n"/>
      <c r="U274" s="3" t="inlineStr">
        <is>
          <t>LIST ASSET YPIK 2025(1).xlsx | Inv. SDIA</t>
        </is>
      </c>
    </row>
    <row r="275">
      <c r="A275" s="3" t="n">
        <v>272</v>
      </c>
      <c r="B275" s="3" t="n"/>
      <c r="C275" s="3" t="inlineStr">
        <is>
          <t>SDIA 23 JATIKRAMAT</t>
        </is>
      </c>
      <c r="D275" s="3" t="n"/>
      <c r="E275" s="3" t="inlineStr">
        <is>
          <t>Mading Besar</t>
        </is>
      </c>
      <c r="F275" s="3" t="inlineStr">
        <is>
          <t>Mading Besar</t>
        </is>
      </c>
      <c r="G275" s="3" t="n"/>
      <c r="H275" s="3" t="n"/>
      <c r="I275" s="3" t="n">
        <v>1</v>
      </c>
      <c r="J275" s="4" t="n"/>
      <c r="K275" s="3" t="n">
        <v>2018</v>
      </c>
      <c r="L275" s="5" t="n"/>
      <c r="M275" s="5" t="n">
        <v>1000000</v>
      </c>
      <c r="N275" s="3" t="n"/>
      <c r="O275" s="3" t="n">
        <v>4</v>
      </c>
      <c r="P275" s="5" t="n">
        <v>1000000</v>
      </c>
      <c r="Q275" s="5" t="n">
        <v>0</v>
      </c>
      <c r="R275" s="3" t="inlineStr"/>
      <c r="S275" s="3" t="inlineStr">
        <is>
          <t>Aktif</t>
        </is>
      </c>
      <c r="T275" s="3" t="n"/>
      <c r="U275" s="3" t="inlineStr">
        <is>
          <t>LIST ASSET YPIK 2025(1).xlsx | Inv. SDIA</t>
        </is>
      </c>
    </row>
    <row r="276">
      <c r="A276" s="3" t="n">
        <v>273</v>
      </c>
      <c r="B276" s="3" t="n"/>
      <c r="C276" s="3" t="inlineStr">
        <is>
          <t>SDIA 23 JATIKRAMAT</t>
        </is>
      </c>
      <c r="D276" s="3" t="n"/>
      <c r="E276" s="3" t="inlineStr">
        <is>
          <t>Mading Besar Ada di Koridor</t>
        </is>
      </c>
      <c r="F276" s="3" t="inlineStr">
        <is>
          <t>Mading Besar Ada di Koridor</t>
        </is>
      </c>
      <c r="G276" s="3" t="n"/>
      <c r="H276" s="3" t="n"/>
      <c r="I276" s="3" t="n">
        <v>1</v>
      </c>
      <c r="J276" s="4" t="n"/>
      <c r="K276" s="3" t="n">
        <v>2018</v>
      </c>
      <c r="L276" s="5" t="n"/>
      <c r="M276" s="5" t="n">
        <v>1000000</v>
      </c>
      <c r="N276" s="3" t="n"/>
      <c r="O276" s="3" t="n">
        <v>4</v>
      </c>
      <c r="P276" s="5" t="n">
        <v>1000000</v>
      </c>
      <c r="Q276" s="5" t="n">
        <v>0</v>
      </c>
      <c r="R276" s="3" t="inlineStr"/>
      <c r="S276" s="3" t="inlineStr">
        <is>
          <t>Aktif</t>
        </is>
      </c>
      <c r="T276" s="3" t="n"/>
      <c r="U276" s="3" t="inlineStr">
        <is>
          <t>LIST ASSET YPIK 2025(1).xlsx | Inv. SDIA</t>
        </is>
      </c>
    </row>
    <row r="277">
      <c r="A277" s="3" t="n">
        <v>274</v>
      </c>
      <c r="B277" s="3" t="n"/>
      <c r="C277" s="3" t="inlineStr">
        <is>
          <t>SDIA 23 JATIKRAMAT</t>
        </is>
      </c>
      <c r="D277" s="3" t="n"/>
      <c r="E277" s="3" t="inlineStr">
        <is>
          <t>Whiteboard</t>
        </is>
      </c>
      <c r="F277" s="3" t="inlineStr">
        <is>
          <t>Whiteboard</t>
        </is>
      </c>
      <c r="G277" s="3" t="n"/>
      <c r="H277" s="3" t="n"/>
      <c r="I277" s="3" t="n">
        <v>1</v>
      </c>
      <c r="J277" s="4" t="n"/>
      <c r="K277" s="3" t="n">
        <v>2018</v>
      </c>
      <c r="L277" s="5" t="n"/>
      <c r="M277" s="5" t="n">
        <v>600000</v>
      </c>
      <c r="N277" s="3" t="n"/>
      <c r="O277" s="3" t="n">
        <v>4</v>
      </c>
      <c r="P277" s="5" t="n">
        <v>600000</v>
      </c>
      <c r="Q277" s="5" t="n">
        <v>0</v>
      </c>
      <c r="R277" s="3" t="inlineStr"/>
      <c r="S277" s="3" t="inlineStr">
        <is>
          <t>Aktif</t>
        </is>
      </c>
      <c r="T277" s="3" t="n"/>
      <c r="U277" s="3" t="inlineStr">
        <is>
          <t>LIST ASSET YPIK 2025(1).xlsx | Inv. SDIA</t>
        </is>
      </c>
    </row>
    <row r="278">
      <c r="A278" s="3" t="n">
        <v>275</v>
      </c>
      <c r="B278" s="3" t="n"/>
      <c r="C278" s="3" t="inlineStr">
        <is>
          <t>SDIA 23 JATIKRAMAT</t>
        </is>
      </c>
      <c r="D278" s="3" t="n"/>
      <c r="E278" s="3" t="inlineStr">
        <is>
          <t>Meja Guru</t>
        </is>
      </c>
      <c r="F278" s="3" t="inlineStr">
        <is>
          <t>Meja Guru</t>
        </is>
      </c>
      <c r="G278" s="3" t="n"/>
      <c r="H278" s="3" t="n"/>
      <c r="I278" s="3" t="n">
        <v>1</v>
      </c>
      <c r="J278" s="4" t="n"/>
      <c r="K278" s="3" t="n">
        <v>2018</v>
      </c>
      <c r="L278" s="5" t="n"/>
      <c r="M278" s="5" t="n">
        <v>400000</v>
      </c>
      <c r="N278" s="3" t="n"/>
      <c r="O278" s="3" t="n">
        <v>4</v>
      </c>
      <c r="P278" s="5" t="n">
        <v>400000</v>
      </c>
      <c r="Q278" s="5" t="n">
        <v>0</v>
      </c>
      <c r="R278" s="3" t="inlineStr"/>
      <c r="S278" s="3" t="inlineStr">
        <is>
          <t>Aktif</t>
        </is>
      </c>
      <c r="T278" s="3" t="n"/>
      <c r="U278" s="3" t="inlineStr">
        <is>
          <t>LIST ASSET YPIK 2025(1).xlsx | Inv. SDIA</t>
        </is>
      </c>
    </row>
    <row r="279">
      <c r="A279" s="3" t="n">
        <v>276</v>
      </c>
      <c r="B279" s="3" t="n"/>
      <c r="C279" s="3" t="inlineStr">
        <is>
          <t>SDIA 23 JATIKRAMAT</t>
        </is>
      </c>
      <c r="D279" s="3" t="n"/>
      <c r="E279" s="3" t="inlineStr">
        <is>
          <t>Kursi Guru</t>
        </is>
      </c>
      <c r="F279" s="3" t="inlineStr">
        <is>
          <t>Kursi Guru</t>
        </is>
      </c>
      <c r="G279" s="3" t="n"/>
      <c r="H279" s="3" t="n"/>
      <c r="I279" s="3" t="n">
        <v>1</v>
      </c>
      <c r="J279" s="4" t="n"/>
      <c r="K279" s="3" t="n">
        <v>2018</v>
      </c>
      <c r="L279" s="5" t="n"/>
      <c r="M279" s="5" t="n">
        <v>300000</v>
      </c>
      <c r="N279" s="3" t="n"/>
      <c r="O279" s="3" t="n">
        <v>4</v>
      </c>
      <c r="P279" s="5" t="n">
        <v>300000</v>
      </c>
      <c r="Q279" s="5" t="n">
        <v>0</v>
      </c>
      <c r="R279" s="3" t="inlineStr"/>
      <c r="S279" s="3" t="inlineStr">
        <is>
          <t>Aktif</t>
        </is>
      </c>
      <c r="T279" s="3" t="n"/>
      <c r="U279" s="3" t="inlineStr">
        <is>
          <t>LIST ASSET YPIK 2025(1).xlsx | Inv. SDIA</t>
        </is>
      </c>
    </row>
    <row r="280">
      <c r="A280" s="3" t="n">
        <v>277</v>
      </c>
      <c r="B280" s="3" t="n"/>
      <c r="C280" s="3" t="inlineStr">
        <is>
          <t>SDIA 23 JATIKRAMAT</t>
        </is>
      </c>
      <c r="D280" s="3" t="n"/>
      <c r="E280" s="3" t="inlineStr">
        <is>
          <t>Lemari Kelas</t>
        </is>
      </c>
      <c r="F280" s="3" t="inlineStr">
        <is>
          <t>Lemari Kelas</t>
        </is>
      </c>
      <c r="G280" s="3" t="n"/>
      <c r="H280" s="3" t="n"/>
      <c r="I280" s="3" t="n">
        <v>1</v>
      </c>
      <c r="J280" s="4" t="n"/>
      <c r="K280" s="3" t="n">
        <v>2018</v>
      </c>
      <c r="L280" s="5" t="n"/>
      <c r="M280" s="5" t="n">
        <v>800000</v>
      </c>
      <c r="N280" s="3" t="n"/>
      <c r="O280" s="3" t="n">
        <v>4</v>
      </c>
      <c r="P280" s="5" t="n">
        <v>800000</v>
      </c>
      <c r="Q280" s="5" t="n">
        <v>0</v>
      </c>
      <c r="R280" s="3" t="inlineStr"/>
      <c r="S280" s="3" t="inlineStr">
        <is>
          <t>Aktif</t>
        </is>
      </c>
      <c r="T280" s="3" t="n"/>
      <c r="U280" s="3" t="inlineStr">
        <is>
          <t>LIST ASSET YPIK 2025(1).xlsx | Inv. SDIA</t>
        </is>
      </c>
    </row>
    <row r="281">
      <c r="A281" s="3" t="n">
        <v>278</v>
      </c>
      <c r="B281" s="3" t="n"/>
      <c r="C281" s="3" t="inlineStr">
        <is>
          <t>SDIA 23 JATIKRAMAT</t>
        </is>
      </c>
      <c r="D281" s="3" t="n"/>
      <c r="E281" s="3" t="inlineStr">
        <is>
          <t>Loker</t>
        </is>
      </c>
      <c r="F281" s="3" t="inlineStr">
        <is>
          <t>Loker</t>
        </is>
      </c>
      <c r="G281" s="3" t="n"/>
      <c r="H281" s="3" t="n"/>
      <c r="I281" s="3" t="n">
        <v>1</v>
      </c>
      <c r="J281" s="4" t="n"/>
      <c r="K281" s="3" t="n">
        <v>2018</v>
      </c>
      <c r="L281" s="5" t="n"/>
      <c r="M281" s="5" t="n">
        <v>1250000</v>
      </c>
      <c r="N281" s="3" t="n"/>
      <c r="O281" s="3" t="n">
        <v>4</v>
      </c>
      <c r="P281" s="5" t="n">
        <v>1250000</v>
      </c>
      <c r="Q281" s="5" t="n">
        <v>0</v>
      </c>
      <c r="R281" s="3" t="inlineStr"/>
      <c r="S281" s="3" t="inlineStr">
        <is>
          <t>Aktif</t>
        </is>
      </c>
      <c r="T281" s="3" t="n"/>
      <c r="U281" s="3" t="inlineStr">
        <is>
          <t>LIST ASSET YPIK 2025(1).xlsx | Inv. SDIA</t>
        </is>
      </c>
    </row>
    <row r="282">
      <c r="A282" s="3" t="n">
        <v>279</v>
      </c>
      <c r="B282" s="3" t="n"/>
      <c r="C282" s="3" t="inlineStr">
        <is>
          <t>SDIA 23 JATIKRAMAT</t>
        </is>
      </c>
      <c r="D282" s="3" t="n"/>
      <c r="E282" s="3" t="inlineStr">
        <is>
          <t>Mading Besar</t>
        </is>
      </c>
      <c r="F282" s="3" t="inlineStr">
        <is>
          <t>Mading Besar</t>
        </is>
      </c>
      <c r="G282" s="3" t="n"/>
      <c r="H282" s="3" t="n"/>
      <c r="I282" s="3" t="n">
        <v>1</v>
      </c>
      <c r="J282" s="4" t="n"/>
      <c r="K282" s="3" t="n">
        <v>2018</v>
      </c>
      <c r="L282" s="5" t="n"/>
      <c r="M282" s="5" t="n">
        <v>1000000</v>
      </c>
      <c r="N282" s="3" t="n"/>
      <c r="O282" s="3" t="n">
        <v>4</v>
      </c>
      <c r="P282" s="5" t="n">
        <v>1000000</v>
      </c>
      <c r="Q282" s="5" t="n">
        <v>0</v>
      </c>
      <c r="R282" s="3" t="inlineStr"/>
      <c r="S282" s="3" t="inlineStr">
        <is>
          <t>Aktif</t>
        </is>
      </c>
      <c r="T282" s="3" t="n"/>
      <c r="U282" s="3" t="inlineStr">
        <is>
          <t>LIST ASSET YPIK 2025(1).xlsx | Inv. SDIA</t>
        </is>
      </c>
    </row>
    <row r="283">
      <c r="A283" s="3" t="n">
        <v>280</v>
      </c>
      <c r="B283" s="3" t="n"/>
      <c r="C283" s="3" t="inlineStr">
        <is>
          <t>SDIA 23 JATIKRAMAT</t>
        </is>
      </c>
      <c r="D283" s="3" t="n"/>
      <c r="E283" s="3" t="inlineStr">
        <is>
          <t>Whiteboard</t>
        </is>
      </c>
      <c r="F283" s="3" t="inlineStr">
        <is>
          <t>Whiteboard</t>
        </is>
      </c>
      <c r="G283" s="3" t="n"/>
      <c r="H283" s="3" t="n"/>
      <c r="I283" s="3" t="n">
        <v>1</v>
      </c>
      <c r="J283" s="4" t="n"/>
      <c r="K283" s="3" t="n">
        <v>2018</v>
      </c>
      <c r="L283" s="5" t="n"/>
      <c r="M283" s="5" t="n">
        <v>600000</v>
      </c>
      <c r="N283" s="3" t="n"/>
      <c r="O283" s="3" t="n">
        <v>4</v>
      </c>
      <c r="P283" s="5" t="n">
        <v>600000</v>
      </c>
      <c r="Q283" s="5" t="n">
        <v>0</v>
      </c>
      <c r="R283" s="3" t="inlineStr"/>
      <c r="S283" s="3" t="inlineStr">
        <is>
          <t>Aktif</t>
        </is>
      </c>
      <c r="T283" s="3" t="n"/>
      <c r="U283" s="3" t="inlineStr">
        <is>
          <t>LIST ASSET YPIK 2025(1).xlsx | Inv. SDIA</t>
        </is>
      </c>
    </row>
    <row r="284">
      <c r="A284" s="3" t="n">
        <v>281</v>
      </c>
      <c r="B284" s="3" t="n"/>
      <c r="C284" s="3" t="inlineStr">
        <is>
          <t>SDIA 23 JATIKRAMAT</t>
        </is>
      </c>
      <c r="D284" s="3" t="n"/>
      <c r="E284" s="3" t="inlineStr">
        <is>
          <t>Meja Guru</t>
        </is>
      </c>
      <c r="F284" s="3" t="inlineStr">
        <is>
          <t>Meja Guru</t>
        </is>
      </c>
      <c r="G284" s="3" t="n"/>
      <c r="H284" s="3" t="n"/>
      <c r="I284" s="3" t="n">
        <v>1</v>
      </c>
      <c r="J284" s="4" t="n"/>
      <c r="K284" s="3" t="n">
        <v>2018</v>
      </c>
      <c r="L284" s="5" t="n"/>
      <c r="M284" s="5" t="n">
        <v>400000</v>
      </c>
      <c r="N284" s="3" t="n"/>
      <c r="O284" s="3" t="n">
        <v>4</v>
      </c>
      <c r="P284" s="5" t="n">
        <v>400000</v>
      </c>
      <c r="Q284" s="5" t="n">
        <v>0</v>
      </c>
      <c r="R284" s="3" t="inlineStr"/>
      <c r="S284" s="3" t="inlineStr">
        <is>
          <t>Aktif</t>
        </is>
      </c>
      <c r="T284" s="3" t="n"/>
      <c r="U284" s="3" t="inlineStr">
        <is>
          <t>LIST ASSET YPIK 2025(1).xlsx | Inv. SDIA</t>
        </is>
      </c>
    </row>
    <row r="285">
      <c r="A285" s="3" t="n">
        <v>282</v>
      </c>
      <c r="B285" s="3" t="n"/>
      <c r="C285" s="3" t="inlineStr">
        <is>
          <t>SDIA 23 JATIKRAMAT</t>
        </is>
      </c>
      <c r="D285" s="3" t="n"/>
      <c r="E285" s="3" t="inlineStr">
        <is>
          <t>Kursi Guru</t>
        </is>
      </c>
      <c r="F285" s="3" t="inlineStr">
        <is>
          <t>Kursi Guru</t>
        </is>
      </c>
      <c r="G285" s="3" t="n"/>
      <c r="H285" s="3" t="n"/>
      <c r="I285" s="3" t="n">
        <v>1</v>
      </c>
      <c r="J285" s="4" t="n"/>
      <c r="K285" s="3" t="n">
        <v>2018</v>
      </c>
      <c r="L285" s="5" t="n"/>
      <c r="M285" s="5" t="n">
        <v>300000</v>
      </c>
      <c r="N285" s="3" t="n"/>
      <c r="O285" s="3" t="n">
        <v>4</v>
      </c>
      <c r="P285" s="5" t="n">
        <v>300000</v>
      </c>
      <c r="Q285" s="5" t="n">
        <v>0</v>
      </c>
      <c r="R285" s="3" t="inlineStr"/>
      <c r="S285" s="3" t="inlineStr">
        <is>
          <t>Aktif</t>
        </is>
      </c>
      <c r="T285" s="3" t="n"/>
      <c r="U285" s="3" t="inlineStr">
        <is>
          <t>LIST ASSET YPIK 2025(1).xlsx | Inv. SDIA</t>
        </is>
      </c>
    </row>
    <row r="286">
      <c r="A286" s="3" t="n">
        <v>283</v>
      </c>
      <c r="B286" s="3" t="n"/>
      <c r="C286" s="3" t="inlineStr">
        <is>
          <t>SDIA 23 JATIKRAMAT</t>
        </is>
      </c>
      <c r="D286" s="3" t="n"/>
      <c r="E286" s="3" t="inlineStr">
        <is>
          <t>Lemari Kelas</t>
        </is>
      </c>
      <c r="F286" s="3" t="inlineStr">
        <is>
          <t>Lemari Kelas</t>
        </is>
      </c>
      <c r="G286" s="3" t="n"/>
      <c r="H286" s="3" t="n"/>
      <c r="I286" s="3" t="n">
        <v>1</v>
      </c>
      <c r="J286" s="4" t="n"/>
      <c r="K286" s="3" t="n">
        <v>2018</v>
      </c>
      <c r="L286" s="5" t="n"/>
      <c r="M286" s="5" t="n">
        <v>800000</v>
      </c>
      <c r="N286" s="3" t="n"/>
      <c r="O286" s="3" t="n">
        <v>4</v>
      </c>
      <c r="P286" s="5" t="n">
        <v>800000</v>
      </c>
      <c r="Q286" s="5" t="n">
        <v>0</v>
      </c>
      <c r="R286" s="3" t="inlineStr"/>
      <c r="S286" s="3" t="inlineStr">
        <is>
          <t>Aktif</t>
        </is>
      </c>
      <c r="T286" s="3" t="n"/>
      <c r="U286" s="3" t="inlineStr">
        <is>
          <t>LIST ASSET YPIK 2025(1).xlsx | Inv. SDIA</t>
        </is>
      </c>
    </row>
    <row r="287">
      <c r="A287" s="3" t="n">
        <v>284</v>
      </c>
      <c r="B287" s="3" t="n"/>
      <c r="C287" s="3" t="inlineStr">
        <is>
          <t>SDIA 23 JATIKRAMAT</t>
        </is>
      </c>
      <c r="D287" s="3" t="n"/>
      <c r="E287" s="3" t="inlineStr">
        <is>
          <t>Loker Murid</t>
        </is>
      </c>
      <c r="F287" s="3" t="inlineStr">
        <is>
          <t>Loker Murid</t>
        </is>
      </c>
      <c r="G287" s="3" t="n"/>
      <c r="H287" s="3" t="n"/>
      <c r="I287" s="3" t="n">
        <v>1</v>
      </c>
      <c r="J287" s="4" t="n"/>
      <c r="K287" s="3" t="n">
        <v>2018</v>
      </c>
      <c r="L287" s="5" t="n"/>
      <c r="M287" s="5" t="n">
        <v>1250000</v>
      </c>
      <c r="N287" s="3" t="n"/>
      <c r="O287" s="3" t="n">
        <v>4</v>
      </c>
      <c r="P287" s="5" t="n">
        <v>1250000</v>
      </c>
      <c r="Q287" s="5" t="n">
        <v>0</v>
      </c>
      <c r="R287" s="3" t="inlineStr"/>
      <c r="S287" s="3" t="inlineStr">
        <is>
          <t>Aktif</t>
        </is>
      </c>
      <c r="T287" s="3" t="n"/>
      <c r="U287" s="3" t="inlineStr">
        <is>
          <t>LIST ASSET YPIK 2025(1).xlsx | Inv. SDIA</t>
        </is>
      </c>
    </row>
    <row r="288">
      <c r="A288" s="3" t="n">
        <v>285</v>
      </c>
      <c r="B288" s="3" t="n"/>
      <c r="C288" s="3" t="inlineStr">
        <is>
          <t>SDIA 23 JATIKRAMAT</t>
        </is>
      </c>
      <c r="D288" s="3" t="n"/>
      <c r="E288" s="3" t="inlineStr">
        <is>
          <t>Loker Murid</t>
        </is>
      </c>
      <c r="F288" s="3" t="inlineStr">
        <is>
          <t>Loker Murid</t>
        </is>
      </c>
      <c r="G288" s="3" t="n"/>
      <c r="H288" s="3" t="n"/>
      <c r="I288" s="3" t="n">
        <v>1</v>
      </c>
      <c r="J288" s="4" t="n"/>
      <c r="K288" s="3" t="n">
        <v>2018</v>
      </c>
      <c r="L288" s="5" t="n"/>
      <c r="M288" s="5" t="n">
        <v>1250000</v>
      </c>
      <c r="N288" s="3" t="n"/>
      <c r="O288" s="3" t="n">
        <v>4</v>
      </c>
      <c r="P288" s="5" t="n">
        <v>1250000</v>
      </c>
      <c r="Q288" s="5" t="n">
        <v>0</v>
      </c>
      <c r="R288" s="3" t="inlineStr"/>
      <c r="S288" s="3" t="inlineStr">
        <is>
          <t>Aktif</t>
        </is>
      </c>
      <c r="T288" s="3" t="n"/>
      <c r="U288" s="3" t="inlineStr">
        <is>
          <t>LIST ASSET YPIK 2025(1).xlsx | Inv. SDIA</t>
        </is>
      </c>
    </row>
    <row r="289">
      <c r="A289" s="3" t="n">
        <v>286</v>
      </c>
      <c r="B289" s="3" t="n"/>
      <c r="C289" s="3" t="inlineStr">
        <is>
          <t>SDIA 23 JATIKRAMAT</t>
        </is>
      </c>
      <c r="D289" s="3" t="n"/>
      <c r="E289" s="3" t="inlineStr">
        <is>
          <t>Mading Besar</t>
        </is>
      </c>
      <c r="F289" s="3" t="inlineStr">
        <is>
          <t>Mading Besar</t>
        </is>
      </c>
      <c r="G289" s="3" t="n"/>
      <c r="H289" s="3" t="n"/>
      <c r="I289" s="3" t="n">
        <v>2</v>
      </c>
      <c r="J289" s="4" t="n"/>
      <c r="K289" s="3" t="n">
        <v>2018</v>
      </c>
      <c r="L289" s="5" t="n"/>
      <c r="M289" s="5" t="n">
        <v>1000000</v>
      </c>
      <c r="N289" s="3" t="n"/>
      <c r="O289" s="3" t="n">
        <v>4</v>
      </c>
      <c r="P289" s="5" t="n">
        <v>1000000</v>
      </c>
      <c r="Q289" s="5" t="n">
        <v>0</v>
      </c>
      <c r="R289" s="3" t="inlineStr"/>
      <c r="S289" s="3" t="inlineStr">
        <is>
          <t>Aktif</t>
        </is>
      </c>
      <c r="T289" s="3" t="n"/>
      <c r="U289" s="3" t="inlineStr">
        <is>
          <t>LIST ASSET YPIK 2025(1).xlsx | Inv. SDIA</t>
        </is>
      </c>
    </row>
    <row r="290">
      <c r="A290" s="3" t="n">
        <v>287</v>
      </c>
      <c r="B290" s="3" t="n"/>
      <c r="C290" s="3" t="inlineStr">
        <is>
          <t>SDIA 23 JATIKRAMAT</t>
        </is>
      </c>
      <c r="D290" s="3" t="n"/>
      <c r="E290" s="3" t="inlineStr">
        <is>
          <t>Whiteboard</t>
        </is>
      </c>
      <c r="F290" s="3" t="inlineStr">
        <is>
          <t>Whiteboard</t>
        </is>
      </c>
      <c r="G290" s="3" t="n"/>
      <c r="H290" s="3" t="n"/>
      <c r="I290" s="3" t="n">
        <v>1</v>
      </c>
      <c r="J290" s="4" t="n"/>
      <c r="K290" s="3" t="n">
        <v>2018</v>
      </c>
      <c r="L290" s="5" t="n"/>
      <c r="M290" s="5" t="n">
        <v>600000</v>
      </c>
      <c r="N290" s="3" t="n"/>
      <c r="O290" s="3" t="n">
        <v>4</v>
      </c>
      <c r="P290" s="5" t="n">
        <v>600000</v>
      </c>
      <c r="Q290" s="5" t="n">
        <v>0</v>
      </c>
      <c r="R290" s="3" t="inlineStr"/>
      <c r="S290" s="3" t="inlineStr">
        <is>
          <t>Aktif</t>
        </is>
      </c>
      <c r="T290" s="3" t="n"/>
      <c r="U290" s="3" t="inlineStr">
        <is>
          <t>LIST ASSET YPIK 2025(1).xlsx | Inv. SDIA</t>
        </is>
      </c>
    </row>
    <row r="291">
      <c r="A291" s="3" t="n">
        <v>288</v>
      </c>
      <c r="B291" s="3" t="n"/>
      <c r="C291" s="3" t="inlineStr">
        <is>
          <t>SDIA 23 JATIKRAMAT</t>
        </is>
      </c>
      <c r="D291" s="3" t="n"/>
      <c r="E291" s="3" t="inlineStr">
        <is>
          <t>Rak Buku Terbuka</t>
        </is>
      </c>
      <c r="F291" s="3" t="inlineStr">
        <is>
          <t>Rak Buku Terbuka</t>
        </is>
      </c>
      <c r="G291" s="3" t="n"/>
      <c r="H291" s="3" t="n"/>
      <c r="I291" s="3" t="n">
        <v>2</v>
      </c>
      <c r="J291" s="4" t="n"/>
      <c r="K291" s="3" t="n">
        <v>2018</v>
      </c>
      <c r="L291" s="5" t="n"/>
      <c r="M291" s="5" t="n">
        <v>2500000</v>
      </c>
      <c r="N291" s="3" t="n"/>
      <c r="O291" s="3" t="n">
        <v>4</v>
      </c>
      <c r="P291" s="5" t="n">
        <v>2500000</v>
      </c>
      <c r="Q291" s="5" t="n">
        <v>0</v>
      </c>
      <c r="R291" s="3" t="inlineStr"/>
      <c r="S291" s="3" t="inlineStr">
        <is>
          <t>Aktif</t>
        </is>
      </c>
      <c r="T291" s="3" t="n"/>
      <c r="U291" s="3" t="inlineStr">
        <is>
          <t>LIST ASSET YPIK 2025(1).xlsx | Inv. SDIA</t>
        </is>
      </c>
    </row>
    <row r="292">
      <c r="A292" s="3" t="n">
        <v>289</v>
      </c>
      <c r="B292" s="3" t="n"/>
      <c r="C292" s="3" t="inlineStr">
        <is>
          <t>SDIA 23 JATIKRAMAT</t>
        </is>
      </c>
      <c r="D292" s="3" t="n"/>
      <c r="E292" s="3" t="inlineStr">
        <is>
          <t>Meja Murid</t>
        </is>
      </c>
      <c r="F292" s="3" t="inlineStr">
        <is>
          <t>Meja Murid</t>
        </is>
      </c>
      <c r="G292" s="3" t="n"/>
      <c r="H292" s="3" t="n"/>
      <c r="I292" s="3" t="n">
        <v>20</v>
      </c>
      <c r="J292" s="4" t="n"/>
      <c r="K292" s="3" t="n">
        <v>2018</v>
      </c>
      <c r="L292" s="5" t="n"/>
      <c r="M292" s="5" t="n">
        <v>5000000</v>
      </c>
      <c r="N292" s="3" t="n"/>
      <c r="O292" s="3" t="n">
        <v>4</v>
      </c>
      <c r="P292" s="5" t="n">
        <v>5000000</v>
      </c>
      <c r="Q292" s="5" t="n">
        <v>0</v>
      </c>
      <c r="R292" s="3" t="inlineStr"/>
      <c r="S292" s="3" t="inlineStr">
        <is>
          <t>Aktif</t>
        </is>
      </c>
      <c r="T292" s="3" t="n"/>
      <c r="U292" s="3" t="inlineStr">
        <is>
          <t>LIST ASSET YPIK 2025(1).xlsx | Inv. SDIA</t>
        </is>
      </c>
    </row>
    <row r="293">
      <c r="A293" s="3" t="n">
        <v>290</v>
      </c>
      <c r="B293" s="3" t="n"/>
      <c r="C293" s="3" t="inlineStr">
        <is>
          <t>SDIA 23 JATIKRAMAT</t>
        </is>
      </c>
      <c r="D293" s="3" t="n"/>
      <c r="E293" s="3" t="inlineStr">
        <is>
          <t>Kursi Murid</t>
        </is>
      </c>
      <c r="F293" s="3" t="inlineStr">
        <is>
          <t>Kursi Murid</t>
        </is>
      </c>
      <c r="G293" s="3" t="n"/>
      <c r="H293" s="3" t="n"/>
      <c r="I293" s="3" t="n">
        <v>20</v>
      </c>
      <c r="J293" s="4" t="n"/>
      <c r="K293" s="3" t="n">
        <v>2018</v>
      </c>
      <c r="L293" s="5" t="n"/>
      <c r="M293" s="5" t="n">
        <v>3000000</v>
      </c>
      <c r="N293" s="3" t="n"/>
      <c r="O293" s="3" t="n">
        <v>4</v>
      </c>
      <c r="P293" s="5" t="n">
        <v>3000000</v>
      </c>
      <c r="Q293" s="5" t="n">
        <v>0</v>
      </c>
      <c r="R293" s="3" t="inlineStr"/>
      <c r="S293" s="3" t="inlineStr">
        <is>
          <t>Aktif</t>
        </is>
      </c>
      <c r="T293" s="3" t="n"/>
      <c r="U293" s="3" t="inlineStr">
        <is>
          <t>LIST ASSET YPIK 2025(1).xlsx | Inv. SDIA</t>
        </is>
      </c>
    </row>
    <row r="294">
      <c r="A294" s="3" t="n">
        <v>291</v>
      </c>
      <c r="B294" s="3" t="n"/>
      <c r="C294" s="3" t="inlineStr">
        <is>
          <t>SDIA 23 JATIKRAMAT</t>
        </is>
      </c>
      <c r="D294" s="3" t="n"/>
      <c r="E294" s="3" t="inlineStr">
        <is>
          <t>Meja Murid</t>
        </is>
      </c>
      <c r="F294" s="3" t="inlineStr">
        <is>
          <t>Meja Murid</t>
        </is>
      </c>
      <c r="G294" s="3" t="n"/>
      <c r="H294" s="3" t="n"/>
      <c r="I294" s="3" t="n">
        <v>59</v>
      </c>
      <c r="J294" s="4" t="n"/>
      <c r="K294" s="3" t="n">
        <v>2018</v>
      </c>
      <c r="L294" s="5" t="n"/>
      <c r="M294" s="5" t="n">
        <v>8850000</v>
      </c>
      <c r="N294" s="3" t="n"/>
      <c r="O294" s="3" t="n">
        <v>4</v>
      </c>
      <c r="P294" s="5" t="n">
        <v>8850000</v>
      </c>
      <c r="Q294" s="5" t="n">
        <v>0</v>
      </c>
      <c r="R294" s="3" t="inlineStr"/>
      <c r="S294" s="3" t="inlineStr">
        <is>
          <t>Aktif</t>
        </is>
      </c>
      <c r="T294" s="3" t="n"/>
      <c r="U294" s="3" t="inlineStr">
        <is>
          <t>LIST ASSET YPIK 2025(1).xlsx | Inv. SDIA</t>
        </is>
      </c>
    </row>
    <row r="295">
      <c r="A295" s="3" t="n">
        <v>292</v>
      </c>
      <c r="B295" s="3" t="n"/>
      <c r="C295" s="3" t="inlineStr">
        <is>
          <t>SDIA 23 JATIKRAMAT</t>
        </is>
      </c>
      <c r="D295" s="3" t="n"/>
      <c r="E295" s="3" t="inlineStr">
        <is>
          <t>Kursi Murid</t>
        </is>
      </c>
      <c r="F295" s="3" t="inlineStr">
        <is>
          <t>Kursi Murid</t>
        </is>
      </c>
      <c r="G295" s="3" t="n"/>
      <c r="H295" s="3" t="n"/>
      <c r="I295" s="3" t="n">
        <v>27</v>
      </c>
      <c r="J295" s="4" t="n"/>
      <c r="K295" s="3" t="n">
        <v>2018</v>
      </c>
      <c r="L295" s="5" t="n"/>
      <c r="M295" s="5" t="n">
        <v>4050000</v>
      </c>
      <c r="N295" s="3" t="n"/>
      <c r="O295" s="3" t="n">
        <v>4</v>
      </c>
      <c r="P295" s="5" t="n">
        <v>4050000</v>
      </c>
      <c r="Q295" s="5" t="n">
        <v>0</v>
      </c>
      <c r="R295" s="3" t="inlineStr"/>
      <c r="S295" s="3" t="inlineStr">
        <is>
          <t>Aktif</t>
        </is>
      </c>
      <c r="T295" s="3" t="n"/>
      <c r="U295" s="3" t="inlineStr">
        <is>
          <t>LIST ASSET YPIK 2025(1).xlsx | Inv. SDIA</t>
        </is>
      </c>
    </row>
    <row r="296">
      <c r="A296" s="3" t="n">
        <v>293</v>
      </c>
      <c r="B296" s="3" t="n"/>
      <c r="C296" s="3" t="inlineStr">
        <is>
          <t>SDIA 23 JATIKRAMAT</t>
        </is>
      </c>
      <c r="D296" s="3" t="n"/>
      <c r="E296" s="3" t="inlineStr">
        <is>
          <t>PSB Inventaris</t>
        </is>
      </c>
      <c r="F296" s="3" t="inlineStr">
        <is>
          <t>PSB Inventaris</t>
        </is>
      </c>
      <c r="G296" s="3" t="n"/>
      <c r="H296" s="3" t="n"/>
      <c r="I296" s="3" t="inlineStr">
        <is>
          <t>1 Set</t>
        </is>
      </c>
      <c r="J296" s="4" t="n"/>
      <c r="K296" s="3" t="n">
        <v>2019</v>
      </c>
      <c r="L296" s="5" t="n"/>
      <c r="M296" s="5" t="n">
        <v>7000000</v>
      </c>
      <c r="N296" s="3" t="n"/>
      <c r="O296" s="3" t="n">
        <v>4</v>
      </c>
      <c r="P296" s="5" t="n">
        <v>7000000</v>
      </c>
      <c r="Q296" s="5" t="n">
        <v>0</v>
      </c>
      <c r="R296" s="3" t="inlineStr"/>
      <c r="S296" s="3" t="inlineStr">
        <is>
          <t>Aktif</t>
        </is>
      </c>
      <c r="T296" s="3" t="n"/>
      <c r="U296" s="3" t="inlineStr">
        <is>
          <t>LIST ASSET YPIK 2025(1).xlsx | Inv. SDIA</t>
        </is>
      </c>
    </row>
    <row r="297">
      <c r="A297" s="3" t="n">
        <v>294</v>
      </c>
      <c r="B297" s="3" t="n"/>
      <c r="C297" s="3" t="inlineStr">
        <is>
          <t>SDIA 23 JATIKRAMAT</t>
        </is>
      </c>
      <c r="D297" s="3" t="n"/>
      <c r="E297" s="3" t="inlineStr">
        <is>
          <t>Pompa Air</t>
        </is>
      </c>
      <c r="F297" s="3" t="inlineStr">
        <is>
          <t>Pompa Air</t>
        </is>
      </c>
      <c r="G297" s="3" t="n"/>
      <c r="H297" s="3" t="n"/>
      <c r="I297" s="3" t="inlineStr">
        <is>
          <t>1 Unit</t>
        </is>
      </c>
      <c r="J297" s="4" t="n"/>
      <c r="K297" s="3" t="n">
        <v>2019</v>
      </c>
      <c r="L297" s="5" t="n"/>
      <c r="M297" s="5" t="n">
        <v>5000000</v>
      </c>
      <c r="N297" s="3" t="n"/>
      <c r="O297" s="3" t="n">
        <v>4</v>
      </c>
      <c r="P297" s="5" t="n">
        <v>5000000</v>
      </c>
      <c r="Q297" s="5" t="n">
        <v>0</v>
      </c>
      <c r="R297" s="3" t="inlineStr"/>
      <c r="S297" s="3" t="inlineStr">
        <is>
          <t>Aktif</t>
        </is>
      </c>
      <c r="T297" s="3" t="n"/>
      <c r="U297" s="3" t="inlineStr">
        <is>
          <t>LIST ASSET YPIK 2025(1).xlsx | Inv. SDIA</t>
        </is>
      </c>
    </row>
    <row r="298">
      <c r="A298" s="3" t="n">
        <v>295</v>
      </c>
      <c r="B298" s="3" t="n"/>
      <c r="C298" s="3" t="inlineStr">
        <is>
          <t>SDIA 23 JATIKRAMAT</t>
        </is>
      </c>
      <c r="D298" s="3" t="n"/>
      <c r="E298" s="3" t="inlineStr">
        <is>
          <t>Meja dan Kursi untuk Kelas I</t>
        </is>
      </c>
      <c r="F298" s="3" t="inlineStr">
        <is>
          <t>Meja dan Kursi untuk Kelas I</t>
        </is>
      </c>
      <c r="G298" s="3" t="n"/>
      <c r="H298" s="3" t="n"/>
      <c r="I298" s="3" t="inlineStr">
        <is>
          <t>40 Set</t>
        </is>
      </c>
      <c r="J298" s="4" t="n"/>
      <c r="K298" s="3" t="n">
        <v>2019</v>
      </c>
      <c r="L298" s="5" t="n"/>
      <c r="M298" s="5" t="n">
        <v>26400000</v>
      </c>
      <c r="N298" s="3" t="n"/>
      <c r="O298" s="3" t="n">
        <v>4</v>
      </c>
      <c r="P298" s="5" t="n">
        <v>26400000</v>
      </c>
      <c r="Q298" s="5" t="n">
        <v>0</v>
      </c>
      <c r="R298" s="3" t="inlineStr"/>
      <c r="S298" s="3" t="inlineStr">
        <is>
          <t>Aktif</t>
        </is>
      </c>
      <c r="T298" s="3" t="n"/>
      <c r="U298" s="3" t="inlineStr">
        <is>
          <t>LIST ASSET YPIK 2025(1).xlsx | Inv. SDIA</t>
        </is>
      </c>
    </row>
    <row r="299">
      <c r="A299" s="3" t="n">
        <v>296</v>
      </c>
      <c r="B299" s="3" t="n"/>
      <c r="C299" s="3" t="inlineStr">
        <is>
          <t>SDIA 23 JATIKRAMAT</t>
        </is>
      </c>
      <c r="D299" s="3" t="n"/>
      <c r="E299" s="3" t="inlineStr">
        <is>
          <t>White Board</t>
        </is>
      </c>
      <c r="F299" s="3" t="inlineStr">
        <is>
          <t>White Board</t>
        </is>
      </c>
      <c r="G299" s="3" t="n"/>
      <c r="H299" s="3" t="n"/>
      <c r="I299" s="3" t="inlineStr">
        <is>
          <t>2 Unit</t>
        </is>
      </c>
      <c r="J299" s="4" t="n"/>
      <c r="K299" s="3" t="n">
        <v>2019</v>
      </c>
      <c r="L299" s="5" t="n"/>
      <c r="M299" s="5" t="n">
        <v>1700000</v>
      </c>
      <c r="N299" s="3" t="n"/>
      <c r="O299" s="3" t="n">
        <v>4</v>
      </c>
      <c r="P299" s="5" t="n">
        <v>1700000</v>
      </c>
      <c r="Q299" s="5" t="n">
        <v>0</v>
      </c>
      <c r="R299" s="3" t="inlineStr"/>
      <c r="S299" s="3" t="inlineStr">
        <is>
          <t>Aktif</t>
        </is>
      </c>
      <c r="T299" s="3" t="n"/>
      <c r="U299" s="3" t="inlineStr">
        <is>
          <t>LIST ASSET YPIK 2025(1).xlsx | Inv. SDIA</t>
        </is>
      </c>
    </row>
    <row r="300">
      <c r="A300" s="3" t="n">
        <v>297</v>
      </c>
      <c r="B300" s="3" t="n"/>
      <c r="C300" s="3" t="inlineStr">
        <is>
          <t>SDIA 23 JATIKRAMAT</t>
        </is>
      </c>
      <c r="D300" s="3" t="n"/>
      <c r="E300" s="3" t="inlineStr">
        <is>
          <t>Internet Instalasi</t>
        </is>
      </c>
      <c r="F300" s="3" t="inlineStr">
        <is>
          <t>Internet Instalasi</t>
        </is>
      </c>
      <c r="G300" s="3" t="n"/>
      <c r="H300" s="3" t="n"/>
      <c r="I300" s="3" t="inlineStr">
        <is>
          <t>6 ttk</t>
        </is>
      </c>
      <c r="J300" s="4" t="n"/>
      <c r="K300" s="3" t="n">
        <v>2020</v>
      </c>
      <c r="L300" s="5" t="n"/>
      <c r="M300" s="5" t="n">
        <v>8836000</v>
      </c>
      <c r="N300" s="3" t="n"/>
      <c r="O300" s="3" t="n">
        <v>4</v>
      </c>
      <c r="P300" s="5" t="n">
        <v>8836000</v>
      </c>
      <c r="Q300" s="5" t="n">
        <v>0</v>
      </c>
      <c r="R300" s="3" t="inlineStr"/>
      <c r="S300" s="3" t="inlineStr">
        <is>
          <t>Aktif</t>
        </is>
      </c>
      <c r="T300" s="3" t="n"/>
      <c r="U300" s="3" t="inlineStr">
        <is>
          <t>LIST ASSET YPIK 2025(1).xlsx | Inv. SDIA</t>
        </is>
      </c>
    </row>
    <row r="301">
      <c r="A301" s="3" t="n">
        <v>298</v>
      </c>
      <c r="B301" s="3" t="n"/>
      <c r="C301" s="3" t="inlineStr">
        <is>
          <t>SDIA 23 JATIKRAMAT</t>
        </is>
      </c>
      <c r="D301" s="3" t="n"/>
      <c r="E301" s="3" t="inlineStr">
        <is>
          <t>Kursi Putar TU &amp; Waka.SDIA</t>
        </is>
      </c>
      <c r="F301" s="3" t="inlineStr">
        <is>
          <t>Kursi Putar TU &amp; Waka.SDIA</t>
        </is>
      </c>
      <c r="G301" s="3" t="n"/>
      <c r="H301" s="3" t="n"/>
      <c r="I301" s="3" t="inlineStr">
        <is>
          <t>2 Unit</t>
        </is>
      </c>
      <c r="J301" s="4" t="n"/>
      <c r="K301" s="3" t="n">
        <v>2020</v>
      </c>
      <c r="L301" s="5" t="n"/>
      <c r="M301" s="5" t="n">
        <v>3000000</v>
      </c>
      <c r="N301" s="3" t="n"/>
      <c r="O301" s="3" t="n">
        <v>4</v>
      </c>
      <c r="P301" s="5" t="n">
        <v>3000000</v>
      </c>
      <c r="Q301" s="5" t="n">
        <v>0</v>
      </c>
      <c r="R301" s="3" t="inlineStr"/>
      <c r="S301" s="3" t="inlineStr">
        <is>
          <t>Aktif</t>
        </is>
      </c>
      <c r="T301" s="3" t="n"/>
      <c r="U301" s="3" t="inlineStr">
        <is>
          <t>LIST ASSET YPIK 2025(1).xlsx | Inv. SDIA</t>
        </is>
      </c>
    </row>
    <row r="302">
      <c r="A302" s="3" t="n">
        <v>299</v>
      </c>
      <c r="B302" s="3" t="n"/>
      <c r="C302" s="3" t="inlineStr">
        <is>
          <t>SDIA 23 JATIKRAMAT</t>
        </is>
      </c>
      <c r="D302" s="3" t="n"/>
      <c r="E302" s="3" t="inlineStr">
        <is>
          <t>Kerangka Besi Pot Bunga</t>
        </is>
      </c>
      <c r="F302" s="3" t="inlineStr">
        <is>
          <t>Kerangka Besi Pot Bunga</t>
        </is>
      </c>
      <c r="G302" s="3" t="n"/>
      <c r="H302" s="3" t="n"/>
      <c r="I302" s="3" t="inlineStr">
        <is>
          <t>1 Unit</t>
        </is>
      </c>
      <c r="J302" s="4" t="n"/>
      <c r="K302" s="3" t="n">
        <v>2020</v>
      </c>
      <c r="L302" s="5" t="n"/>
      <c r="M302" s="5" t="n">
        <v>800000</v>
      </c>
      <c r="N302" s="3" t="n"/>
      <c r="O302" s="3" t="n">
        <v>4</v>
      </c>
      <c r="P302" s="5" t="n">
        <v>800000</v>
      </c>
      <c r="Q302" s="5" t="n">
        <v>0</v>
      </c>
      <c r="R302" s="3" t="inlineStr"/>
      <c r="S302" s="3" t="inlineStr">
        <is>
          <t>Aktif</t>
        </is>
      </c>
      <c r="T302" s="3" t="n"/>
      <c r="U302" s="3" t="inlineStr">
        <is>
          <t>LIST ASSET YPIK 2025(1).xlsx | Inv. SDIA</t>
        </is>
      </c>
    </row>
    <row r="303">
      <c r="A303" s="3" t="n">
        <v>300</v>
      </c>
      <c r="B303" s="3" t="n"/>
      <c r="C303" s="3" t="inlineStr">
        <is>
          <t>SDIA 23 JATIKRAMAT</t>
        </is>
      </c>
      <c r="D303" s="3" t="n"/>
      <c r="E303" s="3" t="inlineStr">
        <is>
          <t>Kerangka Besi Pot Bunga</t>
        </is>
      </c>
      <c r="F303" s="3" t="inlineStr">
        <is>
          <t>Kerangka Besi Pot Bunga</t>
        </is>
      </c>
      <c r="G303" s="3" t="n"/>
      <c r="H303" s="3" t="n"/>
      <c r="I303" s="3" t="inlineStr">
        <is>
          <t>1 Unit</t>
        </is>
      </c>
      <c r="J303" s="4" t="n"/>
      <c r="K303" s="3" t="n">
        <v>2020</v>
      </c>
      <c r="L303" s="5" t="n"/>
      <c r="M303" s="5" t="n">
        <v>1308000</v>
      </c>
      <c r="N303" s="3" t="n"/>
      <c r="O303" s="3" t="n">
        <v>4</v>
      </c>
      <c r="P303" s="5" t="n">
        <v>1308000</v>
      </c>
      <c r="Q303" s="5" t="n">
        <v>0</v>
      </c>
      <c r="R303" s="3" t="inlineStr"/>
      <c r="S303" s="3" t="inlineStr">
        <is>
          <t>Aktif</t>
        </is>
      </c>
      <c r="T303" s="3" t="n"/>
      <c r="U303" s="3" t="inlineStr">
        <is>
          <t>LIST ASSET YPIK 2025(1).xlsx | Inv. SDIA</t>
        </is>
      </c>
    </row>
    <row r="304">
      <c r="A304" s="3" t="n">
        <v>301</v>
      </c>
      <c r="B304" s="3" t="n"/>
      <c r="C304" s="3" t="inlineStr">
        <is>
          <t>SDIA 23 JATIKRAMAT</t>
        </is>
      </c>
      <c r="D304" s="3" t="n"/>
      <c r="E304" s="3" t="inlineStr">
        <is>
          <t>Kerangka Besi Pot Bunga</t>
        </is>
      </c>
      <c r="F304" s="3" t="inlineStr">
        <is>
          <t>Kerangka Besi Pot Bunga</t>
        </is>
      </c>
      <c r="G304" s="3" t="n"/>
      <c r="H304" s="3" t="n"/>
      <c r="I304" s="3" t="inlineStr">
        <is>
          <t>2 Unit</t>
        </is>
      </c>
      <c r="J304" s="4" t="n"/>
      <c r="K304" s="3" t="n">
        <v>2020</v>
      </c>
      <c r="L304" s="5" t="n"/>
      <c r="M304" s="5" t="n">
        <v>5500000</v>
      </c>
      <c r="N304" s="3" t="n"/>
      <c r="O304" s="3" t="n">
        <v>4</v>
      </c>
      <c r="P304" s="5" t="n">
        <v>5500000</v>
      </c>
      <c r="Q304" s="5" t="n">
        <v>0</v>
      </c>
      <c r="R304" s="3" t="inlineStr"/>
      <c r="S304" s="3" t="inlineStr">
        <is>
          <t>Aktif</t>
        </is>
      </c>
      <c r="T304" s="3" t="n"/>
      <c r="U304" s="3" t="inlineStr">
        <is>
          <t>LIST ASSET YPIK 2025(1).xlsx | Inv. SDIA</t>
        </is>
      </c>
    </row>
    <row r="305">
      <c r="A305" s="3" t="n">
        <v>302</v>
      </c>
      <c r="B305" s="3" t="n"/>
      <c r="C305" s="3" t="inlineStr">
        <is>
          <t>SDIA 23 JATIKRAMAT</t>
        </is>
      </c>
      <c r="D305" s="3" t="n"/>
      <c r="E305" s="3" t="inlineStr">
        <is>
          <t>Wastafel</t>
        </is>
      </c>
      <c r="F305" s="3" t="inlineStr">
        <is>
          <t>Wastafel</t>
        </is>
      </c>
      <c r="G305" s="3" t="n"/>
      <c r="H305" s="3" t="n"/>
      <c r="I305" s="3" t="inlineStr">
        <is>
          <t>1 Unit</t>
        </is>
      </c>
      <c r="J305" s="4" t="n"/>
      <c r="K305" s="3" t="n">
        <v>2020</v>
      </c>
      <c r="L305" s="5" t="n"/>
      <c r="M305" s="5" t="n">
        <v>490000</v>
      </c>
      <c r="N305" s="3" t="n"/>
      <c r="O305" s="3" t="n">
        <v>4</v>
      </c>
      <c r="P305" s="5" t="n">
        <v>490000</v>
      </c>
      <c r="Q305" s="5" t="n">
        <v>0</v>
      </c>
      <c r="R305" s="3" t="inlineStr"/>
      <c r="S305" s="3" t="inlineStr">
        <is>
          <t>Aktif</t>
        </is>
      </c>
      <c r="T305" s="3" t="n"/>
      <c r="U305" s="3" t="inlineStr">
        <is>
          <t>LIST ASSET YPIK 2025(1).xlsx | Inv. SDIA</t>
        </is>
      </c>
    </row>
    <row r="306">
      <c r="A306" s="3" t="n">
        <v>303</v>
      </c>
      <c r="B306" s="3" t="n"/>
      <c r="C306" s="3" t="inlineStr">
        <is>
          <t>SDIA 23 JATIKRAMAT</t>
        </is>
      </c>
      <c r="D306" s="3" t="n"/>
      <c r="E306" s="3" t="inlineStr">
        <is>
          <t>Washtafel</t>
        </is>
      </c>
      <c r="F306" s="3" t="inlineStr">
        <is>
          <t>Washtafel</t>
        </is>
      </c>
      <c r="G306" s="3" t="n"/>
      <c r="H306" s="3" t="n"/>
      <c r="I306" s="3" t="inlineStr">
        <is>
          <t>4 Unit</t>
        </is>
      </c>
      <c r="J306" s="4" t="n"/>
      <c r="K306" s="3" t="n">
        <v>2020</v>
      </c>
      <c r="L306" s="5" t="n"/>
      <c r="M306" s="5" t="n">
        <v>2000000</v>
      </c>
      <c r="N306" s="3" t="n"/>
      <c r="O306" s="3" t="n">
        <v>4</v>
      </c>
      <c r="P306" s="5" t="n">
        <v>2000000</v>
      </c>
      <c r="Q306" s="5" t="n">
        <v>0</v>
      </c>
      <c r="R306" s="3" t="inlineStr"/>
      <c r="S306" s="3" t="inlineStr">
        <is>
          <t>Aktif</t>
        </is>
      </c>
      <c r="T306" s="3" t="n"/>
      <c r="U306" s="3" t="inlineStr">
        <is>
          <t>LIST ASSET YPIK 2025(1).xlsx | Inv. SDIA</t>
        </is>
      </c>
    </row>
    <row r="307">
      <c r="A307" s="3" t="n">
        <v>304</v>
      </c>
      <c r="B307" s="3" t="n"/>
      <c r="C307" s="3" t="inlineStr">
        <is>
          <t>SDIA 23 JATIKRAMAT</t>
        </is>
      </c>
      <c r="D307" s="3" t="n"/>
      <c r="E307" s="3" t="inlineStr">
        <is>
          <t>Washtafel</t>
        </is>
      </c>
      <c r="F307" s="3" t="inlineStr">
        <is>
          <t>Washtafel</t>
        </is>
      </c>
      <c r="G307" s="3" t="n"/>
      <c r="H307" s="3" t="n"/>
      <c r="I307" s="3" t="inlineStr">
        <is>
          <t>4 Unit</t>
        </is>
      </c>
      <c r="J307" s="4" t="n"/>
      <c r="K307" s="3" t="n">
        <v>2020</v>
      </c>
      <c r="L307" s="5" t="n"/>
      <c r="M307" s="5" t="n">
        <v>1900000</v>
      </c>
      <c r="N307" s="3" t="n"/>
      <c r="O307" s="3" t="n">
        <v>4</v>
      </c>
      <c r="P307" s="5" t="n">
        <v>1900000</v>
      </c>
      <c r="Q307" s="5" t="n">
        <v>0</v>
      </c>
      <c r="R307" s="3" t="inlineStr"/>
      <c r="S307" s="3" t="inlineStr">
        <is>
          <t>Aktif</t>
        </is>
      </c>
      <c r="T307" s="3" t="n"/>
      <c r="U307" s="3" t="inlineStr">
        <is>
          <t>LIST ASSET YPIK 2025(1).xlsx | Inv. SDIA</t>
        </is>
      </c>
    </row>
    <row r="308">
      <c r="A308" s="3" t="n">
        <v>305</v>
      </c>
      <c r="B308" s="3" t="n"/>
      <c r="C308" s="3" t="inlineStr">
        <is>
          <t>SDIA 23 JATIKRAMAT</t>
        </is>
      </c>
      <c r="D308" s="3" t="n"/>
      <c r="E308" s="3" t="inlineStr">
        <is>
          <t>Pot Bunga</t>
        </is>
      </c>
      <c r="F308" s="3" t="inlineStr">
        <is>
          <t>Pot Bunga</t>
        </is>
      </c>
      <c r="G308" s="3" t="n"/>
      <c r="H308" s="3" t="n"/>
      <c r="I308" s="3" t="inlineStr">
        <is>
          <t>30 Pcs</t>
        </is>
      </c>
      <c r="J308" s="4" t="n"/>
      <c r="K308" s="3" t="n">
        <v>2020</v>
      </c>
      <c r="L308" s="5" t="n"/>
      <c r="M308" s="5" t="n">
        <v>750000</v>
      </c>
      <c r="N308" s="3" t="n"/>
      <c r="O308" s="3" t="n">
        <v>4</v>
      </c>
      <c r="P308" s="5" t="n">
        <v>750000</v>
      </c>
      <c r="Q308" s="5" t="n">
        <v>0</v>
      </c>
      <c r="R308" s="3" t="inlineStr"/>
      <c r="S308" s="3" t="inlineStr">
        <is>
          <t>Aktif</t>
        </is>
      </c>
      <c r="T308" s="3" t="n"/>
      <c r="U308" s="3" t="inlineStr">
        <is>
          <t>LIST ASSET YPIK 2025(1).xlsx | Inv. SDIA</t>
        </is>
      </c>
    </row>
    <row r="309">
      <c r="A309" s="3" t="n">
        <v>306</v>
      </c>
      <c r="B309" s="3" t="n"/>
      <c r="C309" s="3" t="inlineStr">
        <is>
          <t>SDIA 23 JATIKRAMAT</t>
        </is>
      </c>
      <c r="D309" s="3" t="n"/>
      <c r="E309" s="3" t="inlineStr">
        <is>
          <t>Washtafel</t>
        </is>
      </c>
      <c r="F309" s="3" t="inlineStr">
        <is>
          <t>Washtafel</t>
        </is>
      </c>
      <c r="G309" s="3" t="n"/>
      <c r="H309" s="3" t="n"/>
      <c r="I309" s="3" t="inlineStr">
        <is>
          <t>3 Unit</t>
        </is>
      </c>
      <c r="J309" s="4" t="n"/>
      <c r="K309" s="3" t="n">
        <v>2020</v>
      </c>
      <c r="L309" s="5" t="n"/>
      <c r="M309" s="5" t="n">
        <v>1500000</v>
      </c>
      <c r="N309" s="3" t="n"/>
      <c r="O309" s="3" t="n">
        <v>4</v>
      </c>
      <c r="P309" s="5" t="n">
        <v>1500000</v>
      </c>
      <c r="Q309" s="5" t="n">
        <v>0</v>
      </c>
      <c r="R309" s="3" t="inlineStr"/>
      <c r="S309" s="3" t="inlineStr">
        <is>
          <t>Aktif</t>
        </is>
      </c>
      <c r="T309" s="3" t="n"/>
      <c r="U309" s="3" t="inlineStr">
        <is>
          <t>LIST ASSET YPIK 2025(1).xlsx | Inv. SDIA</t>
        </is>
      </c>
    </row>
    <row r="310">
      <c r="A310" s="3" t="n">
        <v>307</v>
      </c>
      <c r="B310" s="3" t="n"/>
      <c r="C310" s="3" t="inlineStr">
        <is>
          <t>SDIA 23 JATIKRAMAT</t>
        </is>
      </c>
      <c r="D310" s="3" t="n"/>
      <c r="E310" s="3" t="inlineStr">
        <is>
          <t>Kerangka Besi Pot Bunga</t>
        </is>
      </c>
      <c r="F310" s="3" t="inlineStr">
        <is>
          <t>Kerangka Besi Pot Bunga</t>
        </is>
      </c>
      <c r="G310" s="3" t="n"/>
      <c r="H310" s="3" t="n"/>
      <c r="I310" s="3" t="inlineStr">
        <is>
          <t>1 Unit</t>
        </is>
      </c>
      <c r="J310" s="4" t="n"/>
      <c r="K310" s="3" t="n">
        <v>2020</v>
      </c>
      <c r="L310" s="5" t="n"/>
      <c r="M310" s="5" t="n">
        <v>500000</v>
      </c>
      <c r="N310" s="3" t="n"/>
      <c r="O310" s="3" t="n">
        <v>4</v>
      </c>
      <c r="P310" s="5" t="n">
        <v>500000</v>
      </c>
      <c r="Q310" s="5" t="n">
        <v>0</v>
      </c>
      <c r="R310" s="3" t="inlineStr"/>
      <c r="S310" s="3" t="inlineStr">
        <is>
          <t>Aktif</t>
        </is>
      </c>
      <c r="T310" s="3" t="n"/>
      <c r="U310" s="3" t="inlineStr">
        <is>
          <t>LIST ASSET YPIK 2025(1).xlsx | Inv. SDIA</t>
        </is>
      </c>
    </row>
    <row r="311">
      <c r="A311" s="3" t="n">
        <v>308</v>
      </c>
      <c r="B311" s="3" t="n"/>
      <c r="C311" s="3" t="inlineStr">
        <is>
          <t>SDIA 23 JATIKRAMAT</t>
        </is>
      </c>
      <c r="D311" s="3" t="n"/>
      <c r="E311" s="3" t="inlineStr">
        <is>
          <t>Kerangka Besi Pot Bunga</t>
        </is>
      </c>
      <c r="F311" s="3" t="inlineStr">
        <is>
          <t>Kerangka Besi Pot Bunga</t>
        </is>
      </c>
      <c r="G311" s="3" t="n"/>
      <c r="H311" s="3" t="n"/>
      <c r="I311" s="3" t="inlineStr">
        <is>
          <t>4 Unit</t>
        </is>
      </c>
      <c r="J311" s="4" t="n"/>
      <c r="K311" s="3" t="n">
        <v>2020</v>
      </c>
      <c r="L311" s="5" t="n"/>
      <c r="M311" s="5" t="n">
        <v>5775000</v>
      </c>
      <c r="N311" s="3" t="n"/>
      <c r="O311" s="3" t="n">
        <v>4</v>
      </c>
      <c r="P311" s="5" t="n">
        <v>5775000</v>
      </c>
      <c r="Q311" s="5" t="n">
        <v>0</v>
      </c>
      <c r="R311" s="3" t="inlineStr"/>
      <c r="S311" s="3" t="inlineStr">
        <is>
          <t>Aktif</t>
        </is>
      </c>
      <c r="T311" s="3" t="n"/>
      <c r="U311" s="3" t="inlineStr">
        <is>
          <t>LIST ASSET YPIK 2025(1).xlsx | Inv. SDIA</t>
        </is>
      </c>
    </row>
    <row r="312">
      <c r="A312" s="3" t="n">
        <v>309</v>
      </c>
      <c r="B312" s="3" t="n"/>
      <c r="C312" s="3" t="inlineStr">
        <is>
          <t>SDIA 23 JATIKRAMAT</t>
        </is>
      </c>
      <c r="D312" s="3" t="n"/>
      <c r="E312" s="3" t="inlineStr">
        <is>
          <t>Kerangka Besi Pot Bunga</t>
        </is>
      </c>
      <c r="F312" s="3" t="inlineStr">
        <is>
          <t>Kerangka Besi Pot Bunga</t>
        </is>
      </c>
      <c r="G312" s="3" t="n"/>
      <c r="H312" s="3" t="n"/>
      <c r="I312" s="3" t="inlineStr">
        <is>
          <t>8 Unit</t>
        </is>
      </c>
      <c r="J312" s="4" t="n"/>
      <c r="K312" s="3" t="n">
        <v>2020</v>
      </c>
      <c r="L312" s="5" t="n"/>
      <c r="M312" s="5" t="n">
        <v>11563533</v>
      </c>
      <c r="N312" s="3" t="n"/>
      <c r="O312" s="3" t="n">
        <v>4</v>
      </c>
      <c r="P312" s="5" t="n">
        <v>11563533</v>
      </c>
      <c r="Q312" s="5" t="n">
        <v>0</v>
      </c>
      <c r="R312" s="3" t="inlineStr"/>
      <c r="S312" s="3" t="inlineStr">
        <is>
          <t>Aktif</t>
        </is>
      </c>
      <c r="T312" s="3" t="n"/>
      <c r="U312" s="3" t="inlineStr">
        <is>
          <t>LIST ASSET YPIK 2025(1).xlsx | Inv. SDIA</t>
        </is>
      </c>
    </row>
    <row r="313">
      <c r="A313" s="3" t="n">
        <v>310</v>
      </c>
      <c r="B313" s="3" t="n"/>
      <c r="C313" s="3" t="inlineStr">
        <is>
          <t>SDIA 23 JATIKRAMAT</t>
        </is>
      </c>
      <c r="D313" s="3" t="n"/>
      <c r="E313" s="3" t="inlineStr">
        <is>
          <t>Display Kelas SDIA TP 202/2021</t>
        </is>
      </c>
      <c r="F313" s="3" t="inlineStr">
        <is>
          <t>Display Kelas SDIA TP 202/2021</t>
        </is>
      </c>
      <c r="G313" s="3" t="n"/>
      <c r="H313" s="3" t="n"/>
      <c r="I313" s="3" t="inlineStr">
        <is>
          <t>14 Unit</t>
        </is>
      </c>
      <c r="J313" s="4" t="n"/>
      <c r="K313" s="3" t="n">
        <v>2021</v>
      </c>
      <c r="L313" s="5" t="n"/>
      <c r="M313" s="5" t="n">
        <v>3750000</v>
      </c>
      <c r="N313" s="3" t="n"/>
      <c r="O313" s="3" t="n">
        <v>4</v>
      </c>
      <c r="P313" s="5" t="n">
        <v>3687500</v>
      </c>
      <c r="Q313" s="5" t="n">
        <v>62500</v>
      </c>
      <c r="R313" s="3" t="inlineStr"/>
      <c r="S313" s="3" t="inlineStr">
        <is>
          <t>Aktif</t>
        </is>
      </c>
      <c r="T313" s="3" t="n"/>
      <c r="U313" s="3" t="inlineStr">
        <is>
          <t>LIST ASSET YPIK 2025(1).xlsx | Inv. SDIA</t>
        </is>
      </c>
    </row>
    <row r="314">
      <c r="A314" s="3" t="n">
        <v>311</v>
      </c>
      <c r="B314" s="3" t="n"/>
      <c r="C314" s="3" t="inlineStr">
        <is>
          <t>SDIA 23 JATIKRAMAT</t>
        </is>
      </c>
      <c r="D314" s="3" t="n"/>
      <c r="E314" s="3" t="inlineStr">
        <is>
          <t>Pajangan Kelas SDIA</t>
        </is>
      </c>
      <c r="F314" s="3" t="inlineStr">
        <is>
          <t>Pajangan Kelas SDIA</t>
        </is>
      </c>
      <c r="G314" s="3" t="n"/>
      <c r="H314" s="3" t="n"/>
      <c r="I314" s="3" t="inlineStr">
        <is>
          <t>14 Unit</t>
        </is>
      </c>
      <c r="J314" s="4" t="n"/>
      <c r="K314" s="3" t="n">
        <v>2021</v>
      </c>
      <c r="L314" s="5" t="n"/>
      <c r="M314" s="5" t="n">
        <v>5600000</v>
      </c>
      <c r="N314" s="3" t="n"/>
      <c r="O314" s="3" t="n">
        <v>4</v>
      </c>
      <c r="P314" s="5" t="n">
        <v>5133333</v>
      </c>
      <c r="Q314" s="5" t="n">
        <v>466667</v>
      </c>
      <c r="R314" s="3" t="inlineStr"/>
      <c r="S314" s="3" t="inlineStr">
        <is>
          <t>Aktif</t>
        </is>
      </c>
      <c r="T314" s="3" t="n"/>
      <c r="U314" s="3" t="inlineStr">
        <is>
          <t>LIST ASSET YPIK 2025(1).xlsx | Inv. SDIA</t>
        </is>
      </c>
    </row>
    <row r="315">
      <c r="A315" s="3" t="n">
        <v>312</v>
      </c>
      <c r="B315" s="3" t="n"/>
      <c r="C315" s="3" t="inlineStr">
        <is>
          <t>SDIA 23 JATIKRAMAT</t>
        </is>
      </c>
      <c r="D315" s="3" t="n"/>
      <c r="E315" s="3" t="inlineStr">
        <is>
          <t>Thermometer untuk SDIA</t>
        </is>
      </c>
      <c r="F315" s="3" t="inlineStr">
        <is>
          <t>Thermometer untuk SDIA</t>
        </is>
      </c>
      <c r="G315" s="3" t="n"/>
      <c r="H315" s="3" t="n"/>
      <c r="I315" s="3" t="inlineStr">
        <is>
          <t>1 Unit</t>
        </is>
      </c>
      <c r="J315" s="4" t="n"/>
      <c r="K315" s="3" t="n">
        <v>2021</v>
      </c>
      <c r="L315" s="5" t="n"/>
      <c r="M315" s="5" t="n">
        <v>947800</v>
      </c>
      <c r="N315" s="3" t="n"/>
      <c r="O315" s="3" t="n">
        <v>4</v>
      </c>
      <c r="P315" s="5" t="n">
        <v>853020</v>
      </c>
      <c r="Q315" s="5" t="n">
        <v>94780</v>
      </c>
      <c r="R315" s="3" t="inlineStr"/>
      <c r="S315" s="3" t="inlineStr">
        <is>
          <t>Aktif</t>
        </is>
      </c>
      <c r="T315" s="3" t="n"/>
      <c r="U315" s="3" t="inlineStr">
        <is>
          <t>LIST ASSET YPIK 2025(1).xlsx | Inv. SDIA</t>
        </is>
      </c>
    </row>
    <row r="316">
      <c r="A316" s="3" t="n">
        <v>313</v>
      </c>
      <c r="B316" s="3" t="n"/>
      <c r="C316" s="3" t="inlineStr">
        <is>
          <t>SDIA 23 JATIKRAMAT</t>
        </is>
      </c>
      <c r="D316" s="3" t="n"/>
      <c r="E316" s="3" t="inlineStr">
        <is>
          <t>Thermometer untuk SDIA</t>
        </is>
      </c>
      <c r="F316" s="3" t="inlineStr">
        <is>
          <t>Thermometer untuk SDIA</t>
        </is>
      </c>
      <c r="G316" s="3" t="n"/>
      <c r="H316" s="3" t="n"/>
      <c r="I316" s="3" t="inlineStr">
        <is>
          <t>1 Unit</t>
        </is>
      </c>
      <c r="J316" s="4" t="n"/>
      <c r="K316" s="3" t="n">
        <v>2021</v>
      </c>
      <c r="L316" s="5" t="n"/>
      <c r="M316" s="5" t="n">
        <v>1114000</v>
      </c>
      <c r="N316" s="3" t="n"/>
      <c r="O316" s="3" t="n">
        <v>4</v>
      </c>
      <c r="P316" s="5" t="n">
        <v>1002600</v>
      </c>
      <c r="Q316" s="5" t="n">
        <v>111400</v>
      </c>
      <c r="R316" s="3" t="inlineStr"/>
      <c r="S316" s="3" t="inlineStr">
        <is>
          <t>Aktif</t>
        </is>
      </c>
      <c r="T316" s="3" t="n"/>
      <c r="U316" s="3" t="inlineStr">
        <is>
          <t>LIST ASSET YPIK 2025(1).xlsx | Inv. SDIA</t>
        </is>
      </c>
    </row>
    <row r="317">
      <c r="A317" s="3" t="n">
        <v>314</v>
      </c>
      <c r="B317" s="3" t="n"/>
      <c r="C317" s="3" t="inlineStr">
        <is>
          <t>SDIA 23 JATIKRAMAT</t>
        </is>
      </c>
      <c r="D317" s="3" t="n"/>
      <c r="E317" s="3" t="inlineStr">
        <is>
          <t>Lemari Besi Guru SDIA</t>
        </is>
      </c>
      <c r="F317" s="3" t="inlineStr">
        <is>
          <t>Lemari Besi Guru SDIA</t>
        </is>
      </c>
      <c r="G317" s="3" t="n"/>
      <c r="H317" s="3" t="n"/>
      <c r="I317" s="3" t="inlineStr">
        <is>
          <t>4 Unit</t>
        </is>
      </c>
      <c r="J317" s="4" t="n"/>
      <c r="K317" s="3" t="n">
        <v>2021</v>
      </c>
      <c r="L317" s="5" t="n"/>
      <c r="M317" s="5" t="n">
        <v>9796000</v>
      </c>
      <c r="N317" s="3" t="n"/>
      <c r="O317" s="3" t="n">
        <v>4</v>
      </c>
      <c r="P317" s="5" t="n">
        <v>8326600</v>
      </c>
      <c r="Q317" s="5" t="n">
        <v>1469400</v>
      </c>
      <c r="R317" s="3" t="inlineStr"/>
      <c r="S317" s="3" t="inlineStr">
        <is>
          <t>Aktif</t>
        </is>
      </c>
      <c r="T317" s="3" t="n"/>
      <c r="U317" s="3" t="inlineStr">
        <is>
          <t>LIST ASSET YPIK 2025(1).xlsx | Inv. SDIA</t>
        </is>
      </c>
    </row>
    <row r="318">
      <c r="A318" s="3" t="n">
        <v>315</v>
      </c>
      <c r="B318" s="3" t="n"/>
      <c r="C318" s="3" t="inlineStr">
        <is>
          <t>SDIA 23 JATIKRAMAT</t>
        </is>
      </c>
      <c r="D318" s="3" t="n"/>
      <c r="E318" s="3" t="inlineStr">
        <is>
          <t>Alat Olahraga SDIA</t>
        </is>
      </c>
      <c r="F318" s="3" t="inlineStr">
        <is>
          <t>Alat Olahraga SDIA</t>
        </is>
      </c>
      <c r="G318" s="3" t="n"/>
      <c r="H318" s="3" t="n"/>
      <c r="I318" s="3" t="inlineStr">
        <is>
          <t>5 Bh</t>
        </is>
      </c>
      <c r="J318" s="4" t="n"/>
      <c r="K318" s="3" t="n">
        <v>2021</v>
      </c>
      <c r="L318" s="5" t="n"/>
      <c r="M318" s="5" t="n">
        <v>3000000</v>
      </c>
      <c r="N318" s="3" t="n"/>
      <c r="O318" s="3" t="n">
        <v>4</v>
      </c>
      <c r="P318" s="5" t="n">
        <v>2550000</v>
      </c>
      <c r="Q318" s="5" t="n">
        <v>450000</v>
      </c>
      <c r="R318" s="3" t="inlineStr"/>
      <c r="S318" s="3" t="inlineStr">
        <is>
          <t>Aktif</t>
        </is>
      </c>
      <c r="T318" s="3" t="n"/>
      <c r="U318" s="3" t="inlineStr">
        <is>
          <t>LIST ASSET YPIK 2025(1).xlsx | Inv. SDIA</t>
        </is>
      </c>
    </row>
    <row r="319">
      <c r="A319" s="3" t="n">
        <v>316</v>
      </c>
      <c r="B319" s="3" t="n"/>
      <c r="C319" s="3" t="inlineStr">
        <is>
          <t>SDIA 23 JATIKRAMAT</t>
        </is>
      </c>
      <c r="D319" s="3" t="n"/>
      <c r="E319" s="3" t="inlineStr">
        <is>
          <t>Pembelian Lemari Dapur 2 Pintu untuk SDIA</t>
        </is>
      </c>
      <c r="F319" s="3" t="inlineStr">
        <is>
          <t>Pembelian Lemari Dapur 2 Pintu untuk SDIA</t>
        </is>
      </c>
      <c r="G319" s="3" t="n"/>
      <c r="H319" s="3" t="n"/>
      <c r="I319" s="3" t="inlineStr">
        <is>
          <t>1 Unit</t>
        </is>
      </c>
      <c r="J319" s="4" t="n"/>
      <c r="K319" s="3" t="n">
        <v>2023</v>
      </c>
      <c r="L319" s="5" t="n"/>
      <c r="M319" s="5" t="n">
        <v>1600000</v>
      </c>
      <c r="N319" s="3" t="n"/>
      <c r="O319" s="3" t="n">
        <v>4</v>
      </c>
      <c r="P319" s="5" t="n">
        <v>826667</v>
      </c>
      <c r="Q319" s="5" t="n">
        <v>773333</v>
      </c>
      <c r="R319" s="3" t="inlineStr"/>
      <c r="S319" s="3" t="inlineStr">
        <is>
          <t>Aktif</t>
        </is>
      </c>
      <c r="T319" s="3" t="n"/>
      <c r="U319" s="3" t="inlineStr">
        <is>
          <t>LIST ASSET YPIK 2025(1).xlsx | Inv. SDIA</t>
        </is>
      </c>
    </row>
    <row r="320">
      <c r="A320" s="3" t="n">
        <v>317</v>
      </c>
      <c r="B320" s="3" t="n"/>
      <c r="C320" s="3" t="inlineStr">
        <is>
          <t>SDIA 23 JATIKRAMAT</t>
        </is>
      </c>
      <c r="D320" s="3" t="n"/>
      <c r="E320" s="3" t="inlineStr">
        <is>
          <t>Pembelian Kursi Tunggu Tata Usaha SDIA</t>
        </is>
      </c>
      <c r="F320" s="3" t="inlineStr">
        <is>
          <t>Pembelian Kursi Tunggu Tata Usaha SDIA</t>
        </is>
      </c>
      <c r="G320" s="3" t="n"/>
      <c r="H320" s="3" t="n"/>
      <c r="I320" s="3" t="inlineStr">
        <is>
          <t>2 Unit</t>
        </is>
      </c>
      <c r="J320" s="4" t="n"/>
      <c r="K320" s="3" t="n">
        <v>2023</v>
      </c>
      <c r="L320" s="5" t="n"/>
      <c r="M320" s="5" t="n">
        <v>2499000</v>
      </c>
      <c r="N320" s="3" t="n"/>
      <c r="O320" s="3" t="n">
        <v>4</v>
      </c>
      <c r="P320" s="5" t="n">
        <v>1249500</v>
      </c>
      <c r="Q320" s="5" t="n">
        <v>1249500</v>
      </c>
      <c r="R320" s="3" t="inlineStr"/>
      <c r="S320" s="3" t="inlineStr">
        <is>
          <t>Aktif</t>
        </is>
      </c>
      <c r="T320" s="3" t="n"/>
      <c r="U320" s="3" t="inlineStr">
        <is>
          <t>LIST ASSET YPIK 2025(1).xlsx | Inv. SDIA</t>
        </is>
      </c>
    </row>
    <row r="321">
      <c r="A321" s="3" t="n">
        <v>318</v>
      </c>
      <c r="B321" s="3" t="n"/>
      <c r="C321" s="3" t="inlineStr">
        <is>
          <t>SDIA 23 JATIKRAMAT</t>
        </is>
      </c>
      <c r="D321" s="3" t="n"/>
      <c r="E321" s="3" t="inlineStr">
        <is>
          <t>Pembelian Lemari Besi dengan 2 Pintu Besi Ayun untuk SDIA</t>
        </is>
      </c>
      <c r="F321" s="3" t="inlineStr">
        <is>
          <t>Pembelian Lemari Besi dengan 2 Pintu Besi Ayun untuk SDIA</t>
        </is>
      </c>
      <c r="G321" s="3" t="n"/>
      <c r="H321" s="3" t="n"/>
      <c r="I321" s="3" t="inlineStr">
        <is>
          <t>1 Unit</t>
        </is>
      </c>
      <c r="J321" s="4" t="n"/>
      <c r="K321" s="3" t="n">
        <v>2023</v>
      </c>
      <c r="L321" s="5" t="n"/>
      <c r="M321" s="5" t="n">
        <v>2650000</v>
      </c>
      <c r="N321" s="3" t="n"/>
      <c r="O321" s="3" t="n">
        <v>4</v>
      </c>
      <c r="P321" s="5" t="n">
        <v>1325000</v>
      </c>
      <c r="Q321" s="5" t="n">
        <v>1325000</v>
      </c>
      <c r="R321" s="3" t="inlineStr"/>
      <c r="S321" s="3" t="inlineStr">
        <is>
          <t>Aktif</t>
        </is>
      </c>
      <c r="T321" s="3" t="n"/>
      <c r="U321" s="3" t="inlineStr">
        <is>
          <t>LIST ASSET YPIK 2025(1).xlsx | Inv. SDIA</t>
        </is>
      </c>
    </row>
    <row r="322">
      <c r="A322" s="3" t="n">
        <v>319</v>
      </c>
      <c r="B322" s="3" t="n"/>
      <c r="C322" s="3" t="inlineStr">
        <is>
          <t>SDIA 23 JATIKRAMAT</t>
        </is>
      </c>
      <c r="D322" s="3" t="n"/>
      <c r="E322" s="3" t="inlineStr">
        <is>
          <t>Inventaris 2 Buah TC Layar Lebar 50 Inch dan Standing Bracket SDIA</t>
        </is>
      </c>
      <c r="F322" s="3" t="inlineStr">
        <is>
          <t>Inventaris 2 Buah TC Layar Lebar 50 Inch dan Standing Bracket SDIA</t>
        </is>
      </c>
      <c r="G322" s="3" t="n"/>
      <c r="H322" s="3" t="n"/>
      <c r="I322" s="3" t="inlineStr">
        <is>
          <t>2 Unit</t>
        </is>
      </c>
      <c r="J322" s="4" t="n"/>
      <c r="K322" s="3" t="n">
        <v>2023</v>
      </c>
      <c r="L322" s="5" t="n"/>
      <c r="M322" s="5" t="n">
        <v>11998000</v>
      </c>
      <c r="N322" s="3" t="n"/>
      <c r="O322" s="3" t="n">
        <v>4</v>
      </c>
      <c r="P322" s="5" t="n">
        <v>5999000</v>
      </c>
      <c r="Q322" s="5" t="n">
        <v>5999000</v>
      </c>
      <c r="R322" s="3" t="inlineStr"/>
      <c r="S322" s="3" t="inlineStr">
        <is>
          <t>Aktif</t>
        </is>
      </c>
      <c r="T322" s="3" t="n"/>
      <c r="U322" s="3" t="inlineStr">
        <is>
          <t>LIST ASSET YPIK 2025(1).xlsx | Inv. SDIA</t>
        </is>
      </c>
    </row>
    <row r="323">
      <c r="A323" s="3" t="n">
        <v>320</v>
      </c>
      <c r="B323" s="3" t="n"/>
      <c r="C323" s="3" t="inlineStr">
        <is>
          <t>SDIA 23 JATIKRAMAT</t>
        </is>
      </c>
      <c r="D323" s="3" t="n"/>
      <c r="E323" s="3" t="inlineStr">
        <is>
          <t>Kursi Kantor Kepala Sekolah SDIA</t>
        </is>
      </c>
      <c r="F323" s="3" t="inlineStr">
        <is>
          <t>Kursi Kantor Kepala Sekolah SDIA</t>
        </is>
      </c>
      <c r="G323" s="3" t="n"/>
      <c r="H323" s="3" t="n"/>
      <c r="I323" s="3" t="inlineStr">
        <is>
          <t>1 Unit</t>
        </is>
      </c>
      <c r="J323" s="4" t="n"/>
      <c r="K323" s="3" t="n">
        <v>2023</v>
      </c>
      <c r="L323" s="5" t="n"/>
      <c r="M323" s="5" t="n">
        <v>2000000</v>
      </c>
      <c r="N323" s="3" t="n"/>
      <c r="O323" s="3" t="n">
        <v>4</v>
      </c>
      <c r="P323" s="5" t="n">
        <v>1000000</v>
      </c>
      <c r="Q323" s="5" t="n">
        <v>1000000</v>
      </c>
      <c r="R323" s="3" t="inlineStr"/>
      <c r="S323" s="3" t="inlineStr">
        <is>
          <t>Aktif</t>
        </is>
      </c>
      <c r="T323" s="3" t="n"/>
      <c r="U323" s="3" t="inlineStr">
        <is>
          <t>LIST ASSET YPIK 2025(1).xlsx | Inv. SDIA</t>
        </is>
      </c>
    </row>
    <row r="324">
      <c r="A324" s="3" t="n">
        <v>321</v>
      </c>
      <c r="B324" s="3" t="n"/>
      <c r="C324" s="3" t="inlineStr">
        <is>
          <t>SDIA 23 JATIKRAMAT</t>
        </is>
      </c>
      <c r="D324" s="3" t="n"/>
      <c r="E324" s="3" t="inlineStr">
        <is>
          <t>Pembelian Meja dan Kursi Guru untuk SDIA</t>
        </is>
      </c>
      <c r="F324" s="3" t="inlineStr">
        <is>
          <t>Pembelian Meja dan Kursi Guru untuk SDIA</t>
        </is>
      </c>
      <c r="G324" s="3" t="n"/>
      <c r="H324" s="3" t="n"/>
      <c r="I324" s="3" t="inlineStr">
        <is>
          <t>1 Set</t>
        </is>
      </c>
      <c r="J324" s="4" t="n"/>
      <c r="K324" s="3" t="n">
        <v>2023</v>
      </c>
      <c r="L324" s="5" t="n"/>
      <c r="M324" s="5" t="n">
        <v>1207000</v>
      </c>
      <c r="N324" s="3" t="n"/>
      <c r="O324" s="3" t="n">
        <v>4</v>
      </c>
      <c r="P324" s="5" t="n">
        <v>583383</v>
      </c>
      <c r="Q324" s="5" t="n">
        <v>623617</v>
      </c>
      <c r="R324" s="3" t="inlineStr"/>
      <c r="S324" s="3" t="inlineStr">
        <is>
          <t>Aktif</t>
        </is>
      </c>
      <c r="T324" s="3" t="n"/>
      <c r="U324" s="3" t="inlineStr">
        <is>
          <t>LIST ASSET YPIK 2025(1).xlsx | Inv. SDIA</t>
        </is>
      </c>
    </row>
    <row r="325">
      <c r="A325" s="3" t="n">
        <v>322</v>
      </c>
      <c r="B325" s="3" t="n"/>
      <c r="C325" s="3" t="inlineStr">
        <is>
          <t>SDIA 23 JATIKRAMAT</t>
        </is>
      </c>
      <c r="D325" s="3" t="n"/>
      <c r="E325" s="3" t="inlineStr">
        <is>
          <t>Pembayaran Pembuatan Tiang Bendera SDIA</t>
        </is>
      </c>
      <c r="F325" s="3" t="inlineStr">
        <is>
          <t>Pembayaran Pembuatan Tiang Bendera SDIA</t>
        </is>
      </c>
      <c r="G325" s="3" t="n"/>
      <c r="H325" s="3" t="n"/>
      <c r="I325" s="3" t="inlineStr">
        <is>
          <t>1 Unit</t>
        </is>
      </c>
      <c r="J325" s="4" t="n"/>
      <c r="K325" s="3" t="n">
        <v>2023</v>
      </c>
      <c r="L325" s="5" t="n"/>
      <c r="M325" s="5" t="n">
        <v>2500000</v>
      </c>
      <c r="N325" s="3" t="n"/>
      <c r="O325" s="3" t="n">
        <v>4</v>
      </c>
      <c r="P325" s="5" t="n">
        <v>1208333</v>
      </c>
      <c r="Q325" s="5" t="n">
        <v>1291667</v>
      </c>
      <c r="R325" s="3" t="inlineStr"/>
      <c r="S325" s="3" t="inlineStr">
        <is>
          <t>Aktif</t>
        </is>
      </c>
      <c r="T325" s="3" t="n"/>
      <c r="U325" s="3" t="inlineStr">
        <is>
          <t>LIST ASSET YPIK 2025(1).xlsx | Inv. SDIA</t>
        </is>
      </c>
    </row>
    <row r="326">
      <c r="A326" s="3" t="n">
        <v>323</v>
      </c>
      <c r="B326" s="3" t="n"/>
      <c r="C326" s="3" t="inlineStr">
        <is>
          <t>SDIA 23 JATIKRAMAT</t>
        </is>
      </c>
      <c r="D326" s="3" t="n"/>
      <c r="E326" s="3" t="inlineStr">
        <is>
          <t>Pembayaran Term 2 Digital Classroom</t>
        </is>
      </c>
      <c r="F326" s="3" t="inlineStr">
        <is>
          <t>Pembayaran Term 2 Digital Classroom</t>
        </is>
      </c>
      <c r="G326" s="3" t="n"/>
      <c r="H326" s="3" t="n"/>
      <c r="I326" s="3" t="n"/>
      <c r="J326" s="4" t="n"/>
      <c r="K326" s="3" t="n">
        <v>2024</v>
      </c>
      <c r="L326" s="5" t="n"/>
      <c r="M326" s="5" t="n">
        <v>12986000</v>
      </c>
      <c r="N326" s="3" t="n"/>
      <c r="O326" s="3" t="n">
        <v>4</v>
      </c>
      <c r="P326" s="5" t="n">
        <v>5194400</v>
      </c>
      <c r="Q326" s="5" t="n">
        <v>7791600</v>
      </c>
      <c r="R326" s="3" t="inlineStr"/>
      <c r="S326" s="3" t="inlineStr">
        <is>
          <t>Aktif</t>
        </is>
      </c>
      <c r="T326" s="3" t="n"/>
      <c r="U326" s="3" t="inlineStr">
        <is>
          <t>LIST ASSET YPIK 2025(1).xlsx | Inv. SDIA</t>
        </is>
      </c>
    </row>
    <row r="327">
      <c r="A327" s="3" t="n">
        <v>324</v>
      </c>
      <c r="B327" s="3" t="n"/>
      <c r="C327" s="3" t="inlineStr">
        <is>
          <t>SDIA 23 JATIKRAMAT</t>
        </is>
      </c>
      <c r="D327" s="3" t="n"/>
      <c r="E327" s="3" t="inlineStr">
        <is>
          <t>Digital Classroom</t>
        </is>
      </c>
      <c r="F327" s="3" t="inlineStr">
        <is>
          <t>Digital Classroom</t>
        </is>
      </c>
      <c r="G327" s="3" t="n"/>
      <c r="H327" s="3" t="n"/>
      <c r="I327" s="3" t="n"/>
      <c r="J327" s="4" t="n"/>
      <c r="K327" s="3" t="n">
        <v>2024</v>
      </c>
      <c r="L327" s="5" t="n"/>
      <c r="M327" s="5" t="n">
        <v>400000</v>
      </c>
      <c r="N327" s="3" t="n"/>
      <c r="O327" s="3" t="n">
        <v>4</v>
      </c>
      <c r="P327" s="5" t="n">
        <v>160000</v>
      </c>
      <c r="Q327" s="5" t="n">
        <v>240000</v>
      </c>
      <c r="R327" s="3" t="inlineStr"/>
      <c r="S327" s="3" t="inlineStr">
        <is>
          <t>Aktif</t>
        </is>
      </c>
      <c r="T327" s="3" t="n"/>
      <c r="U327" s="3" t="inlineStr">
        <is>
          <t>LIST ASSET YPIK 2025(1).xlsx | Inv. SDIA</t>
        </is>
      </c>
    </row>
    <row r="328">
      <c r="A328" s="3" t="n">
        <v>325</v>
      </c>
      <c r="B328" s="3" t="n"/>
      <c r="C328" s="3" t="inlineStr">
        <is>
          <t>SDIA 23 JATIKRAMAT</t>
        </is>
      </c>
      <c r="D328" s="3" t="n"/>
      <c r="E328" s="3" t="inlineStr">
        <is>
          <t>Pembelian Wire Mash Lt3</t>
        </is>
      </c>
      <c r="F328" s="3" t="inlineStr">
        <is>
          <t>Pembelian Wire Mash Lt3</t>
        </is>
      </c>
      <c r="G328" s="3" t="n"/>
      <c r="H328" s="3" t="n"/>
      <c r="I328" s="3" t="n"/>
      <c r="J328" s="4" t="n"/>
      <c r="K328" s="3" t="n">
        <v>2024</v>
      </c>
      <c r="L328" s="5" t="n"/>
      <c r="M328" s="5" t="n">
        <v>1930000</v>
      </c>
      <c r="N328" s="3" t="n"/>
      <c r="O328" s="3" t="n">
        <v>4</v>
      </c>
      <c r="P328" s="5" t="n">
        <v>643333</v>
      </c>
      <c r="Q328" s="5" t="n">
        <v>1286667</v>
      </c>
      <c r="R328" s="3" t="inlineStr"/>
      <c r="S328" s="3" t="inlineStr">
        <is>
          <t>Aktif</t>
        </is>
      </c>
      <c r="T328" s="3" t="n"/>
      <c r="U328" s="3" t="inlineStr">
        <is>
          <t>LIST ASSET YPIK 2025(1).xlsx | Inv. SDIA</t>
        </is>
      </c>
    </row>
    <row r="329">
      <c r="A329" s="3" t="n">
        <v>326</v>
      </c>
      <c r="B329" s="3" t="n"/>
      <c r="C329" s="3" t="inlineStr">
        <is>
          <t>SDIA 23 JATIKRAMAT</t>
        </is>
      </c>
      <c r="D329" s="3" t="n"/>
      <c r="E329" s="3" t="inlineStr">
        <is>
          <t>Anggaran Digital Classroom Websis Termin 2</t>
        </is>
      </c>
      <c r="F329" s="3" t="inlineStr">
        <is>
          <t>Anggaran Digital Classroom Websis Termin 2</t>
        </is>
      </c>
      <c r="G329" s="3" t="n"/>
      <c r="H329" s="3" t="n"/>
      <c r="I329" s="3" t="n"/>
      <c r="J329" s="4" t="n"/>
      <c r="K329" s="3" t="n">
        <v>2024</v>
      </c>
      <c r="L329" s="5" t="n"/>
      <c r="M329" s="5" t="n">
        <v>12986000</v>
      </c>
      <c r="N329" s="3" t="n"/>
      <c r="O329" s="3" t="n">
        <v>4</v>
      </c>
      <c r="P329" s="5" t="n">
        <v>4112233</v>
      </c>
      <c r="Q329" s="5" t="n">
        <v>8873767</v>
      </c>
      <c r="R329" s="3" t="inlineStr"/>
      <c r="S329" s="3" t="inlineStr">
        <is>
          <t>Aktif</t>
        </is>
      </c>
      <c r="T329" s="3" t="n"/>
      <c r="U329" s="3" t="inlineStr">
        <is>
          <t>LIST ASSET YPIK 2025(1).xlsx | Inv. SDIA</t>
        </is>
      </c>
    </row>
    <row r="330">
      <c r="A330" s="3" t="n">
        <v>327</v>
      </c>
      <c r="B330" s="3" t="n"/>
      <c r="C330" s="3" t="inlineStr">
        <is>
          <t>SDIA 23 JATIKRAMAT</t>
        </is>
      </c>
      <c r="D330" s="3" t="n"/>
      <c r="E330" s="3" t="inlineStr">
        <is>
          <t>Pembelian 2 Unit Lemari Besi SDIA</t>
        </is>
      </c>
      <c r="F330" s="3" t="inlineStr">
        <is>
          <t>Pembelian 2 Unit Lemari Besi SDIA</t>
        </is>
      </c>
      <c r="G330" s="3" t="n"/>
      <c r="H330" s="3" t="n"/>
      <c r="I330" s="3" t="inlineStr">
        <is>
          <t>2 Unit</t>
        </is>
      </c>
      <c r="J330" s="4" t="n"/>
      <c r="K330" s="3" t="n">
        <v>2024</v>
      </c>
      <c r="L330" s="5" t="n"/>
      <c r="M330" s="5" t="n">
        <v>5019500</v>
      </c>
      <c r="N330" s="3" t="n"/>
      <c r="O330" s="3" t="n">
        <v>4</v>
      </c>
      <c r="P330" s="5" t="n">
        <v>1589508</v>
      </c>
      <c r="Q330" s="5" t="n">
        <v>3429992</v>
      </c>
      <c r="R330" s="3" t="inlineStr"/>
      <c r="S330" s="3" t="inlineStr">
        <is>
          <t>Aktif</t>
        </is>
      </c>
      <c r="T330" s="3" t="n"/>
      <c r="U330" s="3" t="inlineStr">
        <is>
          <t>LIST ASSET YPIK 2025(1).xlsx | Inv. SDIA</t>
        </is>
      </c>
    </row>
    <row r="331">
      <c r="A331" s="3" t="n">
        <v>328</v>
      </c>
      <c r="B331" s="3" t="n"/>
      <c r="C331" s="3" t="inlineStr">
        <is>
          <t>SDIA 23 JATIKRAMAT</t>
        </is>
      </c>
      <c r="D331" s="3" t="n"/>
      <c r="E331" s="3" t="inlineStr">
        <is>
          <t>Pembelian Taplak Meja 10 Buah SDIA</t>
        </is>
      </c>
      <c r="F331" s="3" t="inlineStr">
        <is>
          <t>Pembelian Taplak Meja 10 Buah SDIA</t>
        </is>
      </c>
      <c r="G331" s="3" t="n"/>
      <c r="H331" s="3" t="n"/>
      <c r="I331" s="3" t="inlineStr">
        <is>
          <t>10 Buah</t>
        </is>
      </c>
      <c r="J331" s="4" t="n"/>
      <c r="K331" s="3" t="n">
        <v>2024</v>
      </c>
      <c r="L331" s="5" t="n"/>
      <c r="M331" s="5" t="n">
        <v>307000</v>
      </c>
      <c r="N331" s="3" t="n"/>
      <c r="O331" s="3" t="n">
        <v>4</v>
      </c>
      <c r="P331" s="5" t="n">
        <v>97217</v>
      </c>
      <c r="Q331" s="5" t="n">
        <v>209783</v>
      </c>
      <c r="R331" s="3" t="inlineStr"/>
      <c r="S331" s="3" t="inlineStr">
        <is>
          <t>Aktif</t>
        </is>
      </c>
      <c r="T331" s="3" t="n"/>
      <c r="U331" s="3" t="inlineStr">
        <is>
          <t>LIST ASSET YPIK 2025(1).xlsx | Inv. SDIA</t>
        </is>
      </c>
    </row>
    <row r="332">
      <c r="A332" s="3" t="n">
        <v>329</v>
      </c>
      <c r="B332" s="3" t="n"/>
      <c r="C332" s="3" t="inlineStr">
        <is>
          <t>SDIA 23 JATIKRAMAT</t>
        </is>
      </c>
      <c r="D332" s="3" t="n"/>
      <c r="E332" s="3" t="inlineStr">
        <is>
          <t>Pembelian Whiteboard 2 Unit SDIA</t>
        </is>
      </c>
      <c r="F332" s="3" t="inlineStr">
        <is>
          <t>Pembelian Whiteboard 2 Unit SDIA</t>
        </is>
      </c>
      <c r="G332" s="3" t="n"/>
      <c r="H332" s="3" t="n"/>
      <c r="I332" s="3" t="inlineStr">
        <is>
          <t>2 Unit</t>
        </is>
      </c>
      <c r="J332" s="4" t="n"/>
      <c r="K332" s="3" t="n">
        <v>2024</v>
      </c>
      <c r="L332" s="5" t="n"/>
      <c r="M332" s="5" t="n">
        <v>3150000</v>
      </c>
      <c r="N332" s="3" t="n"/>
      <c r="O332" s="3" t="n">
        <v>4</v>
      </c>
      <c r="P332" s="5" t="n">
        <v>997500</v>
      </c>
      <c r="Q332" s="5" t="n">
        <v>2152500</v>
      </c>
      <c r="R332" s="3" t="inlineStr"/>
      <c r="S332" s="3" t="inlineStr">
        <is>
          <t>Aktif</t>
        </is>
      </c>
      <c r="T332" s="3" t="n"/>
      <c r="U332" s="3" t="inlineStr">
        <is>
          <t>LIST ASSET YPIK 2025(1).xlsx | Inv. SDIA</t>
        </is>
      </c>
    </row>
    <row r="333">
      <c r="A333" s="3" t="n">
        <v>330</v>
      </c>
      <c r="B333" s="3" t="n"/>
      <c r="C333" s="3" t="inlineStr">
        <is>
          <t>SDIA 23 JATIKRAMAT</t>
        </is>
      </c>
      <c r="D333" s="3" t="n"/>
      <c r="E333" s="3" t="inlineStr">
        <is>
          <t>Pembelian Rak Sepatu dan Sandal</t>
        </is>
      </c>
      <c r="F333" s="3" t="inlineStr">
        <is>
          <t>Pembelian Rak Sepatu dan Sandal</t>
        </is>
      </c>
      <c r="G333" s="3" t="n"/>
      <c r="H333" s="3" t="n"/>
      <c r="I333" s="3" t="n"/>
      <c r="J333" s="4" t="n"/>
      <c r="K333" s="3" t="n">
        <v>2024</v>
      </c>
      <c r="L333" s="5" t="n"/>
      <c r="M333" s="5" t="n">
        <v>8000000</v>
      </c>
      <c r="N333" s="3" t="n"/>
      <c r="O333" s="3" t="n">
        <v>4</v>
      </c>
      <c r="P333" s="5" t="n">
        <v>2533333</v>
      </c>
      <c r="Q333" s="5" t="n">
        <v>5466667</v>
      </c>
      <c r="R333" s="3" t="inlineStr"/>
      <c r="S333" s="3" t="inlineStr">
        <is>
          <t>Aktif</t>
        </is>
      </c>
      <c r="T333" s="3" t="n"/>
      <c r="U333" s="3" t="inlineStr">
        <is>
          <t>LIST ASSET YPIK 2025(1).xlsx | Inv. SDIA</t>
        </is>
      </c>
    </row>
    <row r="334">
      <c r="A334" s="3" t="n">
        <v>331</v>
      </c>
      <c r="B334" s="3" t="n"/>
      <c r="C334" s="3" t="inlineStr">
        <is>
          <t>SDIA 23 JATIKRAMAT</t>
        </is>
      </c>
      <c r="D334" s="3" t="n"/>
      <c r="E334" s="3" t="inlineStr">
        <is>
          <t>Pembelian Cermin Gantung SDIA</t>
        </is>
      </c>
      <c r="F334" s="3" t="inlineStr">
        <is>
          <t>Pembelian Cermin Gantung SDIA</t>
        </is>
      </c>
      <c r="G334" s="3" t="n"/>
      <c r="H334" s="3" t="n"/>
      <c r="I334" s="3" t="n"/>
      <c r="J334" s="4" t="n"/>
      <c r="K334" s="3" t="n">
        <v>2024</v>
      </c>
      <c r="L334" s="5" t="n"/>
      <c r="M334" s="5" t="n">
        <v>753000</v>
      </c>
      <c r="N334" s="3" t="n"/>
      <c r="O334" s="3" t="n">
        <v>4</v>
      </c>
      <c r="P334" s="5" t="n">
        <v>238450</v>
      </c>
      <c r="Q334" s="5" t="n">
        <v>514550</v>
      </c>
      <c r="R334" s="3" t="inlineStr"/>
      <c r="S334" s="3" t="inlineStr">
        <is>
          <t>Aktif</t>
        </is>
      </c>
      <c r="T334" s="3" t="n"/>
      <c r="U334" s="3" t="inlineStr">
        <is>
          <t>LIST ASSET YPIK 2025(1).xlsx | Inv. SDIA</t>
        </is>
      </c>
    </row>
    <row r="335">
      <c r="A335" s="3" t="n">
        <v>332</v>
      </c>
      <c r="B335" s="3" t="n"/>
      <c r="C335" s="3" t="inlineStr">
        <is>
          <t>SDIA 23 JATIKRAMAT</t>
        </is>
      </c>
      <c r="D335" s="3" t="n"/>
      <c r="E335" s="3" t="inlineStr">
        <is>
          <t>DP Pemesanan Loker 2 Unit SDIA</t>
        </is>
      </c>
      <c r="F335" s="3" t="inlineStr">
        <is>
          <t>DP Pemesanan Loker 2 Unit SDIA</t>
        </is>
      </c>
      <c r="G335" s="3" t="n"/>
      <c r="H335" s="3" t="n"/>
      <c r="I335" s="3" t="inlineStr">
        <is>
          <t>2 Unit</t>
        </is>
      </c>
      <c r="J335" s="4" t="n"/>
      <c r="K335" s="3" t="n">
        <v>2024</v>
      </c>
      <c r="L335" s="5" t="n"/>
      <c r="M335" s="5" t="n">
        <v>4000000</v>
      </c>
      <c r="N335" s="3" t="n"/>
      <c r="O335" s="3" t="n">
        <v>4</v>
      </c>
      <c r="P335" s="5" t="n">
        <v>1266667</v>
      </c>
      <c r="Q335" s="5" t="n">
        <v>2733333</v>
      </c>
      <c r="R335" s="3" t="inlineStr"/>
      <c r="S335" s="3" t="inlineStr">
        <is>
          <t>Aktif</t>
        </is>
      </c>
      <c r="T335" s="3" t="n"/>
      <c r="U335" s="3" t="inlineStr">
        <is>
          <t>LIST ASSET YPIK 2025(1).xlsx | Inv. SDIA</t>
        </is>
      </c>
    </row>
    <row r="336">
      <c r="A336" s="3" t="n">
        <v>333</v>
      </c>
      <c r="B336" s="3" t="n"/>
      <c r="C336" s="3" t="inlineStr">
        <is>
          <t>SDIA 23 JATIKRAMAT</t>
        </is>
      </c>
      <c r="D336" s="3" t="n"/>
      <c r="E336" s="3" t="inlineStr">
        <is>
          <t>Perlengkapan Olahraga SDIA</t>
        </is>
      </c>
      <c r="F336" s="3" t="inlineStr">
        <is>
          <t>Perlengkapan Olahraga SDIA</t>
        </is>
      </c>
      <c r="G336" s="3" t="n"/>
      <c r="H336" s="3" t="n"/>
      <c r="I336" s="3" t="n"/>
      <c r="J336" s="4" t="n"/>
      <c r="K336" s="3" t="n">
        <v>2024</v>
      </c>
      <c r="L336" s="5" t="n"/>
      <c r="M336" s="5" t="n">
        <v>4995000</v>
      </c>
      <c r="N336" s="3" t="n"/>
      <c r="O336" s="3" t="n">
        <v>4</v>
      </c>
      <c r="P336" s="5" t="n">
        <v>1581750</v>
      </c>
      <c r="Q336" s="5" t="n">
        <v>3413250</v>
      </c>
      <c r="R336" s="3" t="inlineStr"/>
      <c r="S336" s="3" t="inlineStr">
        <is>
          <t>Aktif</t>
        </is>
      </c>
      <c r="T336" s="3" t="n"/>
      <c r="U336" s="3" t="inlineStr">
        <is>
          <t>LIST ASSET YPIK 2025(1).xlsx | Inv. SDIA</t>
        </is>
      </c>
    </row>
    <row r="337">
      <c r="A337" s="3" t="n">
        <v>334</v>
      </c>
      <c r="B337" s="3" t="n"/>
      <c r="C337" s="3" t="inlineStr">
        <is>
          <t>SDIA 23 JATIKRAMAT</t>
        </is>
      </c>
      <c r="D337" s="3" t="n"/>
      <c r="E337" s="3" t="inlineStr">
        <is>
          <t>Pembelian Loker 2 Unit SDIA Kelas Digital</t>
        </is>
      </c>
      <c r="F337" s="3" t="inlineStr">
        <is>
          <t>Pembelian Loker 2 Unit SDIA Kelas Digital</t>
        </is>
      </c>
      <c r="G337" s="3" t="n"/>
      <c r="H337" s="3" t="n"/>
      <c r="I337" s="3" t="inlineStr">
        <is>
          <t>2 Unit</t>
        </is>
      </c>
      <c r="J337" s="4" t="n"/>
      <c r="K337" s="3" t="n">
        <v>2024</v>
      </c>
      <c r="L337" s="5" t="n"/>
      <c r="M337" s="5" t="n">
        <v>6681000</v>
      </c>
      <c r="N337" s="3" t="n"/>
      <c r="O337" s="3" t="n">
        <v>4</v>
      </c>
      <c r="P337" s="5" t="n">
        <v>2115650</v>
      </c>
      <c r="Q337" s="5" t="n">
        <v>4565350</v>
      </c>
      <c r="R337" s="3" t="inlineStr"/>
      <c r="S337" s="3" t="inlineStr">
        <is>
          <t>Aktif</t>
        </is>
      </c>
      <c r="T337" s="3" t="n"/>
      <c r="U337" s="3" t="inlineStr">
        <is>
          <t>LIST ASSET YPIK 2025(1).xlsx | Inv. SDIA</t>
        </is>
      </c>
    </row>
    <row r="338">
      <c r="A338" s="3" t="n">
        <v>335</v>
      </c>
      <c r="B338" s="3" t="n"/>
      <c r="C338" s="3" t="inlineStr">
        <is>
          <t>SDIA 23 JATIKRAMAT</t>
        </is>
      </c>
      <c r="D338" s="3" t="n"/>
      <c r="E338" s="3" t="inlineStr">
        <is>
          <t>Pembelian Macbook Apple SDIA</t>
        </is>
      </c>
      <c r="F338" s="3" t="inlineStr">
        <is>
          <t>Pembelian Macbook Apple SDIA</t>
        </is>
      </c>
      <c r="G338" s="3" t="n"/>
      <c r="H338" s="3" t="n"/>
      <c r="I338" s="3" t="n"/>
      <c r="J338" s="4" t="n"/>
      <c r="K338" s="3" t="n">
        <v>2024</v>
      </c>
      <c r="L338" s="5" t="n"/>
      <c r="M338" s="5" t="n">
        <v>16285000</v>
      </c>
      <c r="N338" s="3" t="n"/>
      <c r="O338" s="3" t="n">
        <v>4</v>
      </c>
      <c r="P338" s="5" t="n">
        <v>4614083</v>
      </c>
      <c r="Q338" s="5" t="n">
        <v>11670917</v>
      </c>
      <c r="R338" s="3" t="inlineStr"/>
      <c r="S338" s="3" t="inlineStr">
        <is>
          <t>Aktif</t>
        </is>
      </c>
      <c r="T338" s="3" t="n"/>
      <c r="U338" s="3" t="inlineStr">
        <is>
          <t>LIST ASSET YPIK 2025(1).xlsx | Inv. SDIA</t>
        </is>
      </c>
    </row>
    <row r="339">
      <c r="A339" s="3" t="n">
        <v>336</v>
      </c>
      <c r="B339" s="3" t="n"/>
      <c r="C339" s="3" t="inlineStr">
        <is>
          <t>SDIA 23 JATIKRAMAT</t>
        </is>
      </c>
      <c r="D339" s="3" t="n"/>
      <c r="E339" s="3" t="inlineStr">
        <is>
          <t>Pembelian Perlengkapan ASBD SDIA</t>
        </is>
      </c>
      <c r="F339" s="3" t="inlineStr">
        <is>
          <t>Pembelian Perlengkapan ASBD SDIA</t>
        </is>
      </c>
      <c r="G339" s="3" t="n"/>
      <c r="H339" s="3" t="n"/>
      <c r="I339" s="3" t="n"/>
      <c r="J339" s="4" t="n"/>
      <c r="K339" s="3" t="n">
        <v>2024</v>
      </c>
      <c r="L339" s="5" t="n"/>
      <c r="M339" s="5" t="n">
        <v>5430000</v>
      </c>
      <c r="N339" s="3" t="n"/>
      <c r="O339" s="3" t="n">
        <v>4</v>
      </c>
      <c r="P339" s="5" t="n">
        <v>1538500</v>
      </c>
      <c r="Q339" s="5" t="n">
        <v>3891500</v>
      </c>
      <c r="R339" s="3" t="inlineStr"/>
      <c r="S339" s="3" t="inlineStr">
        <is>
          <t>Aktif</t>
        </is>
      </c>
      <c r="T339" s="3" t="n"/>
      <c r="U339" s="3" t="inlineStr">
        <is>
          <t>LIST ASSET YPIK 2025(1).xlsx | Inv. SDIA</t>
        </is>
      </c>
    </row>
    <row r="340">
      <c r="A340" s="3" t="n">
        <v>337</v>
      </c>
      <c r="B340" s="3" t="n"/>
      <c r="C340" s="3" t="inlineStr">
        <is>
          <t>SDIA 23 JATIKRAMAT</t>
        </is>
      </c>
      <c r="D340" s="3" t="n"/>
      <c r="E340" s="3" t="inlineStr">
        <is>
          <t>Pembelian Amplie</t>
        </is>
      </c>
      <c r="F340" s="3" t="inlineStr">
        <is>
          <t>Pembelian Amplie</t>
        </is>
      </c>
      <c r="G340" s="3" t="n"/>
      <c r="H340" s="3" t="n"/>
      <c r="I340" s="3" t="n"/>
      <c r="J340" s="4" t="n"/>
      <c r="K340" s="3" t="n">
        <v>2024</v>
      </c>
      <c r="L340" s="5" t="n"/>
      <c r="M340" s="5" t="n">
        <v>472000</v>
      </c>
      <c r="N340" s="3" t="n"/>
      <c r="O340" s="3" t="n">
        <v>4</v>
      </c>
      <c r="P340" s="5" t="n">
        <v>125867</v>
      </c>
      <c r="Q340" s="5" t="n">
        <v>346133</v>
      </c>
      <c r="R340" s="3" t="inlineStr"/>
      <c r="S340" s="3" t="inlineStr">
        <is>
          <t>Aktif</t>
        </is>
      </c>
      <c r="T340" s="3" t="n"/>
      <c r="U340" s="3" t="inlineStr">
        <is>
          <t>LIST ASSET YPIK 2025(1).xlsx | Inv. SDIA</t>
        </is>
      </c>
    </row>
    <row r="341">
      <c r="A341" s="3" t="n">
        <v>338</v>
      </c>
      <c r="B341" s="3" t="n"/>
      <c r="C341" s="3" t="inlineStr">
        <is>
          <t>SDIA 23 JATIKRAMAT</t>
        </is>
      </c>
      <c r="D341" s="3" t="n"/>
      <c r="E341" s="3" t="inlineStr">
        <is>
          <t>Pembelian Loker SDIA</t>
        </is>
      </c>
      <c r="F341" s="3" t="inlineStr">
        <is>
          <t>Pembelian Loker SDIA</t>
        </is>
      </c>
      <c r="G341" s="3" t="n"/>
      <c r="H341" s="3" t="n"/>
      <c r="I341" s="3" t="n"/>
      <c r="J341" s="4" t="n"/>
      <c r="K341" s="3" t="n">
        <v>2024</v>
      </c>
      <c r="L341" s="5" t="n"/>
      <c r="M341" s="5" t="n">
        <v>5250000</v>
      </c>
      <c r="N341" s="3" t="n"/>
      <c r="O341" s="3" t="n">
        <v>4</v>
      </c>
      <c r="P341" s="5" t="n">
        <v>1400000</v>
      </c>
      <c r="Q341" s="5" t="n">
        <v>3850000</v>
      </c>
      <c r="R341" s="3" t="inlineStr"/>
      <c r="S341" s="3" t="inlineStr">
        <is>
          <t>Aktif</t>
        </is>
      </c>
      <c r="T341" s="3" t="n"/>
      <c r="U341" s="3" t="inlineStr">
        <is>
          <t>LIST ASSET YPIK 2025(1).xlsx | Inv. SDIA</t>
        </is>
      </c>
    </row>
    <row r="342">
      <c r="A342" s="3" t="n">
        <v>339</v>
      </c>
      <c r="B342" s="3" t="n"/>
      <c r="C342" s="3" t="inlineStr">
        <is>
          <t>SDIA 23 JATIKRAMAT</t>
        </is>
      </c>
      <c r="D342" s="3" t="n"/>
      <c r="E342" s="3" t="inlineStr">
        <is>
          <t>Pembelian Lambang Garuda dan Bingkai Foto</t>
        </is>
      </c>
      <c r="F342" s="3" t="inlineStr">
        <is>
          <t>Pembelian Lambang Garuda dan Bingkai Foto</t>
        </is>
      </c>
      <c r="G342" s="3" t="n"/>
      <c r="H342" s="3" t="n"/>
      <c r="I342" s="3" t="n"/>
      <c r="J342" s="4" t="n"/>
      <c r="K342" s="3" t="n">
        <v>2024</v>
      </c>
      <c r="L342" s="5" t="n"/>
      <c r="M342" s="5" t="n">
        <v>1705300</v>
      </c>
      <c r="N342" s="3" t="n"/>
      <c r="O342" s="3" t="n">
        <v>4</v>
      </c>
      <c r="P342" s="5" t="n">
        <v>397903</v>
      </c>
      <c r="Q342" s="5" t="n">
        <v>1307397</v>
      </c>
      <c r="R342" s="3" t="inlineStr"/>
      <c r="S342" s="3" t="inlineStr">
        <is>
          <t>Aktif</t>
        </is>
      </c>
      <c r="T342" s="3" t="n"/>
      <c r="U342" s="3" t="inlineStr">
        <is>
          <t>LIST ASSET YPIK 2025(1).xlsx | Inv. SDIA</t>
        </is>
      </c>
    </row>
    <row r="343">
      <c r="A343" s="3" t="n">
        <v>340</v>
      </c>
      <c r="B343" s="3" t="n"/>
      <c r="C343" s="3" t="inlineStr">
        <is>
          <t>SDIA 23 JATIKRAMAT</t>
        </is>
      </c>
      <c r="D343" s="3" t="n"/>
      <c r="E343" s="3" t="inlineStr">
        <is>
          <t>Pembelian Whiteboard SDIA Kelas 2</t>
        </is>
      </c>
      <c r="F343" s="3" t="inlineStr">
        <is>
          <t>Pembelian Whiteboard SDIA Kelas 2</t>
        </is>
      </c>
      <c r="G343" s="3" t="n"/>
      <c r="H343" s="3" t="n"/>
      <c r="I343" s="3" t="n"/>
      <c r="J343" s="4" t="n"/>
      <c r="K343" s="3" t="n">
        <v>2024</v>
      </c>
      <c r="L343" s="5" t="n"/>
      <c r="M343" s="5" t="n">
        <v>1850000</v>
      </c>
      <c r="N343" s="3" t="n"/>
      <c r="O343" s="3" t="n">
        <v>4</v>
      </c>
      <c r="P343" s="5" t="n">
        <v>431667</v>
      </c>
      <c r="Q343" s="5" t="n">
        <v>1418333</v>
      </c>
      <c r="R343" s="3" t="inlineStr"/>
      <c r="S343" s="3" t="inlineStr">
        <is>
          <t>Aktif</t>
        </is>
      </c>
      <c r="T343" s="3" t="n"/>
      <c r="U343" s="3" t="inlineStr">
        <is>
          <t>LIST ASSET YPIK 2025(1).xlsx | Inv. SDIA</t>
        </is>
      </c>
    </row>
    <row r="344">
      <c r="A344" s="3" t="n">
        <v>341</v>
      </c>
      <c r="B344" s="3" t="n"/>
      <c r="C344" s="3" t="inlineStr">
        <is>
          <t>SDIA 23 JATIKRAMAT</t>
        </is>
      </c>
      <c r="D344" s="3" t="n"/>
      <c r="E344" s="3" t="inlineStr">
        <is>
          <t>Pembelian Cermin Dinding SDIA</t>
        </is>
      </c>
      <c r="F344" s="3" t="inlineStr">
        <is>
          <t>Pembelian Cermin Dinding SDIA</t>
        </is>
      </c>
      <c r="G344" s="3" t="n"/>
      <c r="H344" s="3" t="n"/>
      <c r="I344" s="3" t="n"/>
      <c r="J344" s="4" t="n"/>
      <c r="K344" s="3" t="n">
        <v>2024</v>
      </c>
      <c r="L344" s="5" t="n"/>
      <c r="M344" s="5" t="n">
        <v>371800</v>
      </c>
      <c r="N344" s="3" t="n"/>
      <c r="O344" s="3" t="n">
        <v>4</v>
      </c>
      <c r="P344" s="5" t="n">
        <v>86753</v>
      </c>
      <c r="Q344" s="5" t="n">
        <v>285047</v>
      </c>
      <c r="R344" s="3" t="inlineStr"/>
      <c r="S344" s="3" t="inlineStr">
        <is>
          <t>Aktif</t>
        </is>
      </c>
      <c r="T344" s="3" t="n"/>
      <c r="U344" s="3" t="inlineStr">
        <is>
          <t>LIST ASSET YPIK 2025(1).xlsx | Inv. SDIA</t>
        </is>
      </c>
    </row>
    <row r="345">
      <c r="A345" s="3" t="n">
        <v>342</v>
      </c>
      <c r="B345" s="3" t="n"/>
      <c r="C345" s="3" t="inlineStr">
        <is>
          <t>SDIA 23 JATIKRAMAT</t>
        </is>
      </c>
      <c r="D345" s="3" t="n"/>
      <c r="E345" s="3" t="inlineStr">
        <is>
          <t>Pembelian Tempat Sampah 4 Buah</t>
        </is>
      </c>
      <c r="F345" s="3" t="inlineStr">
        <is>
          <t>Pembelian Tempat Sampah 4 Buah</t>
        </is>
      </c>
      <c r="G345" s="3" t="n"/>
      <c r="H345" s="3" t="n"/>
      <c r="I345" s="3" t="inlineStr">
        <is>
          <t>4 Buah</t>
        </is>
      </c>
      <c r="J345" s="4" t="n"/>
      <c r="K345" s="3" t="n">
        <v>2024</v>
      </c>
      <c r="L345" s="5" t="n"/>
      <c r="M345" s="5" t="n">
        <v>506000</v>
      </c>
      <c r="N345" s="3" t="n"/>
      <c r="O345" s="3" t="n">
        <v>4</v>
      </c>
      <c r="P345" s="5" t="n">
        <v>118067</v>
      </c>
      <c r="Q345" s="5" t="n">
        <v>387933</v>
      </c>
      <c r="R345" s="3" t="inlineStr"/>
      <c r="S345" s="3" t="inlineStr">
        <is>
          <t>Aktif</t>
        </is>
      </c>
      <c r="T345" s="3" t="n"/>
      <c r="U345" s="3" t="inlineStr">
        <is>
          <t>LIST ASSET YPIK 2025(1).xlsx | Inv. SDIA</t>
        </is>
      </c>
    </row>
    <row r="346">
      <c r="A346" s="3" t="n">
        <v>343</v>
      </c>
      <c r="B346" s="3" t="n"/>
      <c r="C346" s="3" t="inlineStr">
        <is>
          <t>SDIA 23 JATIKRAMAT</t>
        </is>
      </c>
      <c r="D346" s="3" t="n"/>
      <c r="E346" s="3" t="inlineStr">
        <is>
          <t>Pembelian Whiteboard Magnetic 3 Unit - Kelas Baru</t>
        </is>
      </c>
      <c r="F346" s="3" t="inlineStr">
        <is>
          <t>Pembelian Whiteboard Magnetic 3 Unit - Kelas Baru</t>
        </is>
      </c>
      <c r="G346" s="3" t="n"/>
      <c r="H346" s="3" t="n"/>
      <c r="I346" s="3" t="n"/>
      <c r="J346" s="4" t="n"/>
      <c r="K346" s="3" t="n">
        <v>2025</v>
      </c>
      <c r="L346" s="5" t="n"/>
      <c r="M346" s="5" t="n">
        <v>5250000</v>
      </c>
      <c r="N346" s="3" t="n"/>
      <c r="O346" s="3" t="n">
        <v>4</v>
      </c>
      <c r="P346" s="5" t="n">
        <v>1050000</v>
      </c>
      <c r="Q346" s="5" t="n">
        <v>4200000</v>
      </c>
      <c r="R346" s="3" t="inlineStr"/>
      <c r="S346" s="3" t="inlineStr">
        <is>
          <t>Aktif</t>
        </is>
      </c>
      <c r="T346" s="3" t="n"/>
      <c r="U346" s="3" t="inlineStr">
        <is>
          <t>LIST ASSET YPIK 2025(1).xlsx | Inv. SDIA</t>
        </is>
      </c>
    </row>
    <row r="347">
      <c r="A347" s="3" t="n">
        <v>344</v>
      </c>
      <c r="B347" s="3" t="n"/>
      <c r="C347" s="3" t="inlineStr">
        <is>
          <t>SDIA 23 JATIKRAMAT</t>
        </is>
      </c>
      <c r="D347" s="3" t="n"/>
      <c r="E347" s="3" t="inlineStr">
        <is>
          <t>Pembelian 6 Buah Kaca untuk Ventilasi SD Lt 3</t>
        </is>
      </c>
      <c r="F347" s="3" t="inlineStr">
        <is>
          <t>Pembelian 6 Buah Kaca untuk Ventilasi SD Lt 3</t>
        </is>
      </c>
      <c r="G347" s="3" t="n"/>
      <c r="H347" s="3" t="n"/>
      <c r="I347" s="3" t="n"/>
      <c r="J347" s="4" t="n"/>
      <c r="K347" s="3" t="n">
        <v>2025</v>
      </c>
      <c r="L347" s="5" t="n"/>
      <c r="M347" s="5" t="n">
        <v>700000</v>
      </c>
      <c r="N347" s="3" t="n"/>
      <c r="O347" s="3" t="n">
        <v>4</v>
      </c>
      <c r="P347" s="5" t="n">
        <v>116666.6666666667</v>
      </c>
      <c r="Q347" s="5" t="n">
        <v>583333.3333333334</v>
      </c>
      <c r="R347" s="3" t="inlineStr"/>
      <c r="S347" s="3" t="inlineStr">
        <is>
          <t>Aktif</t>
        </is>
      </c>
      <c r="T347" s="3" t="n"/>
      <c r="U347" s="3" t="inlineStr">
        <is>
          <t>LIST ASSET YPIK 2025(1).xlsx | Inv. SDIA</t>
        </is>
      </c>
    </row>
    <row r="348">
      <c r="A348" s="3" t="n">
        <v>345</v>
      </c>
      <c r="B348" s="3" t="n"/>
      <c r="C348" s="3" t="inlineStr">
        <is>
          <t>SDIA 23 JATIKRAMAT</t>
        </is>
      </c>
      <c r="D348" s="3" t="n"/>
      <c r="E348" s="3" t="inlineStr">
        <is>
          <t>Pembelian 1 Buah Sampling Kursi dan Meja - PT Industri Furniture Indonesia</t>
        </is>
      </c>
      <c r="F348" s="3" t="inlineStr">
        <is>
          <t>Pembelian 1 Buah Sampling Kursi dan Meja - PT Industri Furniture Indonesia</t>
        </is>
      </c>
      <c r="G348" s="3" t="n"/>
      <c r="H348" s="3" t="n"/>
      <c r="I348" s="3" t="n"/>
      <c r="J348" s="4" t="n"/>
      <c r="K348" s="3" t="n">
        <v>2025</v>
      </c>
      <c r="L348" s="5" t="n"/>
      <c r="M348" s="5" t="n">
        <v>980000</v>
      </c>
      <c r="N348" s="3" t="n"/>
      <c r="O348" s="3" t="n">
        <v>4</v>
      </c>
      <c r="P348" s="5" t="n">
        <v>147000</v>
      </c>
      <c r="Q348" s="5" t="n">
        <v>833000</v>
      </c>
      <c r="R348" s="3" t="inlineStr"/>
      <c r="S348" s="3" t="inlineStr">
        <is>
          <t>Aktif</t>
        </is>
      </c>
      <c r="T348" s="3" t="n"/>
      <c r="U348" s="3" t="inlineStr">
        <is>
          <t>LIST ASSET YPIK 2025(1).xlsx | Inv. SDIA</t>
        </is>
      </c>
    </row>
    <row r="349">
      <c r="A349" s="3" t="n">
        <v>346</v>
      </c>
      <c r="B349" s="3" t="n"/>
      <c r="C349" s="3" t="inlineStr">
        <is>
          <t>SDIA 23 JATIKRAMAT</t>
        </is>
      </c>
      <c r="D349" s="3" t="n"/>
      <c r="E349" s="3" t="inlineStr">
        <is>
          <t>Pembayaran Sampling Meja Kursi Mitra 10</t>
        </is>
      </c>
      <c r="F349" s="3" t="inlineStr">
        <is>
          <t>Pembayaran Sampling Meja Kursi Mitra 10</t>
        </is>
      </c>
      <c r="G349" s="3" t="n"/>
      <c r="H349" s="3" t="n"/>
      <c r="I349" s="3" t="n"/>
      <c r="J349" s="4" t="n"/>
      <c r="K349" s="3" t="n">
        <v>2025</v>
      </c>
      <c r="L349" s="5" t="n"/>
      <c r="M349" s="5" t="n">
        <v>950000</v>
      </c>
      <c r="N349" s="3" t="n"/>
      <c r="O349" s="3" t="n">
        <v>4</v>
      </c>
      <c r="P349" s="5" t="n">
        <v>142500</v>
      </c>
      <c r="Q349" s="5" t="n">
        <v>807500</v>
      </c>
      <c r="R349" s="3" t="inlineStr"/>
      <c r="S349" s="3" t="inlineStr">
        <is>
          <t>Aktif</t>
        </is>
      </c>
      <c r="T349" s="3" t="n"/>
      <c r="U349" s="3" t="inlineStr">
        <is>
          <t>LIST ASSET YPIK 2025(1).xlsx | Inv. SDIA</t>
        </is>
      </c>
    </row>
    <row r="350">
      <c r="A350" s="3" t="n">
        <v>347</v>
      </c>
      <c r="B350" s="3" t="n"/>
      <c r="C350" s="3" t="inlineStr">
        <is>
          <t>SDIA 23 JATIKRAMAT</t>
        </is>
      </c>
      <c r="D350" s="3" t="n"/>
      <c r="E350" s="3" t="inlineStr">
        <is>
          <t>DP Pemesanan Meja Kursi Murid</t>
        </is>
      </c>
      <c r="F350" s="3" t="inlineStr">
        <is>
          <t>DP Pemesanan Meja Kursi Murid</t>
        </is>
      </c>
      <c r="G350" s="3" t="n"/>
      <c r="H350" s="3" t="n"/>
      <c r="I350" s="3" t="n"/>
      <c r="J350" s="4" t="n"/>
      <c r="K350" s="3" t="n">
        <v>2025</v>
      </c>
      <c r="L350" s="5" t="n"/>
      <c r="M350" s="5" t="n">
        <v>27500000</v>
      </c>
      <c r="N350" s="3" t="n"/>
      <c r="O350" s="3" t="n">
        <v>4</v>
      </c>
      <c r="P350" s="5" t="n">
        <v>4125000</v>
      </c>
      <c r="Q350" s="5" t="n">
        <v>23375000</v>
      </c>
      <c r="R350" s="3" t="inlineStr"/>
      <c r="S350" s="3" t="inlineStr">
        <is>
          <t>Aktif</t>
        </is>
      </c>
      <c r="T350" s="3" t="n"/>
      <c r="U350" s="3" t="inlineStr">
        <is>
          <t>LIST ASSET YPIK 2025(1).xlsx | Inv. SDIA</t>
        </is>
      </c>
    </row>
    <row r="351">
      <c r="A351" s="3" t="n">
        <v>348</v>
      </c>
      <c r="B351" s="3" t="n"/>
      <c r="C351" s="3" t="inlineStr">
        <is>
          <t>SDIA 23 JATIKRAMAT</t>
        </is>
      </c>
      <c r="D351" s="3" t="n"/>
      <c r="E351" s="3" t="inlineStr">
        <is>
          <t>Pembelian Whiteboard untuk Kelas 1 Abu Bakar SDIA</t>
        </is>
      </c>
      <c r="F351" s="3" t="inlineStr">
        <is>
          <t>Pembelian Whiteboard untuk Kelas 1 Abu Bakar SDIA</t>
        </is>
      </c>
      <c r="G351" s="3" t="n"/>
      <c r="H351" s="3" t="n"/>
      <c r="I351" s="3" t="n"/>
      <c r="J351" s="4" t="n"/>
      <c r="K351" s="3" t="n">
        <v>2025</v>
      </c>
      <c r="L351" s="5" t="n"/>
      <c r="M351" s="5" t="n">
        <v>1900000</v>
      </c>
      <c r="N351" s="3" t="n"/>
      <c r="O351" s="3" t="n">
        <v>4</v>
      </c>
      <c r="P351" s="5" t="n">
        <v>253333.3333333333</v>
      </c>
      <c r="Q351" s="5" t="n">
        <v>1646666.666666667</v>
      </c>
      <c r="R351" s="3" t="inlineStr"/>
      <c r="S351" s="3" t="inlineStr">
        <is>
          <t>Aktif</t>
        </is>
      </c>
      <c r="T351" s="3" t="n"/>
      <c r="U351" s="3" t="inlineStr">
        <is>
          <t>LIST ASSET YPIK 2025(1).xlsx | Inv. SDIA</t>
        </is>
      </c>
    </row>
    <row r="352">
      <c r="A352" s="3" t="n">
        <v>349</v>
      </c>
      <c r="B352" s="3" t="n"/>
      <c r="C352" s="3" t="inlineStr">
        <is>
          <t>SDIA 23 JATIKRAMAT</t>
        </is>
      </c>
      <c r="D352" s="3" t="n"/>
      <c r="E352" s="3" t="inlineStr">
        <is>
          <t>Pembelian 3 Unit Brankas untuk Kelas Baru SDIA</t>
        </is>
      </c>
      <c r="F352" s="3" t="inlineStr">
        <is>
          <t>Pembelian 3 Unit Brankas untuk Kelas Baru SDIA</t>
        </is>
      </c>
      <c r="G352" s="3" t="n"/>
      <c r="H352" s="3" t="n"/>
      <c r="I352" s="3" t="n"/>
      <c r="J352" s="4" t="n"/>
      <c r="K352" s="3" t="n">
        <v>2025</v>
      </c>
      <c r="L352" s="5" t="n"/>
      <c r="M352" s="5" t="n">
        <v>7500000</v>
      </c>
      <c r="N352" s="3" t="n"/>
      <c r="O352" s="3" t="n">
        <v>4</v>
      </c>
      <c r="P352" s="5" t="n">
        <v>1000000</v>
      </c>
      <c r="Q352" s="5" t="n">
        <v>6500000</v>
      </c>
      <c r="R352" s="3" t="inlineStr"/>
      <c r="S352" s="3" t="inlineStr">
        <is>
          <t>Aktif</t>
        </is>
      </c>
      <c r="T352" s="3" t="n"/>
      <c r="U352" s="3" t="inlineStr">
        <is>
          <t>LIST ASSET YPIK 2025(1).xlsx | Inv. SDIA</t>
        </is>
      </c>
    </row>
    <row r="353">
      <c r="A353" s="3" t="n">
        <v>350</v>
      </c>
      <c r="B353" s="3" t="n"/>
      <c r="C353" s="3" t="inlineStr">
        <is>
          <t>SDIA 23 JATIKRAMAT</t>
        </is>
      </c>
      <c r="D353" s="3" t="n"/>
      <c r="E353" s="3" t="inlineStr">
        <is>
          <t>Pelunasan Pemesanan Meja Kursi Murid Kelas Baru</t>
        </is>
      </c>
      <c r="F353" s="3" t="inlineStr">
        <is>
          <t>Pelunasan Pemesanan Meja Kursi Murid Kelas Baru</t>
        </is>
      </c>
      <c r="G353" s="3" t="n"/>
      <c r="H353" s="3" t="n"/>
      <c r="I353" s="3" t="n"/>
      <c r="J353" s="4" t="n"/>
      <c r="K353" s="3" t="n">
        <v>2025</v>
      </c>
      <c r="L353" s="5" t="n"/>
      <c r="M353" s="5" t="n">
        <v>59920000</v>
      </c>
      <c r="N353" s="3" t="n"/>
      <c r="O353" s="3" t="n">
        <v>4</v>
      </c>
      <c r="P353" s="5" t="n">
        <v>7989333.333333333</v>
      </c>
      <c r="Q353" s="5" t="n">
        <v>51930666.66666666</v>
      </c>
      <c r="R353" s="3" t="inlineStr"/>
      <c r="S353" s="3" t="inlineStr">
        <is>
          <t>Aktif</t>
        </is>
      </c>
      <c r="T353" s="3" t="n"/>
      <c r="U353" s="3" t="inlineStr">
        <is>
          <t>LIST ASSET YPIK 2025(1).xlsx | Inv. SDIA</t>
        </is>
      </c>
    </row>
    <row r="354">
      <c r="A354" s="3" t="n">
        <v>351</v>
      </c>
      <c r="B354" s="3" t="n"/>
      <c r="C354" s="3" t="inlineStr">
        <is>
          <t>SDIA 23 JATIKRAMAT</t>
        </is>
      </c>
      <c r="D354" s="3" t="n"/>
      <c r="E354" s="3" t="inlineStr">
        <is>
          <t>Rak Sepatu untuk Kelas Baru SDIA</t>
        </is>
      </c>
      <c r="F354" s="3" t="inlineStr">
        <is>
          <t>Rak Sepatu untuk Kelas Baru SDIA</t>
        </is>
      </c>
      <c r="G354" s="3" t="n"/>
      <c r="H354" s="3" t="n"/>
      <c r="I354" s="3" t="n"/>
      <c r="J354" s="4" t="n"/>
      <c r="K354" s="3" t="n">
        <v>2025</v>
      </c>
      <c r="L354" s="5" t="n"/>
      <c r="M354" s="5" t="n">
        <v>21000000</v>
      </c>
      <c r="N354" s="3" t="n"/>
      <c r="O354" s="3" t="n">
        <v>4</v>
      </c>
      <c r="P354" s="5" t="n">
        <v>2450000</v>
      </c>
      <c r="Q354" s="5" t="n">
        <v>18550000</v>
      </c>
      <c r="R354" s="3" t="inlineStr"/>
      <c r="S354" s="3" t="inlineStr">
        <is>
          <t>Aktif</t>
        </is>
      </c>
      <c r="T354" s="3" t="n"/>
      <c r="U354" s="3" t="inlineStr">
        <is>
          <t>LIST ASSET YPIK 2025(1).xlsx | Inv. SDIA</t>
        </is>
      </c>
    </row>
    <row r="355">
      <c r="A355" s="3" t="n">
        <v>352</v>
      </c>
      <c r="B355" s="3" t="n"/>
      <c r="C355" s="3" t="inlineStr">
        <is>
          <t>SDIA 23 JATIKRAMAT</t>
        </is>
      </c>
      <c r="D355" s="3" t="n"/>
      <c r="E355" s="3" t="inlineStr">
        <is>
          <t>Pembelian Paket Photo Presiden dan 3 Unit Meja Kantor untuk Kelas Baru SDIA</t>
        </is>
      </c>
      <c r="F355" s="3" t="inlineStr">
        <is>
          <t>Pembelian Paket Photo Presiden dan 3 Unit Meja Kantor untuk Kelas Baru SDIA</t>
        </is>
      </c>
      <c r="G355" s="3" t="n"/>
      <c r="H355" s="3" t="n"/>
      <c r="I355" s="3" t="n"/>
      <c r="J355" s="4" t="n"/>
      <c r="K355" s="3" t="n">
        <v>2025</v>
      </c>
      <c r="L355" s="5" t="n"/>
      <c r="M355" s="5" t="n">
        <v>3765000</v>
      </c>
      <c r="N355" s="3" t="n"/>
      <c r="O355" s="3" t="n">
        <v>4</v>
      </c>
      <c r="P355" s="5" t="n">
        <v>439250</v>
      </c>
      <c r="Q355" s="5" t="n">
        <v>3325750</v>
      </c>
      <c r="R355" s="3" t="inlineStr"/>
      <c r="S355" s="3" t="inlineStr">
        <is>
          <t>Aktif</t>
        </is>
      </c>
      <c r="T355" s="3" t="n"/>
      <c r="U355" s="3" t="inlineStr">
        <is>
          <t>LIST ASSET YPIK 2025(1).xlsx | Inv. SDIA</t>
        </is>
      </c>
    </row>
    <row r="356">
      <c r="A356" s="3" t="n">
        <v>353</v>
      </c>
      <c r="B356" s="3" t="n"/>
      <c r="C356" s="3" t="inlineStr">
        <is>
          <t>SDIA 23 JATIKRAMAT</t>
        </is>
      </c>
      <c r="D356" s="3" t="n"/>
      <c r="E356" s="3" t="inlineStr">
        <is>
          <t>Pembelian 3 Unit Kursi Guru Kelas Baru dan 3 Unit Cermin Dinding</t>
        </is>
      </c>
      <c r="F356" s="3" t="inlineStr">
        <is>
          <t>Pembelian 3 Unit Kursi Guru Kelas Baru dan 3 Unit Cermin Dinding</t>
        </is>
      </c>
      <c r="G356" s="3" t="n"/>
      <c r="H356" s="3" t="n"/>
      <c r="I356" s="3" t="n"/>
      <c r="J356" s="4" t="n"/>
      <c r="K356" s="3" t="n">
        <v>2025</v>
      </c>
      <c r="L356" s="5" t="n"/>
      <c r="M356" s="5" t="n">
        <v>2200730</v>
      </c>
      <c r="N356" s="3" t="n"/>
      <c r="O356" s="3" t="n">
        <v>4</v>
      </c>
      <c r="P356" s="5" t="n">
        <v>256751.8333333333</v>
      </c>
      <c r="Q356" s="5" t="n">
        <v>1943978.166666667</v>
      </c>
      <c r="R356" s="3" t="inlineStr"/>
      <c r="S356" s="3" t="inlineStr">
        <is>
          <t>Aktif</t>
        </is>
      </c>
      <c r="T356" s="3" t="n"/>
      <c r="U356" s="3" t="inlineStr">
        <is>
          <t>LIST ASSET YPIK 2025(1).xlsx | Inv. SDIA</t>
        </is>
      </c>
    </row>
    <row r="357">
      <c r="A357" s="3" t="n">
        <v>354</v>
      </c>
      <c r="B357" s="3" t="n"/>
      <c r="C357" s="3" t="inlineStr">
        <is>
          <t>SDIA 23 JATIKRAMAT</t>
        </is>
      </c>
      <c r="D357" s="3" t="n"/>
      <c r="E357" s="3" t="inlineStr">
        <is>
          <t>Pembelian Bell Sekolah untuk SDIA</t>
        </is>
      </c>
      <c r="F357" s="3" t="inlineStr">
        <is>
          <t>Pembelian Bell Sekolah untuk SDIA</t>
        </is>
      </c>
      <c r="G357" s="3" t="n"/>
      <c r="H357" s="3" t="n"/>
      <c r="I357" s="3" t="n"/>
      <c r="J357" s="4" t="n"/>
      <c r="K357" s="3" t="n">
        <v>2025</v>
      </c>
      <c r="L357" s="5" t="n"/>
      <c r="M357" s="5" t="n">
        <v>1536640</v>
      </c>
      <c r="N357" s="3" t="n"/>
      <c r="O357" s="3" t="n">
        <v>4</v>
      </c>
      <c r="P357" s="5" t="n">
        <v>128053.3333333333</v>
      </c>
      <c r="Q357" s="5" t="n">
        <v>1408586.666666667</v>
      </c>
      <c r="R357" s="3" t="inlineStr"/>
      <c r="S357" s="3" t="inlineStr">
        <is>
          <t>Aktif</t>
        </is>
      </c>
      <c r="T357" s="3" t="n"/>
      <c r="U357" s="3" t="inlineStr">
        <is>
          <t>LIST ASSET YPIK 2025(1).xlsx | Inv. SDIA</t>
        </is>
      </c>
    </row>
    <row r="358">
      <c r="A358" s="3" t="n">
        <v>355</v>
      </c>
      <c r="B358" s="3" t="n"/>
      <c r="C358" s="3" t="inlineStr">
        <is>
          <t>SDIA 23 JATIKRAMAT</t>
        </is>
      </c>
      <c r="D358" s="3" t="n"/>
      <c r="E358" s="3" t="inlineStr">
        <is>
          <t>Mesin Penghancur Kertas SDIA</t>
        </is>
      </c>
      <c r="F358" s="3" t="inlineStr">
        <is>
          <t>Mesin Penghancur Kertas SDIA</t>
        </is>
      </c>
      <c r="G358" s="3" t="n"/>
      <c r="H358" s="3" t="n"/>
      <c r="I358" s="3" t="n"/>
      <c r="J358" s="4" t="n"/>
      <c r="K358" s="3" t="n">
        <v>2025</v>
      </c>
      <c r="L358" s="5" t="n"/>
      <c r="M358" s="5" t="n">
        <v>1987500</v>
      </c>
      <c r="N358" s="3" t="n"/>
      <c r="O358" s="3" t="n">
        <v>4</v>
      </c>
      <c r="P358" s="5" t="n">
        <v>165625</v>
      </c>
      <c r="Q358" s="5" t="n">
        <v>1821875</v>
      </c>
      <c r="R358" s="3" t="inlineStr"/>
      <c r="S358" s="3" t="inlineStr">
        <is>
          <t>Aktif</t>
        </is>
      </c>
      <c r="T358" s="3" t="n"/>
      <c r="U358" s="3" t="inlineStr">
        <is>
          <t>LIST ASSET YPIK 2025(1).xlsx | Inv. SDIA</t>
        </is>
      </c>
    </row>
    <row r="359">
      <c r="A359" s="3" t="n">
        <v>356</v>
      </c>
      <c r="B359" s="3" t="n"/>
      <c r="C359" s="3" t="inlineStr">
        <is>
          <t>SDIA 23 JATIKRAMAT</t>
        </is>
      </c>
      <c r="D359" s="3" t="n"/>
      <c r="E359" s="3" t="inlineStr">
        <is>
          <t>Pembelian Kursi Meja untuk Guru (Informa)</t>
        </is>
      </c>
      <c r="F359" s="3" t="inlineStr">
        <is>
          <t>Pembelian Kursi Meja untuk Guru (Informa)</t>
        </is>
      </c>
      <c r="G359" s="3" t="n"/>
      <c r="H359" s="3" t="n"/>
      <c r="I359" s="3" t="n"/>
      <c r="J359" s="4" t="n"/>
      <c r="K359" s="3" t="n">
        <v>2025</v>
      </c>
      <c r="L359" s="5" t="n"/>
      <c r="M359" s="5" t="n">
        <v>5498030</v>
      </c>
      <c r="N359" s="3" t="n"/>
      <c r="O359" s="3" t="n">
        <v>4</v>
      </c>
      <c r="P359" s="5" t="n">
        <v>458169.1666666667</v>
      </c>
      <c r="Q359" s="5" t="n">
        <v>5039860.833333333</v>
      </c>
      <c r="R359" s="3" t="inlineStr"/>
      <c r="S359" s="3" t="inlineStr">
        <is>
          <t>Aktif</t>
        </is>
      </c>
      <c r="T359" s="3" t="n"/>
      <c r="U359" s="3" t="inlineStr">
        <is>
          <t>LIST ASSET YPIK 2025(1).xlsx | Inv. SDIA</t>
        </is>
      </c>
    </row>
    <row r="360">
      <c r="A360" s="3" t="n">
        <v>357</v>
      </c>
      <c r="B360" s="3" t="n"/>
      <c r="C360" s="3" t="inlineStr">
        <is>
          <t>SDIA 23 JATIKRAMAT</t>
        </is>
      </c>
      <c r="D360" s="3" t="n"/>
      <c r="E360" s="3" t="inlineStr">
        <is>
          <t>Pembelian Hordeng untuk Sekat UKS SDIA</t>
        </is>
      </c>
      <c r="F360" s="3" t="inlineStr">
        <is>
          <t>Pembelian Hordeng untuk Sekat UKS SDIA</t>
        </is>
      </c>
      <c r="G360" s="3" t="n"/>
      <c r="H360" s="3" t="n"/>
      <c r="I360" s="3" t="n"/>
      <c r="J360" s="4" t="n"/>
      <c r="K360" s="3" t="n">
        <v>2025</v>
      </c>
      <c r="L360" s="5" t="n"/>
      <c r="M360" s="5" t="n">
        <v>15502500</v>
      </c>
      <c r="N360" s="3" t="n"/>
      <c r="O360" s="3" t="n">
        <v>4</v>
      </c>
      <c r="P360" s="5" t="n">
        <v>1033500</v>
      </c>
      <c r="Q360" s="5" t="n">
        <v>14469000</v>
      </c>
      <c r="R360" s="3" t="inlineStr"/>
      <c r="S360" s="3" t="inlineStr">
        <is>
          <t>Aktif</t>
        </is>
      </c>
      <c r="T360" s="3" t="n"/>
      <c r="U360" s="3" t="inlineStr">
        <is>
          <t>LIST ASSET YPIK 2025(1).xlsx | Inv. SDIA</t>
        </is>
      </c>
    </row>
    <row r="361">
      <c r="A361" s="3" t="n">
        <v>358</v>
      </c>
      <c r="B361" s="3" t="n"/>
      <c r="C361" s="3" t="inlineStr">
        <is>
          <t>YPIK PAM JAYA</t>
        </is>
      </c>
      <c r="D361" s="3" t="n"/>
      <c r="E361" s="3" t="inlineStr">
        <is>
          <t>Meja Murid</t>
        </is>
      </c>
      <c r="F361" s="3" t="inlineStr">
        <is>
          <t>Meja Murid</t>
        </is>
      </c>
      <c r="G361" s="3" t="n"/>
      <c r="H361" s="3" t="n"/>
      <c r="I361" s="3" t="inlineStr">
        <is>
          <t>2 Unit</t>
        </is>
      </c>
      <c r="J361" s="4" t="n"/>
      <c r="K361" s="3" t="n">
        <v>2018</v>
      </c>
      <c r="L361" s="5" t="n"/>
      <c r="M361" s="5" t="n">
        <v>800000</v>
      </c>
      <c r="N361" s="3" t="n"/>
      <c r="O361" s="3" t="n">
        <v>4</v>
      </c>
      <c r="P361" s="5" t="n">
        <v>800000</v>
      </c>
      <c r="Q361" s="5" t="n">
        <v>0</v>
      </c>
      <c r="R361" s="3" t="inlineStr"/>
      <c r="S361" s="3" t="inlineStr">
        <is>
          <t>Aktif</t>
        </is>
      </c>
      <c r="T361" s="3" t="n"/>
      <c r="U361" s="3" t="inlineStr">
        <is>
          <t>LIST ASSET YPIK 2025(1).xlsx | Inv. YPIK</t>
        </is>
      </c>
    </row>
    <row r="362">
      <c r="A362" s="3" t="n">
        <v>359</v>
      </c>
      <c r="B362" s="3" t="n"/>
      <c r="C362" s="3" t="inlineStr">
        <is>
          <t>YPIK PAM JAYA</t>
        </is>
      </c>
      <c r="D362" s="3" t="n"/>
      <c r="E362" s="3" t="inlineStr">
        <is>
          <t>Kursi Murid</t>
        </is>
      </c>
      <c r="F362" s="3" t="inlineStr">
        <is>
          <t>Kursi Murid</t>
        </is>
      </c>
      <c r="G362" s="3" t="n"/>
      <c r="H362" s="3" t="n"/>
      <c r="I362" s="3" t="inlineStr">
        <is>
          <t>4 Unit</t>
        </is>
      </c>
      <c r="J362" s="4" t="n"/>
      <c r="K362" s="3" t="n">
        <v>2018</v>
      </c>
      <c r="L362" s="5" t="n"/>
      <c r="M362" s="5" t="n">
        <v>1200000</v>
      </c>
      <c r="N362" s="3" t="n"/>
      <c r="O362" s="3" t="n">
        <v>4</v>
      </c>
      <c r="P362" s="5" t="n">
        <v>1200000</v>
      </c>
      <c r="Q362" s="5" t="n">
        <v>0</v>
      </c>
      <c r="R362" s="3" t="inlineStr"/>
      <c r="S362" s="3" t="inlineStr">
        <is>
          <t>Aktif</t>
        </is>
      </c>
      <c r="T362" s="3" t="n"/>
      <c r="U362" s="3" t="inlineStr">
        <is>
          <t>LIST ASSET YPIK 2025(1).xlsx | Inv. YPIK</t>
        </is>
      </c>
    </row>
    <row r="363">
      <c r="A363" s="3" t="n">
        <v>360</v>
      </c>
      <c r="B363" s="3" t="n"/>
      <c r="C363" s="3" t="inlineStr">
        <is>
          <t>YPIK PAM JAYA</t>
        </is>
      </c>
      <c r="D363" s="3" t="n"/>
      <c r="E363" s="3" t="inlineStr">
        <is>
          <t>Meja Rapat</t>
        </is>
      </c>
      <c r="F363" s="3" t="inlineStr">
        <is>
          <t>Meja Rapat</t>
        </is>
      </c>
      <c r="G363" s="3" t="n"/>
      <c r="H363" s="3" t="n"/>
      <c r="I363" s="3" t="inlineStr">
        <is>
          <t>1 Unit</t>
        </is>
      </c>
      <c r="J363" s="4" t="n"/>
      <c r="K363" s="3" t="n">
        <v>2018</v>
      </c>
      <c r="L363" s="5" t="n"/>
      <c r="M363" s="5" t="n">
        <v>1500000</v>
      </c>
      <c r="N363" s="3" t="n"/>
      <c r="O363" s="3" t="n">
        <v>4</v>
      </c>
      <c r="P363" s="5" t="n">
        <v>1500000</v>
      </c>
      <c r="Q363" s="5" t="n">
        <v>0</v>
      </c>
      <c r="R363" s="3" t="inlineStr"/>
      <c r="S363" s="3" t="inlineStr">
        <is>
          <t>Aktif</t>
        </is>
      </c>
      <c r="T363" s="3" t="n"/>
      <c r="U363" s="3" t="inlineStr">
        <is>
          <t>LIST ASSET YPIK 2025(1).xlsx | Inv. YPIK</t>
        </is>
      </c>
    </row>
    <row r="364">
      <c r="A364" s="3" t="n">
        <v>361</v>
      </c>
      <c r="B364" s="3" t="n"/>
      <c r="C364" s="3" t="inlineStr">
        <is>
          <t>YPIK PAM JAYA</t>
        </is>
      </c>
      <c r="D364" s="3" t="n"/>
      <c r="E364" s="3" t="inlineStr">
        <is>
          <t>Brank Cash</t>
        </is>
      </c>
      <c r="F364" s="3" t="inlineStr">
        <is>
          <t>Brank Cash</t>
        </is>
      </c>
      <c r="G364" s="3" t="n"/>
      <c r="H364" s="3" t="n"/>
      <c r="I364" s="3" t="inlineStr">
        <is>
          <t>1 Unit</t>
        </is>
      </c>
      <c r="J364" s="4" t="n"/>
      <c r="K364" s="3" t="n">
        <v>2018</v>
      </c>
      <c r="L364" s="5" t="n"/>
      <c r="M364" s="5" t="n">
        <v>25000000</v>
      </c>
      <c r="N364" s="3" t="n"/>
      <c r="O364" s="3" t="n">
        <v>4</v>
      </c>
      <c r="P364" s="5" t="n">
        <v>25000000</v>
      </c>
      <c r="Q364" s="5" t="n">
        <v>0</v>
      </c>
      <c r="R364" s="3" t="inlineStr"/>
      <c r="S364" s="3" t="inlineStr">
        <is>
          <t>Aktif</t>
        </is>
      </c>
      <c r="T364" s="3" t="n"/>
      <c r="U364" s="3" t="inlineStr">
        <is>
          <t>LIST ASSET YPIK 2025(1).xlsx | Inv. YPIK</t>
        </is>
      </c>
    </row>
    <row r="365">
      <c r="A365" s="3" t="n">
        <v>362</v>
      </c>
      <c r="B365" s="3" t="n"/>
      <c r="C365" s="3" t="inlineStr">
        <is>
          <t>YPIK PAM JAYA</t>
        </is>
      </c>
      <c r="D365" s="3" t="n"/>
      <c r="E365" s="3" t="inlineStr">
        <is>
          <t>Rak Besi</t>
        </is>
      </c>
      <c r="F365" s="3" t="inlineStr">
        <is>
          <t>Rak Besi</t>
        </is>
      </c>
      <c r="G365" s="3" t="n"/>
      <c r="H365" s="3" t="n"/>
      <c r="I365" s="3" t="inlineStr">
        <is>
          <t>1 Unit</t>
        </is>
      </c>
      <c r="J365" s="4" t="n"/>
      <c r="K365" s="3" t="n">
        <v>2018</v>
      </c>
      <c r="L365" s="5" t="n"/>
      <c r="M365" s="5" t="n">
        <v>3000000</v>
      </c>
      <c r="N365" s="3" t="n"/>
      <c r="O365" s="3" t="n">
        <v>4</v>
      </c>
      <c r="P365" s="5" t="n">
        <v>3000000</v>
      </c>
      <c r="Q365" s="5" t="n">
        <v>0</v>
      </c>
      <c r="R365" s="3" t="inlineStr"/>
      <c r="S365" s="3" t="inlineStr">
        <is>
          <t>Aktif</t>
        </is>
      </c>
      <c r="T365" s="3" t="n"/>
      <c r="U365" s="3" t="inlineStr">
        <is>
          <t>LIST ASSET YPIK 2025(1).xlsx | Inv. YPIK</t>
        </is>
      </c>
    </row>
    <row r="366">
      <c r="A366" s="3" t="n">
        <v>363</v>
      </c>
      <c r="B366" s="3" t="n"/>
      <c r="C366" s="3" t="inlineStr">
        <is>
          <t>YPIK PAM JAYA</t>
        </is>
      </c>
      <c r="D366" s="3" t="n"/>
      <c r="E366" s="3" t="inlineStr">
        <is>
          <t>Estalase Kaca</t>
        </is>
      </c>
      <c r="F366" s="3" t="inlineStr">
        <is>
          <t>Estalase Kaca</t>
        </is>
      </c>
      <c r="G366" s="3" t="n"/>
      <c r="H366" s="3" t="n"/>
      <c r="I366" s="3" t="inlineStr">
        <is>
          <t>1 Unit</t>
        </is>
      </c>
      <c r="J366" s="4" t="n"/>
      <c r="K366" s="3" t="n">
        <v>2018</v>
      </c>
      <c r="L366" s="5" t="n"/>
      <c r="M366" s="5" t="n">
        <v>1000000</v>
      </c>
      <c r="N366" s="3" t="n"/>
      <c r="O366" s="3" t="n">
        <v>4</v>
      </c>
      <c r="P366" s="5" t="n">
        <v>1000000</v>
      </c>
      <c r="Q366" s="5" t="n">
        <v>0</v>
      </c>
      <c r="R366" s="3" t="inlineStr"/>
      <c r="S366" s="3" t="inlineStr">
        <is>
          <t>Aktif</t>
        </is>
      </c>
      <c r="T366" s="3" t="n"/>
      <c r="U366" s="3" t="inlineStr">
        <is>
          <t>LIST ASSET YPIK 2025(1).xlsx | Inv. YPIK</t>
        </is>
      </c>
    </row>
    <row r="367">
      <c r="A367" s="3" t="n">
        <v>364</v>
      </c>
      <c r="B367" s="3" t="n"/>
      <c r="C367" s="3" t="inlineStr">
        <is>
          <t>YPIK PAM JAYA</t>
        </is>
      </c>
      <c r="D367" s="3" t="n"/>
      <c r="E367" s="3" t="inlineStr">
        <is>
          <t>Mesin Foto Copy</t>
        </is>
      </c>
      <c r="F367" s="3" t="inlineStr">
        <is>
          <t>Mesin Foto Copy</t>
        </is>
      </c>
      <c r="G367" s="3" t="n"/>
      <c r="H367" s="3" t="n"/>
      <c r="I367" s="3" t="inlineStr">
        <is>
          <t>1 Unit</t>
        </is>
      </c>
      <c r="J367" s="4" t="n"/>
      <c r="K367" s="3" t="n">
        <v>2018</v>
      </c>
      <c r="L367" s="5" t="n"/>
      <c r="M367" s="5" t="n">
        <v>85000000</v>
      </c>
      <c r="N367" s="3" t="n"/>
      <c r="O367" s="3" t="n">
        <v>4</v>
      </c>
      <c r="P367" s="5" t="n">
        <v>85000000</v>
      </c>
      <c r="Q367" s="5" t="n">
        <v>0</v>
      </c>
      <c r="R367" s="3" t="inlineStr"/>
      <c r="S367" s="3" t="inlineStr">
        <is>
          <t>Aktif</t>
        </is>
      </c>
      <c r="T367" s="3" t="n"/>
      <c r="U367" s="3" t="inlineStr">
        <is>
          <t>LIST ASSET YPIK 2025(1).xlsx | Inv. YPIK</t>
        </is>
      </c>
    </row>
    <row r="368">
      <c r="A368" s="3" t="n">
        <v>365</v>
      </c>
      <c r="B368" s="3" t="n"/>
      <c r="C368" s="3" t="inlineStr">
        <is>
          <t>YPIK PAM JAYA</t>
        </is>
      </c>
      <c r="D368" s="3" t="n"/>
      <c r="E368" s="3" t="inlineStr">
        <is>
          <t>Lemari Arsip Besi</t>
        </is>
      </c>
      <c r="F368" s="3" t="inlineStr">
        <is>
          <t>Lemari Arsip Besi</t>
        </is>
      </c>
      <c r="G368" s="3" t="n"/>
      <c r="H368" s="3" t="n"/>
      <c r="I368" s="3" t="inlineStr">
        <is>
          <t>4 Unit</t>
        </is>
      </c>
      <c r="J368" s="4" t="n"/>
      <c r="K368" s="3" t="n">
        <v>2019</v>
      </c>
      <c r="L368" s="5" t="n"/>
      <c r="M368" s="5" t="n">
        <v>5190000</v>
      </c>
      <c r="N368" s="3" t="n"/>
      <c r="O368" s="3" t="n">
        <v>4</v>
      </c>
      <c r="P368" s="5" t="n">
        <v>5190000</v>
      </c>
      <c r="Q368" s="5" t="n">
        <v>0</v>
      </c>
      <c r="R368" s="3" t="inlineStr"/>
      <c r="S368" s="3" t="inlineStr">
        <is>
          <t>Aktif</t>
        </is>
      </c>
      <c r="T368" s="3" t="n"/>
      <c r="U368" s="3" t="inlineStr">
        <is>
          <t>LIST ASSET YPIK 2025(1).xlsx | Inv. YPIK</t>
        </is>
      </c>
    </row>
    <row r="369">
      <c r="A369" s="3" t="n">
        <v>366</v>
      </c>
      <c r="B369" s="3" t="n"/>
      <c r="C369" s="3" t="inlineStr">
        <is>
          <t>YPIK PAM JAYA</t>
        </is>
      </c>
      <c r="D369" s="3" t="n"/>
      <c r="E369" s="3" t="inlineStr">
        <is>
          <t>Lemari Arsip Besi</t>
        </is>
      </c>
      <c r="F369" s="3" t="inlineStr">
        <is>
          <t>Lemari Arsip Besi</t>
        </is>
      </c>
      <c r="G369" s="3" t="n"/>
      <c r="H369" s="3" t="n"/>
      <c r="I369" s="3" t="inlineStr">
        <is>
          <t>2 Unit</t>
        </is>
      </c>
      <c r="J369" s="4" t="n"/>
      <c r="K369" s="3" t="n">
        <v>2019</v>
      </c>
      <c r="L369" s="5" t="n"/>
      <c r="M369" s="5" t="n">
        <v>2922000</v>
      </c>
      <c r="N369" s="3" t="n"/>
      <c r="O369" s="3" t="n">
        <v>4</v>
      </c>
      <c r="P369" s="5" t="n">
        <v>2922000</v>
      </c>
      <c r="Q369" s="5" t="n">
        <v>0</v>
      </c>
      <c r="R369" s="3" t="inlineStr"/>
      <c r="S369" s="3" t="inlineStr">
        <is>
          <t>Aktif</t>
        </is>
      </c>
      <c r="T369" s="3" t="n"/>
      <c r="U369" s="3" t="inlineStr">
        <is>
          <t>LIST ASSET YPIK 2025(1).xlsx | Inv. YPIK</t>
        </is>
      </c>
    </row>
    <row r="370">
      <c r="A370" s="3" t="n">
        <v>367</v>
      </c>
      <c r="B370" s="3" t="n"/>
      <c r="C370" s="3" t="inlineStr">
        <is>
          <t>YPIK PAM JAYA</t>
        </is>
      </c>
      <c r="D370" s="3" t="n"/>
      <c r="E370" s="3" t="inlineStr">
        <is>
          <t>Lemari Arsip Besi</t>
        </is>
      </c>
      <c r="F370" s="3" t="inlineStr">
        <is>
          <t>Lemari Arsip Besi</t>
        </is>
      </c>
      <c r="G370" s="3" t="n"/>
      <c r="H370" s="3" t="n"/>
      <c r="I370" s="3" t="inlineStr">
        <is>
          <t>3 Unit</t>
        </is>
      </c>
      <c r="J370" s="4" t="n"/>
      <c r="K370" s="3" t="n">
        <v>2019</v>
      </c>
      <c r="L370" s="5" t="n"/>
      <c r="M370" s="5" t="n">
        <v>5500000</v>
      </c>
      <c r="N370" s="3" t="n"/>
      <c r="O370" s="3" t="n">
        <v>4</v>
      </c>
      <c r="P370" s="5" t="n">
        <v>5500000</v>
      </c>
      <c r="Q370" s="5" t="n">
        <v>0</v>
      </c>
      <c r="R370" s="3" t="inlineStr"/>
      <c r="S370" s="3" t="inlineStr">
        <is>
          <t>Aktif</t>
        </is>
      </c>
      <c r="T370" s="3" t="n"/>
      <c r="U370" s="3" t="inlineStr">
        <is>
          <t>LIST ASSET YPIK 2025(1).xlsx | Inv. YPIK</t>
        </is>
      </c>
    </row>
    <row r="371">
      <c r="A371" s="3" t="n">
        <v>368</v>
      </c>
      <c r="B371" s="3" t="n"/>
      <c r="C371" s="3" t="inlineStr">
        <is>
          <t>YPIK PAM JAYA</t>
        </is>
      </c>
      <c r="D371" s="3" t="n"/>
      <c r="E371" s="3" t="inlineStr">
        <is>
          <t>ScaFolding 4 tingkat ( @ Tinggi 2 M</t>
        </is>
      </c>
      <c r="F371" s="3" t="inlineStr">
        <is>
          <t>ScaFolding 4 tingkat ( @ Tinggi 2 M</t>
        </is>
      </c>
      <c r="G371" s="3" t="n"/>
      <c r="H371" s="3" t="n"/>
      <c r="I371" s="3" t="inlineStr">
        <is>
          <t>4 Tkt</t>
        </is>
      </c>
      <c r="J371" s="4" t="n"/>
      <c r="K371" s="3" t="n">
        <v>2020</v>
      </c>
      <c r="L371" s="5" t="n"/>
      <c r="M371" s="5" t="n">
        <v>3700000</v>
      </c>
      <c r="N371" s="3" t="n"/>
      <c r="O371" s="3" t="n">
        <v>4</v>
      </c>
      <c r="P371" s="5" t="n">
        <v>3700000</v>
      </c>
      <c r="Q371" s="5" t="n">
        <v>0</v>
      </c>
      <c r="R371" s="3" t="inlineStr"/>
      <c r="S371" s="3" t="inlineStr">
        <is>
          <t>Aktif</t>
        </is>
      </c>
      <c r="T371" s="3" t="n"/>
      <c r="U371" s="3" t="inlineStr">
        <is>
          <t>LIST ASSET YPIK 2025(1).xlsx | Inv. YPIK</t>
        </is>
      </c>
    </row>
    <row r="372">
      <c r="A372" s="3" t="n">
        <v>369</v>
      </c>
      <c r="B372" s="3" t="n"/>
      <c r="C372" s="3" t="inlineStr">
        <is>
          <t>YPIK PAM JAYA</t>
        </is>
      </c>
      <c r="D372" s="3" t="n"/>
      <c r="E372" s="3" t="inlineStr">
        <is>
          <t>Rmh Miniatur</t>
        </is>
      </c>
      <c r="F372" s="3" t="inlineStr">
        <is>
          <t>Rmh Miniatur</t>
        </is>
      </c>
      <c r="G372" s="3" t="n"/>
      <c r="H372" s="3" t="n"/>
      <c r="I372" s="3" t="inlineStr">
        <is>
          <t>1 unit</t>
        </is>
      </c>
      <c r="J372" s="4" t="n"/>
      <c r="K372" s="3" t="n">
        <v>2020</v>
      </c>
      <c r="L372" s="5" t="n"/>
      <c r="M372" s="5" t="n">
        <v>500000</v>
      </c>
      <c r="N372" s="3" t="n"/>
      <c r="O372" s="3" t="n">
        <v>4</v>
      </c>
      <c r="P372" s="5" t="n">
        <v>500000</v>
      </c>
      <c r="Q372" s="5" t="n">
        <v>0</v>
      </c>
      <c r="R372" s="3" t="inlineStr"/>
      <c r="S372" s="3" t="inlineStr">
        <is>
          <t>Aktif</t>
        </is>
      </c>
      <c r="T372" s="3" t="n"/>
      <c r="U372" s="3" t="inlineStr">
        <is>
          <t>LIST ASSET YPIK 2025(1).xlsx | Inv. YPIK</t>
        </is>
      </c>
    </row>
    <row r="373">
      <c r="A373" s="3" t="n">
        <v>370</v>
      </c>
      <c r="B373" s="3" t="n"/>
      <c r="C373" s="3" t="inlineStr">
        <is>
          <t>YPIK PAM JAYA</t>
        </is>
      </c>
      <c r="D373" s="3" t="n"/>
      <c r="E373" s="3" t="inlineStr">
        <is>
          <t>Rmh Miniatur</t>
        </is>
      </c>
      <c r="F373" s="3" t="inlineStr">
        <is>
          <t>Rmh Miniatur</t>
        </is>
      </c>
      <c r="G373" s="3" t="n"/>
      <c r="H373" s="3" t="n"/>
      <c r="I373" s="3" t="inlineStr">
        <is>
          <t>1 Unit</t>
        </is>
      </c>
      <c r="J373" s="4" t="n"/>
      <c r="K373" s="3" t="n">
        <v>2020</v>
      </c>
      <c r="L373" s="5" t="n"/>
      <c r="M373" s="5" t="n">
        <v>500000</v>
      </c>
      <c r="N373" s="3" t="n"/>
      <c r="O373" s="3" t="n">
        <v>4</v>
      </c>
      <c r="P373" s="5" t="n">
        <v>500000</v>
      </c>
      <c r="Q373" s="5" t="n">
        <v>0</v>
      </c>
      <c r="R373" s="3" t="inlineStr"/>
      <c r="S373" s="3" t="inlineStr">
        <is>
          <t>Aktif</t>
        </is>
      </c>
      <c r="T373" s="3" t="n"/>
      <c r="U373" s="3" t="inlineStr">
        <is>
          <t>LIST ASSET YPIK 2025(1).xlsx | Inv. YPIK</t>
        </is>
      </c>
    </row>
    <row r="374">
      <c r="A374" s="3" t="n">
        <v>371</v>
      </c>
      <c r="B374" s="3" t="n"/>
      <c r="C374" s="3" t="inlineStr">
        <is>
          <t>YPIK PAM JAYA</t>
        </is>
      </c>
      <c r="D374" s="3" t="n"/>
      <c r="E374" s="3" t="inlineStr">
        <is>
          <t>Tambahan Scafolding 1/2 Tingkat</t>
        </is>
      </c>
      <c r="F374" s="3" t="inlineStr">
        <is>
          <t>Tambahan Scafolding 1/2 Tingkat</t>
        </is>
      </c>
      <c r="G374" s="3" t="n"/>
      <c r="H374" s="3" t="n"/>
      <c r="I374" s="3" t="inlineStr">
        <is>
          <t>1/2 tkt</t>
        </is>
      </c>
      <c r="J374" s="4" t="n"/>
      <c r="K374" s="3" t="n">
        <v>2020</v>
      </c>
      <c r="L374" s="5" t="n"/>
      <c r="M374" s="5" t="n">
        <v>500000</v>
      </c>
      <c r="N374" s="3" t="n"/>
      <c r="O374" s="3" t="n">
        <v>4</v>
      </c>
      <c r="P374" s="5" t="n">
        <v>500000</v>
      </c>
      <c r="Q374" s="5" t="n">
        <v>0</v>
      </c>
      <c r="R374" s="3" t="inlineStr"/>
      <c r="S374" s="3" t="inlineStr">
        <is>
          <t>Aktif</t>
        </is>
      </c>
      <c r="T374" s="3" t="n"/>
      <c r="U374" s="3" t="inlineStr">
        <is>
          <t>LIST ASSET YPIK 2025(1).xlsx | Inv. YPIK</t>
        </is>
      </c>
    </row>
    <row r="375">
      <c r="A375" s="3" t="n">
        <v>372</v>
      </c>
      <c r="B375" s="3" t="n"/>
      <c r="C375" s="3" t="inlineStr">
        <is>
          <t>YPIK PAM JAYA</t>
        </is>
      </c>
      <c r="D375" s="3" t="n"/>
      <c r="E375" s="3" t="inlineStr">
        <is>
          <t>Pembuatan Tiang Bendera untuk Tiang Bendera Gedung YPIK</t>
        </is>
      </c>
      <c r="F375" s="3" t="inlineStr">
        <is>
          <t>Pembuatan Tiang Bendera untuk Tiang Bendera Gedung YPIK</t>
        </is>
      </c>
      <c r="G375" s="3" t="n"/>
      <c r="H375" s="3" t="n"/>
      <c r="I375" s="3" t="inlineStr">
        <is>
          <t>1 unit</t>
        </is>
      </c>
      <c r="J375" s="4" t="n"/>
      <c r="K375" s="3" t="n">
        <v>2023</v>
      </c>
      <c r="L375" s="5" t="n"/>
      <c r="M375" s="5" t="n">
        <v>1500000</v>
      </c>
      <c r="N375" s="3" t="n"/>
      <c r="O375" s="3" t="n">
        <v>4</v>
      </c>
      <c r="P375" s="5" t="n">
        <v>725000</v>
      </c>
      <c r="Q375" s="5" t="n">
        <v>775000</v>
      </c>
      <c r="R375" s="3" t="inlineStr"/>
      <c r="S375" s="3" t="inlineStr">
        <is>
          <t>Aktif</t>
        </is>
      </c>
      <c r="T375" s="3" t="n"/>
      <c r="U375" s="3" t="inlineStr">
        <is>
          <t>LIST ASSET YPIK 2025(1).xlsx | Inv. YPIK</t>
        </is>
      </c>
    </row>
    <row r="376">
      <c r="A376" s="3" t="n">
        <v>373</v>
      </c>
      <c r="B376" s="3" t="n"/>
      <c r="C376" s="3" t="inlineStr">
        <is>
          <t>YPIK PAM JAYA</t>
        </is>
      </c>
      <c r="D376" s="3" t="n"/>
      <c r="E376" s="3" t="inlineStr">
        <is>
          <t>Biaya Pengisian Tabung Apar 5 Unit</t>
        </is>
      </c>
      <c r="F376" s="3" t="inlineStr">
        <is>
          <t>Biaya Pengisian Tabung Apar 5 Unit</t>
        </is>
      </c>
      <c r="G376" s="3" t="n"/>
      <c r="H376" s="3" t="n"/>
      <c r="I376" s="3" t="inlineStr">
        <is>
          <t>5 unit</t>
        </is>
      </c>
      <c r="J376" s="4" t="n"/>
      <c r="K376" s="3" t="n">
        <v>2023</v>
      </c>
      <c r="L376" s="5" t="n"/>
      <c r="M376" s="5" t="n">
        <v>775000</v>
      </c>
      <c r="N376" s="3" t="n"/>
      <c r="O376" s="3" t="n">
        <v>4</v>
      </c>
      <c r="P376" s="5" t="n">
        <v>452083</v>
      </c>
      <c r="Q376" s="5" t="n">
        <v>322917</v>
      </c>
      <c r="R376" s="3" t="inlineStr"/>
      <c r="S376" s="3" t="inlineStr">
        <is>
          <t>Aktif</t>
        </is>
      </c>
      <c r="T376" s="3" t="n"/>
      <c r="U376" s="3" t="inlineStr">
        <is>
          <t>LIST ASSET YPIK 2025(1).xlsx | Inv. YPIK</t>
        </is>
      </c>
    </row>
    <row r="377">
      <c r="A377" s="3" t="n">
        <v>374</v>
      </c>
      <c r="B377" s="3" t="n"/>
      <c r="C377" s="3" t="inlineStr">
        <is>
          <t>YPIK PAM JAYA</t>
        </is>
      </c>
      <c r="D377" s="3" t="n"/>
      <c r="E377" s="3" t="inlineStr">
        <is>
          <t>Pembelian Tangga Single Telescopic Leader 6 Meter</t>
        </is>
      </c>
      <c r="F377" s="3" t="inlineStr">
        <is>
          <t>Pembelian Tangga Single Telescopic Leader 6 Meter</t>
        </is>
      </c>
      <c r="G377" s="3" t="n"/>
      <c r="H377" s="3" t="n"/>
      <c r="I377" s="3" t="inlineStr">
        <is>
          <t>1 unit</t>
        </is>
      </c>
      <c r="J377" s="4" t="n"/>
      <c r="K377" s="3" t="n">
        <v>2023</v>
      </c>
      <c r="L377" s="5" t="n"/>
      <c r="M377" s="5" t="n">
        <v>2111300</v>
      </c>
      <c r="N377" s="3" t="n"/>
      <c r="O377" s="3" t="n">
        <v>4</v>
      </c>
      <c r="P377" s="5" t="n">
        <v>1231592</v>
      </c>
      <c r="Q377" s="5" t="n">
        <v>879708</v>
      </c>
      <c r="R377" s="3" t="inlineStr"/>
      <c r="S377" s="3" t="inlineStr">
        <is>
          <t>Aktif</t>
        </is>
      </c>
      <c r="T377" s="3" t="n"/>
      <c r="U377" s="3" t="inlineStr">
        <is>
          <t>LIST ASSET YPIK 2025(1).xlsx | Inv. YPIK</t>
        </is>
      </c>
    </row>
    <row r="378">
      <c r="A378" s="3" t="n">
        <v>375</v>
      </c>
      <c r="B378" s="3" t="n"/>
      <c r="C378" s="3" t="inlineStr">
        <is>
          <t>YPIK PAM JAYA</t>
        </is>
      </c>
      <c r="D378" s="3" t="n"/>
      <c r="E378" s="3" t="inlineStr">
        <is>
          <t>Pembelian Material Listrik Gedung YPIK Lantai 2</t>
        </is>
      </c>
      <c r="F378" s="3" t="inlineStr">
        <is>
          <t>Pembelian Material Listrik Gedung YPIK Lantai 2</t>
        </is>
      </c>
      <c r="G378" s="3" t="n"/>
      <c r="H378" s="3" t="n"/>
      <c r="I378" s="3" t="n"/>
      <c r="J378" s="4" t="n"/>
      <c r="K378" s="3" t="n">
        <v>2023</v>
      </c>
      <c r="L378" s="5" t="n"/>
      <c r="M378" s="5" t="n">
        <v>5490500</v>
      </c>
      <c r="N378" s="3" t="n"/>
      <c r="O378" s="3" t="n">
        <v>4</v>
      </c>
      <c r="P378" s="5" t="n">
        <v>2928267</v>
      </c>
      <c r="Q378" s="5" t="n">
        <v>2562233</v>
      </c>
      <c r="R378" s="3" t="inlineStr"/>
      <c r="S378" s="3" t="inlineStr">
        <is>
          <t>Aktif</t>
        </is>
      </c>
      <c r="T378" s="3" t="n"/>
      <c r="U378" s="3" t="inlineStr">
        <is>
          <t>LIST ASSET YPIK 2025(1).xlsx | Inv. YPIK</t>
        </is>
      </c>
    </row>
    <row r="379">
      <c r="A379" s="3" t="n">
        <v>376</v>
      </c>
      <c r="B379" s="3" t="n"/>
      <c r="C379" s="3" t="inlineStr">
        <is>
          <t>YPIK PAM JAYA</t>
        </is>
      </c>
      <c r="D379" s="3" t="n"/>
      <c r="E379" s="3" t="inlineStr">
        <is>
          <t>Biaya Las Bangku/Kursi Murid SDIA</t>
        </is>
      </c>
      <c r="F379" s="3" t="inlineStr">
        <is>
          <t>Biaya Las Bangku/Kursi Murid SDIA</t>
        </is>
      </c>
      <c r="G379" s="3" t="n"/>
      <c r="H379" s="3" t="n"/>
      <c r="I379" s="3" t="n"/>
      <c r="J379" s="4" t="n"/>
      <c r="K379" s="3" t="n">
        <v>2023</v>
      </c>
      <c r="L379" s="5" t="n"/>
      <c r="M379" s="5" t="n">
        <v>850000</v>
      </c>
      <c r="N379" s="3" t="n"/>
      <c r="O379" s="3" t="n">
        <v>4</v>
      </c>
      <c r="P379" s="5" t="n">
        <v>453333</v>
      </c>
      <c r="Q379" s="5" t="n">
        <v>396667</v>
      </c>
      <c r="R379" s="3" t="inlineStr"/>
      <c r="S379" s="3" t="inlineStr">
        <is>
          <t>Aktif</t>
        </is>
      </c>
      <c r="T379" s="3" t="n"/>
      <c r="U379" s="3" t="inlineStr">
        <is>
          <t>LIST ASSET YPIK 2025(1).xlsx | Inv. YPIK</t>
        </is>
      </c>
    </row>
    <row r="380">
      <c r="A380" s="3" t="n">
        <v>377</v>
      </c>
      <c r="B380" s="3" t="n"/>
      <c r="C380" s="3" t="inlineStr">
        <is>
          <t>YPIK PAM JAYA</t>
        </is>
      </c>
      <c r="D380" s="3" t="n"/>
      <c r="E380" s="3" t="inlineStr">
        <is>
          <t>Pembelian Lis Biding untuk Gedung YPIK</t>
        </is>
      </c>
      <c r="F380" s="3" t="inlineStr">
        <is>
          <t>Pembelian Lis Biding untuk Gedung YPIK</t>
        </is>
      </c>
      <c r="G380" s="3" t="n"/>
      <c r="H380" s="3" t="n"/>
      <c r="I380" s="3" t="n"/>
      <c r="J380" s="4" t="n"/>
      <c r="K380" s="3" t="n">
        <v>2023</v>
      </c>
      <c r="L380" s="5" t="n"/>
      <c r="M380" s="5" t="n">
        <v>1770000</v>
      </c>
      <c r="N380" s="3" t="n"/>
      <c r="O380" s="3" t="n">
        <v>4</v>
      </c>
      <c r="P380" s="5" t="n">
        <v>944000</v>
      </c>
      <c r="Q380" s="5" t="n">
        <v>826000</v>
      </c>
      <c r="R380" s="3" t="inlineStr"/>
      <c r="S380" s="3" t="inlineStr">
        <is>
          <t>Aktif</t>
        </is>
      </c>
      <c r="T380" s="3" t="n"/>
      <c r="U380" s="3" t="inlineStr">
        <is>
          <t>LIST ASSET YPIK 2025(1).xlsx | Inv. YPIK</t>
        </is>
      </c>
    </row>
    <row r="381">
      <c r="A381" s="3" t="n">
        <v>378</v>
      </c>
      <c r="B381" s="3" t="n"/>
      <c r="C381" s="3" t="inlineStr">
        <is>
          <t>YPIK PAM JAYA</t>
        </is>
      </c>
      <c r="D381" s="3" t="n"/>
      <c r="E381" s="3" t="inlineStr">
        <is>
          <t>Pembelian Kursi Meja Pembina dan Material Lainnya (5 Nota)</t>
        </is>
      </c>
      <c r="F381" s="3" t="inlineStr">
        <is>
          <t>Pembelian Kursi Meja Pembina dan Material Lainnya (5 Nota)</t>
        </is>
      </c>
      <c r="G381" s="3" t="n"/>
      <c r="H381" s="3" t="n"/>
      <c r="I381" s="3" t="inlineStr">
        <is>
          <t>1 set</t>
        </is>
      </c>
      <c r="J381" s="4" t="n"/>
      <c r="K381" s="3" t="n">
        <v>2023</v>
      </c>
      <c r="L381" s="5" t="n"/>
      <c r="M381" s="5" t="n">
        <v>15404040</v>
      </c>
      <c r="N381" s="3" t="n"/>
      <c r="O381" s="3" t="n">
        <v>4</v>
      </c>
      <c r="P381" s="5" t="n">
        <v>7958754</v>
      </c>
      <c r="Q381" s="5" t="n">
        <v>7445286</v>
      </c>
      <c r="R381" s="3" t="inlineStr"/>
      <c r="S381" s="3" t="inlineStr">
        <is>
          <t>Aktif</t>
        </is>
      </c>
      <c r="T381" s="3" t="n"/>
      <c r="U381" s="3" t="inlineStr">
        <is>
          <t>LIST ASSET YPIK 2025(1).xlsx | Inv. YPIK</t>
        </is>
      </c>
    </row>
    <row r="382">
      <c r="A382" s="3" t="n">
        <v>379</v>
      </c>
      <c r="B382" s="3" t="n"/>
      <c r="C382" s="3" t="inlineStr">
        <is>
          <t>YPIK PAM JAYA</t>
        </is>
      </c>
      <c r="D382" s="3" t="n"/>
      <c r="E382" s="3" t="inlineStr">
        <is>
          <t>Pembelian Meja Rapat dan 6 Buah Kursi</t>
        </is>
      </c>
      <c r="F382" s="3" t="inlineStr">
        <is>
          <t>Pembelian Meja Rapat dan 6 Buah Kursi</t>
        </is>
      </c>
      <c r="G382" s="3" t="n"/>
      <c r="H382" s="3" t="n"/>
      <c r="I382" s="3" t="inlineStr">
        <is>
          <t>6 unit</t>
        </is>
      </c>
      <c r="J382" s="4" t="n"/>
      <c r="K382" s="3" t="n">
        <v>2023</v>
      </c>
      <c r="L382" s="5" t="n"/>
      <c r="M382" s="5" t="n">
        <v>7357500</v>
      </c>
      <c r="N382" s="3" t="n"/>
      <c r="O382" s="3" t="n">
        <v>4</v>
      </c>
      <c r="P382" s="5" t="n">
        <v>3801375</v>
      </c>
      <c r="Q382" s="5" t="n">
        <v>3556125</v>
      </c>
      <c r="R382" s="3" t="inlineStr"/>
      <c r="S382" s="3" t="inlineStr">
        <is>
          <t>Aktif</t>
        </is>
      </c>
      <c r="T382" s="3" t="n"/>
      <c r="U382" s="3" t="inlineStr">
        <is>
          <t>LIST ASSET YPIK 2025(1).xlsx | Inv. YPIK</t>
        </is>
      </c>
    </row>
    <row r="383">
      <c r="A383" s="3" t="n">
        <v>380</v>
      </c>
      <c r="B383" s="3" t="n"/>
      <c r="C383" s="3" t="inlineStr">
        <is>
          <t>YPIK PAM JAYA</t>
        </is>
      </c>
      <c r="D383" s="3" t="n"/>
      <c r="E383" s="3" t="inlineStr">
        <is>
          <t>Pembelian Meja Bulat untuk Rapat (Mitra 10)</t>
        </is>
      </c>
      <c r="F383" s="3" t="inlineStr">
        <is>
          <t>Pembelian Meja Bulat untuk Rapat (Mitra 10)</t>
        </is>
      </c>
      <c r="G383" s="3" t="n"/>
      <c r="H383" s="3" t="n"/>
      <c r="I383" s="3" t="inlineStr">
        <is>
          <t>1 unit</t>
        </is>
      </c>
      <c r="J383" s="4" t="n"/>
      <c r="K383" s="3" t="n">
        <v>2023</v>
      </c>
      <c r="L383" s="5" t="n"/>
      <c r="M383" s="5" t="n">
        <v>2296100</v>
      </c>
      <c r="N383" s="3" t="n"/>
      <c r="O383" s="3" t="n">
        <v>4</v>
      </c>
      <c r="P383" s="5" t="n">
        <v>1148050</v>
      </c>
      <c r="Q383" s="5" t="n">
        <v>1148050</v>
      </c>
      <c r="R383" s="3" t="inlineStr"/>
      <c r="S383" s="3" t="inlineStr">
        <is>
          <t>Aktif</t>
        </is>
      </c>
      <c r="T383" s="3" t="n"/>
      <c r="U383" s="3" t="inlineStr">
        <is>
          <t>LIST ASSET YPIK 2025(1).xlsx | Inv. YPIK</t>
        </is>
      </c>
    </row>
    <row r="384">
      <c r="A384" s="3" t="n">
        <v>381</v>
      </c>
      <c r="B384" s="3" t="n"/>
      <c r="C384" s="3" t="inlineStr">
        <is>
          <t>YPIK PAM JAYA</t>
        </is>
      </c>
      <c r="D384" s="3" t="n"/>
      <c r="E384" s="3" t="inlineStr">
        <is>
          <t>Biaya Pembuatan Rambu Lalu Lintas (Pak Muksin)</t>
        </is>
      </c>
      <c r="F384" s="3" t="inlineStr">
        <is>
          <t>Biaya Pembuatan Rambu Lalu Lintas (Pak Muksin)</t>
        </is>
      </c>
      <c r="G384" s="3" t="n"/>
      <c r="H384" s="3" t="n"/>
      <c r="I384" s="3" t="inlineStr">
        <is>
          <t>12 unit</t>
        </is>
      </c>
      <c r="J384" s="4" t="n"/>
      <c r="K384" s="3" t="n">
        <v>2023</v>
      </c>
      <c r="L384" s="5" t="n"/>
      <c r="M384" s="5" t="n">
        <v>3600000</v>
      </c>
      <c r="N384" s="3" t="n"/>
      <c r="O384" s="3" t="n">
        <v>4</v>
      </c>
      <c r="P384" s="5" t="n">
        <v>1800000</v>
      </c>
      <c r="Q384" s="5" t="n">
        <v>1800000</v>
      </c>
      <c r="R384" s="3" t="inlineStr"/>
      <c r="S384" s="3" t="inlineStr">
        <is>
          <t>Aktif</t>
        </is>
      </c>
      <c r="T384" s="3" t="n"/>
      <c r="U384" s="3" t="inlineStr">
        <is>
          <t>LIST ASSET YPIK 2025(1).xlsx | Inv. YPIK</t>
        </is>
      </c>
    </row>
    <row r="385">
      <c r="A385" s="3" t="n">
        <v>382</v>
      </c>
      <c r="B385" s="3" t="n"/>
      <c r="C385" s="3" t="inlineStr">
        <is>
          <t>YPIK PAM JAYA</t>
        </is>
      </c>
      <c r="D385" s="3" t="n"/>
      <c r="E385" s="3" t="inlineStr">
        <is>
          <t>Pembelian Tempat Sampah Plastik Merk Krisbow untuk SDIA dan YPIK</t>
        </is>
      </c>
      <c r="F385" s="3" t="inlineStr">
        <is>
          <t>Pembelian Tempat Sampah Plastik Merk Krisbow untuk SDIA dan YPIK</t>
        </is>
      </c>
      <c r="G385" s="3" t="n"/>
      <c r="H385" s="3" t="n"/>
      <c r="I385" s="3" t="inlineStr">
        <is>
          <t>2 unit</t>
        </is>
      </c>
      <c r="J385" s="4" t="n"/>
      <c r="K385" s="3" t="n">
        <v>2023</v>
      </c>
      <c r="L385" s="5" t="n"/>
      <c r="M385" s="5" t="n">
        <v>1755500</v>
      </c>
      <c r="N385" s="3" t="n"/>
      <c r="O385" s="3" t="n">
        <v>4</v>
      </c>
      <c r="P385" s="5" t="n">
        <v>877750</v>
      </c>
      <c r="Q385" s="5" t="n">
        <v>877750</v>
      </c>
      <c r="R385" s="3" t="inlineStr"/>
      <c r="S385" s="3" t="inlineStr">
        <is>
          <t>Aktif</t>
        </is>
      </c>
      <c r="T385" s="3" t="n"/>
      <c r="U385" s="3" t="inlineStr">
        <is>
          <t>LIST ASSET YPIK 2025(1).xlsx | Inv. YPIK</t>
        </is>
      </c>
    </row>
    <row r="386">
      <c r="A386" s="3" t="n">
        <v>383</v>
      </c>
      <c r="B386" s="3" t="n"/>
      <c r="C386" s="3" t="inlineStr">
        <is>
          <t>YPIK PAM JAYA</t>
        </is>
      </c>
      <c r="D386" s="3" t="n"/>
      <c r="E386" s="3" t="inlineStr">
        <is>
          <t>Pembelian Exhaust Fan, Tabung Gas dan Keramik Untuk Lt 2 YPIK</t>
        </is>
      </c>
      <c r="F386" s="3" t="inlineStr">
        <is>
          <t>Pembelian Exhaust Fan, Tabung Gas dan Keramik Untuk Lt 2 YPIK</t>
        </is>
      </c>
      <c r="G386" s="3" t="n"/>
      <c r="H386" s="3" t="n"/>
      <c r="I386" s="3" t="inlineStr">
        <is>
          <t>3 unit</t>
        </is>
      </c>
      <c r="J386" s="4" t="n"/>
      <c r="K386" s="3" t="n">
        <v>2023</v>
      </c>
      <c r="L386" s="5" t="n"/>
      <c r="M386" s="5" t="n">
        <v>3205745</v>
      </c>
      <c r="N386" s="3" t="n"/>
      <c r="O386" s="3" t="n">
        <v>4</v>
      </c>
      <c r="P386" s="5" t="n">
        <v>1602873</v>
      </c>
      <c r="Q386" s="5" t="n">
        <v>1602872</v>
      </c>
      <c r="R386" s="3" t="inlineStr"/>
      <c r="S386" s="3" t="inlineStr">
        <is>
          <t>Aktif</t>
        </is>
      </c>
      <c r="T386" s="3" t="n"/>
      <c r="U386" s="3" t="inlineStr">
        <is>
          <t>LIST ASSET YPIK 2025(1).xlsx | Inv. YPIK</t>
        </is>
      </c>
    </row>
    <row r="387">
      <c r="A387" s="3" t="n">
        <v>384</v>
      </c>
      <c r="B387" s="3" t="n"/>
      <c r="C387" s="3" t="inlineStr">
        <is>
          <t>YPIK PAM JAYA</t>
        </is>
      </c>
      <c r="D387" s="3" t="n"/>
      <c r="E387" s="3" t="inlineStr">
        <is>
          <t>Pembelian Lemari Untuk Ruang Badan Pembina (Nota Tgl 18 Juli 2023</t>
        </is>
      </c>
      <c r="F387" s="3" t="inlineStr">
        <is>
          <t>Pembelian Lemari Untuk Ruang Badan Pembina (Nota Tgl 18 Juli 2023</t>
        </is>
      </c>
      <c r="G387" s="3" t="n"/>
      <c r="H387" s="3" t="n"/>
      <c r="I387" s="3" t="inlineStr">
        <is>
          <t>1 unit</t>
        </is>
      </c>
      <c r="J387" s="4" t="n"/>
      <c r="K387" s="3" t="n">
        <v>2023</v>
      </c>
      <c r="L387" s="5" t="n"/>
      <c r="M387" s="5" t="n">
        <v>1079200</v>
      </c>
      <c r="N387" s="3" t="n"/>
      <c r="O387" s="3" t="n">
        <v>4</v>
      </c>
      <c r="P387" s="5" t="n">
        <v>539600</v>
      </c>
      <c r="Q387" s="5" t="n">
        <v>539600</v>
      </c>
      <c r="R387" s="3" t="inlineStr"/>
      <c r="S387" s="3" t="inlineStr">
        <is>
          <t>Aktif</t>
        </is>
      </c>
      <c r="T387" s="3" t="n"/>
      <c r="U387" s="3" t="inlineStr">
        <is>
          <t>LIST ASSET YPIK 2025(1).xlsx | Inv. YPIK</t>
        </is>
      </c>
    </row>
    <row r="388">
      <c r="A388" s="3" t="n">
        <v>385</v>
      </c>
      <c r="B388" s="3" t="n"/>
      <c r="C388" s="3" t="inlineStr">
        <is>
          <t>YPIK PAM JAYA</t>
        </is>
      </c>
      <c r="D388" s="3" t="n"/>
      <c r="E388" s="3" t="inlineStr">
        <is>
          <t>Refil Apar dan Pembelian Apar Baru 2 KG</t>
        </is>
      </c>
      <c r="F388" s="3" t="inlineStr">
        <is>
          <t>Refil Apar dan Pembelian Apar Baru 2 KG</t>
        </is>
      </c>
      <c r="G388" s="3" t="n"/>
      <c r="H388" s="3" t="n"/>
      <c r="I388" s="3" t="n"/>
      <c r="J388" s="4" t="n"/>
      <c r="K388" s="3" t="n">
        <v>2023</v>
      </c>
      <c r="L388" s="5" t="n"/>
      <c r="M388" s="5" t="n">
        <v>7150000</v>
      </c>
      <c r="N388" s="3" t="n"/>
      <c r="O388" s="3" t="n">
        <v>4</v>
      </c>
      <c r="P388" s="5" t="n">
        <v>2979167</v>
      </c>
      <c r="Q388" s="5" t="n">
        <v>4170833</v>
      </c>
      <c r="R388" s="3" t="inlineStr"/>
      <c r="S388" s="3" t="inlineStr">
        <is>
          <t>Aktif</t>
        </is>
      </c>
      <c r="T388" s="3" t="n"/>
      <c r="U388" s="3" t="inlineStr">
        <is>
          <t>LIST ASSET YPIK 2025(1).xlsx | Inv. YPIK</t>
        </is>
      </c>
    </row>
    <row r="389">
      <c r="A389" s="3" t="n">
        <v>386</v>
      </c>
      <c r="B389" s="3" t="n"/>
      <c r="C389" s="3" t="inlineStr">
        <is>
          <t>YPIK PAM JAYA</t>
        </is>
      </c>
      <c r="D389" s="3" t="n"/>
      <c r="E389" s="3" t="inlineStr">
        <is>
          <t>DP Pembuatan Meja Kantor YPIK (Pak Edy)</t>
        </is>
      </c>
      <c r="F389" s="3" t="inlineStr">
        <is>
          <t>DP Pembuatan Meja Kantor YPIK (Pak Edy)</t>
        </is>
      </c>
      <c r="G389" s="3" t="n"/>
      <c r="H389" s="3" t="n"/>
      <c r="I389" s="3" t="inlineStr">
        <is>
          <t>4 unit</t>
        </is>
      </c>
      <c r="J389" s="4" t="n"/>
      <c r="K389" s="3" t="n">
        <v>2023</v>
      </c>
      <c r="L389" s="5" t="n"/>
      <c r="M389" s="5" t="n">
        <v>4000000</v>
      </c>
      <c r="N389" s="3" t="n"/>
      <c r="O389" s="3" t="n">
        <v>4</v>
      </c>
      <c r="P389" s="5" t="n">
        <v>1666667</v>
      </c>
      <c r="Q389" s="5" t="n">
        <v>2333333</v>
      </c>
      <c r="R389" s="3" t="inlineStr"/>
      <c r="S389" s="3" t="inlineStr">
        <is>
          <t>Aktif</t>
        </is>
      </c>
      <c r="T389" s="3" t="n"/>
      <c r="U389" s="3" t="inlineStr">
        <is>
          <t>LIST ASSET YPIK 2025(1).xlsx | Inv. YPIK</t>
        </is>
      </c>
    </row>
    <row r="390">
      <c r="A390" s="3" t="n">
        <v>387</v>
      </c>
      <c r="B390" s="3" t="n"/>
      <c r="C390" s="3" t="inlineStr">
        <is>
          <t>YPIK PAM JAYA</t>
        </is>
      </c>
      <c r="D390" s="3" t="n"/>
      <c r="E390" s="3" t="inlineStr">
        <is>
          <t>Pembelian Kursi Kantor Untuk Pengurus</t>
        </is>
      </c>
      <c r="F390" s="3" t="inlineStr">
        <is>
          <t>Pembelian Kursi Kantor Untuk Pengurus</t>
        </is>
      </c>
      <c r="G390" s="3" t="n"/>
      <c r="H390" s="3" t="n"/>
      <c r="I390" s="3" t="n"/>
      <c r="J390" s="4" t="n"/>
      <c r="K390" s="3" t="n">
        <v>2024</v>
      </c>
      <c r="L390" s="5" t="n"/>
      <c r="M390" s="5" t="n">
        <v>3718000</v>
      </c>
      <c r="N390" s="3" t="n"/>
      <c r="O390" s="3" t="n">
        <v>4</v>
      </c>
      <c r="P390" s="5" t="n">
        <v>1487200</v>
      </c>
      <c r="Q390" s="5" t="n">
        <v>2230800</v>
      </c>
      <c r="R390" s="3" t="inlineStr"/>
      <c r="S390" s="3" t="inlineStr">
        <is>
          <t>Aktif</t>
        </is>
      </c>
      <c r="T390" s="3" t="n"/>
      <c r="U390" s="3" t="inlineStr">
        <is>
          <t>LIST ASSET YPIK 2025(1).xlsx | Inv. YPIK</t>
        </is>
      </c>
    </row>
    <row r="391">
      <c r="A391" s="3" t="n">
        <v>388</v>
      </c>
      <c r="B391" s="3" t="n"/>
      <c r="C391" s="3" t="inlineStr">
        <is>
          <t>YPIK PAM JAYA</t>
        </is>
      </c>
      <c r="D391" s="3" t="n"/>
      <c r="E391" s="3" t="inlineStr">
        <is>
          <t>DP Pembuatan Studio Podcast</t>
        </is>
      </c>
      <c r="F391" s="3" t="inlineStr">
        <is>
          <t>DP Pembuatan Studio Podcast</t>
        </is>
      </c>
      <c r="G391" s="3" t="n"/>
      <c r="H391" s="3" t="n"/>
      <c r="I391" s="3" t="n"/>
      <c r="J391" s="4" t="n"/>
      <c r="K391" s="3" t="n">
        <v>2024</v>
      </c>
      <c r="L391" s="5" t="n"/>
      <c r="M391" s="5" t="n">
        <v>27000000</v>
      </c>
      <c r="N391" s="3" t="n"/>
      <c r="O391" s="3" t="n">
        <v>4</v>
      </c>
      <c r="P391" s="5" t="n">
        <v>10350000</v>
      </c>
      <c r="Q391" s="5" t="n">
        <v>16650000</v>
      </c>
      <c r="R391" s="3" t="inlineStr"/>
      <c r="S391" s="3" t="inlineStr">
        <is>
          <t>Aktif</t>
        </is>
      </c>
      <c r="T391" s="3" t="n"/>
      <c r="U391" s="3" t="inlineStr">
        <is>
          <t>LIST ASSET YPIK 2025(1).xlsx | Inv. YPIK</t>
        </is>
      </c>
    </row>
    <row r="392">
      <c r="A392" s="3" t="n">
        <v>389</v>
      </c>
      <c r="B392" s="3" t="n"/>
      <c r="C392" s="3" t="inlineStr">
        <is>
          <t>YPIK PAM JAYA</t>
        </is>
      </c>
      <c r="D392" s="3" t="n"/>
      <c r="E392" s="3" t="inlineStr">
        <is>
          <t>Pembayaran Term 2 Podcast</t>
        </is>
      </c>
      <c r="F392" s="3" t="inlineStr">
        <is>
          <t>Pembayaran Term 2 Podcast</t>
        </is>
      </c>
      <c r="G392" s="3" t="n"/>
      <c r="H392" s="3" t="n"/>
      <c r="I392" s="3" t="n"/>
      <c r="J392" s="4" t="n"/>
      <c r="K392" s="3" t="n">
        <v>2024</v>
      </c>
      <c r="L392" s="5" t="n"/>
      <c r="M392" s="5" t="n">
        <v>13500000</v>
      </c>
      <c r="N392" s="3" t="n"/>
      <c r="O392" s="3" t="n">
        <v>4</v>
      </c>
      <c r="P392" s="5" t="n">
        <v>5175000</v>
      </c>
      <c r="Q392" s="5" t="n">
        <v>8325000</v>
      </c>
      <c r="R392" s="3" t="inlineStr"/>
      <c r="S392" s="3" t="inlineStr">
        <is>
          <t>Aktif</t>
        </is>
      </c>
      <c r="T392" s="3" t="n"/>
      <c r="U392" s="3" t="inlineStr">
        <is>
          <t>LIST ASSET YPIK 2025(1).xlsx | Inv. YPIK</t>
        </is>
      </c>
    </row>
    <row r="393">
      <c r="A393" s="3" t="n">
        <v>390</v>
      </c>
      <c r="B393" s="3" t="n"/>
      <c r="C393" s="3" t="inlineStr">
        <is>
          <t>YPIK PAM JAYA</t>
        </is>
      </c>
      <c r="D393" s="3" t="n"/>
      <c r="E393" s="3" t="inlineStr">
        <is>
          <t>Beban Pekerjaan Tambahan Ruang Podcast</t>
        </is>
      </c>
      <c r="F393" s="3" t="inlineStr">
        <is>
          <t>Beban Pekerjaan Tambahan Ruang Podcast</t>
        </is>
      </c>
      <c r="G393" s="3" t="n"/>
      <c r="H393" s="3" t="n"/>
      <c r="I393" s="3" t="n"/>
      <c r="J393" s="4" t="n"/>
      <c r="K393" s="3" t="n">
        <v>2024</v>
      </c>
      <c r="L393" s="5" t="n"/>
      <c r="M393" s="5" t="n">
        <v>5000000</v>
      </c>
      <c r="N393" s="3" t="n"/>
      <c r="O393" s="3" t="n">
        <v>4</v>
      </c>
      <c r="P393" s="5" t="n">
        <v>1833333</v>
      </c>
      <c r="Q393" s="5" t="n">
        <v>3166667</v>
      </c>
      <c r="R393" s="3" t="inlineStr"/>
      <c r="S393" s="3" t="inlineStr">
        <is>
          <t>Aktif</t>
        </is>
      </c>
      <c r="T393" s="3" t="n"/>
      <c r="U393" s="3" t="inlineStr">
        <is>
          <t>LIST ASSET YPIK 2025(1).xlsx | Inv. YPIK</t>
        </is>
      </c>
    </row>
    <row r="394">
      <c r="A394" s="3" t="n">
        <v>391</v>
      </c>
      <c r="B394" s="3" t="n"/>
      <c r="C394" s="3" t="inlineStr">
        <is>
          <t>YPIK PAM JAYA</t>
        </is>
      </c>
      <c r="D394" s="3" t="n"/>
      <c r="E394" s="3" t="inlineStr">
        <is>
          <t>Pembayaran Pekerjaan Ruang Podcast</t>
        </is>
      </c>
      <c r="F394" s="3" t="inlineStr">
        <is>
          <t>Pembayaran Pekerjaan Ruang Podcast</t>
        </is>
      </c>
      <c r="G394" s="3" t="n"/>
      <c r="H394" s="3" t="n"/>
      <c r="I394" s="3" t="n"/>
      <c r="J394" s="4" t="n"/>
      <c r="K394" s="3" t="n">
        <v>2024</v>
      </c>
      <c r="L394" s="5" t="n"/>
      <c r="M394" s="5" t="n">
        <v>14000000</v>
      </c>
      <c r="N394" s="3" t="n"/>
      <c r="O394" s="3" t="n">
        <v>4</v>
      </c>
      <c r="P394" s="5" t="n">
        <v>5133333</v>
      </c>
      <c r="Q394" s="5" t="n">
        <v>8866667</v>
      </c>
      <c r="R394" s="3" t="inlineStr"/>
      <c r="S394" s="3" t="inlineStr">
        <is>
          <t>Aktif</t>
        </is>
      </c>
      <c r="T394" s="3" t="n"/>
      <c r="U394" s="3" t="inlineStr">
        <is>
          <t>LIST ASSET YPIK 2025(1).xlsx | Inv. YPIK</t>
        </is>
      </c>
    </row>
    <row r="395">
      <c r="A395" s="3" t="n">
        <v>392</v>
      </c>
      <c r="B395" s="3" t="n"/>
      <c r="C395" s="3" t="inlineStr">
        <is>
          <t>YPIK PAM JAYA</t>
        </is>
      </c>
      <c r="D395" s="3" t="n"/>
      <c r="E395" s="3" t="inlineStr">
        <is>
          <t>Pembelian Alat Podcast</t>
        </is>
      </c>
      <c r="F395" s="3" t="inlineStr">
        <is>
          <t>Pembelian Alat Podcast</t>
        </is>
      </c>
      <c r="G395" s="3" t="n"/>
      <c r="H395" s="3" t="n"/>
      <c r="I395" s="3" t="n"/>
      <c r="J395" s="4" t="n"/>
      <c r="K395" s="3" t="n">
        <v>2024</v>
      </c>
      <c r="L395" s="5" t="n"/>
      <c r="M395" s="5" t="n">
        <v>24896500</v>
      </c>
      <c r="N395" s="3" t="n"/>
      <c r="O395" s="3" t="n">
        <v>4</v>
      </c>
      <c r="P395" s="5" t="n">
        <v>9128717</v>
      </c>
      <c r="Q395" s="5" t="n">
        <v>15767783</v>
      </c>
      <c r="R395" s="3" t="inlineStr"/>
      <c r="S395" s="3" t="inlineStr">
        <is>
          <t>Aktif</t>
        </is>
      </c>
      <c r="T395" s="3" t="n"/>
      <c r="U395" s="3" t="inlineStr">
        <is>
          <t>LIST ASSET YPIK 2025(1).xlsx | Inv. YPIK</t>
        </is>
      </c>
    </row>
    <row r="396">
      <c r="A396" s="3" t="n">
        <v>393</v>
      </c>
      <c r="B396" s="3" t="n"/>
      <c r="C396" s="3" t="inlineStr">
        <is>
          <t>YPIK PAM JAYA</t>
        </is>
      </c>
      <c r="D396" s="3" t="n"/>
      <c r="E396" s="3" t="inlineStr">
        <is>
          <t>Pembelian Mixer dll untuk Ruang Podcast</t>
        </is>
      </c>
      <c r="F396" s="3" t="inlineStr">
        <is>
          <t>Pembelian Mixer dll untuk Ruang Podcast</t>
        </is>
      </c>
      <c r="G396" s="3" t="n"/>
      <c r="H396" s="3" t="n"/>
      <c r="I396" s="3" t="n"/>
      <c r="J396" s="4" t="n"/>
      <c r="K396" s="3" t="n">
        <v>2024</v>
      </c>
      <c r="L396" s="5" t="n"/>
      <c r="M396" s="5" t="n">
        <v>7167000</v>
      </c>
      <c r="N396" s="3" t="n"/>
      <c r="O396" s="3" t="n">
        <v>4</v>
      </c>
      <c r="P396" s="5" t="n">
        <v>2627900</v>
      </c>
      <c r="Q396" s="5" t="n">
        <v>4539100</v>
      </c>
      <c r="R396" s="3" t="inlineStr"/>
      <c r="S396" s="3" t="inlineStr">
        <is>
          <t>Aktif</t>
        </is>
      </c>
      <c r="T396" s="3" t="n"/>
      <c r="U396" s="3" t="inlineStr">
        <is>
          <t>LIST ASSET YPIK 2025(1).xlsx | Inv. YPIK</t>
        </is>
      </c>
    </row>
    <row r="397">
      <c r="A397" s="3" t="n">
        <v>394</v>
      </c>
      <c r="B397" s="3" t="n"/>
      <c r="C397" s="3" t="inlineStr">
        <is>
          <t>YPIK PAM JAYA</t>
        </is>
      </c>
      <c r="D397" s="3" t="n"/>
      <c r="E397" s="3" t="inlineStr">
        <is>
          <t>Pembelian PC Untuk Podcast</t>
        </is>
      </c>
      <c r="F397" s="3" t="inlineStr">
        <is>
          <t>Pembelian PC Untuk Podcast</t>
        </is>
      </c>
      <c r="G397" s="3" t="n"/>
      <c r="H397" s="3" t="n"/>
      <c r="I397" s="3" t="n"/>
      <c r="J397" s="4" t="n"/>
      <c r="K397" s="3" t="n">
        <v>2024</v>
      </c>
      <c r="L397" s="5" t="n"/>
      <c r="M397" s="5" t="n">
        <v>15719200</v>
      </c>
      <c r="N397" s="3" t="n"/>
      <c r="O397" s="3" t="n">
        <v>4</v>
      </c>
      <c r="P397" s="5" t="n">
        <v>5763707</v>
      </c>
      <c r="Q397" s="5" t="n">
        <v>9955493</v>
      </c>
      <c r="R397" s="3" t="inlineStr"/>
      <c r="S397" s="3" t="inlineStr">
        <is>
          <t>Aktif</t>
        </is>
      </c>
      <c r="T397" s="3" t="n"/>
      <c r="U397" s="3" t="inlineStr">
        <is>
          <t>LIST ASSET YPIK 2025(1).xlsx | Inv. YPIK</t>
        </is>
      </c>
    </row>
    <row r="398">
      <c r="A398" s="3" t="n">
        <v>395</v>
      </c>
      <c r="B398" s="3" t="n"/>
      <c r="C398" s="3" t="inlineStr">
        <is>
          <t>YPIK PAM JAYA</t>
        </is>
      </c>
      <c r="D398" s="3" t="n"/>
      <c r="E398" s="3" t="inlineStr">
        <is>
          <t>Pembelian Kabel Studio Podcast</t>
        </is>
      </c>
      <c r="F398" s="3" t="inlineStr">
        <is>
          <t>Pembelian Kabel Studio Podcast</t>
        </is>
      </c>
      <c r="G398" s="3" t="n"/>
      <c r="H398" s="3" t="n"/>
      <c r="I398" s="3" t="n"/>
      <c r="J398" s="4" t="n"/>
      <c r="K398" s="3" t="n">
        <v>2024</v>
      </c>
      <c r="L398" s="5" t="n"/>
      <c r="M398" s="5" t="n">
        <v>943000</v>
      </c>
      <c r="N398" s="3" t="n"/>
      <c r="O398" s="3" t="n">
        <v>4</v>
      </c>
      <c r="P398" s="5" t="n">
        <v>345767</v>
      </c>
      <c r="Q398" s="5" t="n">
        <v>597233</v>
      </c>
      <c r="R398" s="3" t="inlineStr"/>
      <c r="S398" s="3" t="inlineStr">
        <is>
          <t>Aktif</t>
        </is>
      </c>
      <c r="T398" s="3" t="n"/>
      <c r="U398" s="3" t="inlineStr">
        <is>
          <t>LIST ASSET YPIK 2025(1).xlsx | Inv. YPIK</t>
        </is>
      </c>
    </row>
    <row r="399">
      <c r="A399" s="3" t="n">
        <v>396</v>
      </c>
      <c r="B399" s="3" t="n"/>
      <c r="C399" s="3" t="inlineStr">
        <is>
          <t>YPIK PAM JAYA</t>
        </is>
      </c>
      <c r="D399" s="3" t="n"/>
      <c r="E399" s="3" t="inlineStr">
        <is>
          <t>Pembelian Asset Studio Podcast</t>
        </is>
      </c>
      <c r="F399" s="3" t="inlineStr">
        <is>
          <t>Pembelian Asset Studio Podcast</t>
        </is>
      </c>
      <c r="G399" s="3" t="n"/>
      <c r="H399" s="3" t="n"/>
      <c r="I399" s="3" t="n"/>
      <c r="J399" s="4" t="n"/>
      <c r="K399" s="3" t="n">
        <v>2024</v>
      </c>
      <c r="L399" s="5" t="n"/>
      <c r="M399" s="5" t="n">
        <v>1961500</v>
      </c>
      <c r="N399" s="3" t="n"/>
      <c r="O399" s="3" t="n">
        <v>4</v>
      </c>
      <c r="P399" s="5" t="n">
        <v>719217</v>
      </c>
      <c r="Q399" s="5" t="n">
        <v>1242283</v>
      </c>
      <c r="R399" s="3" t="inlineStr"/>
      <c r="S399" s="3" t="inlineStr">
        <is>
          <t>Aktif</t>
        </is>
      </c>
      <c r="T399" s="3" t="n"/>
      <c r="U399" s="3" t="inlineStr">
        <is>
          <t>LIST ASSET YPIK 2025(1).xlsx | Inv. YPIK</t>
        </is>
      </c>
    </row>
    <row r="400">
      <c r="A400" s="3" t="n">
        <v>397</v>
      </c>
      <c r="B400" s="3" t="n"/>
      <c r="C400" s="3" t="inlineStr">
        <is>
          <t>YPIK PAM JAYA</t>
        </is>
      </c>
      <c r="D400" s="3" t="n"/>
      <c r="E400" s="3" t="inlineStr">
        <is>
          <t>Beban Setting Studio Podcast</t>
        </is>
      </c>
      <c r="F400" s="3" t="inlineStr">
        <is>
          <t>Beban Setting Studio Podcast</t>
        </is>
      </c>
      <c r="G400" s="3" t="n"/>
      <c r="H400" s="3" t="n"/>
      <c r="I400" s="3" t="n"/>
      <c r="J400" s="4" t="n"/>
      <c r="K400" s="3" t="n">
        <v>2024</v>
      </c>
      <c r="L400" s="5" t="n"/>
      <c r="M400" s="5" t="n">
        <v>300000</v>
      </c>
      <c r="N400" s="3" t="n"/>
      <c r="O400" s="3" t="n">
        <v>4</v>
      </c>
      <c r="P400" s="5" t="n">
        <v>110000</v>
      </c>
      <c r="Q400" s="5" t="n">
        <v>190000</v>
      </c>
      <c r="R400" s="3" t="inlineStr"/>
      <c r="S400" s="3" t="inlineStr">
        <is>
          <t>Aktif</t>
        </is>
      </c>
      <c r="T400" s="3" t="n"/>
      <c r="U400" s="3" t="inlineStr">
        <is>
          <t>LIST ASSET YPIK 2025(1).xlsx | Inv. YPIK</t>
        </is>
      </c>
    </row>
    <row r="401">
      <c r="A401" s="3" t="n">
        <v>398</v>
      </c>
      <c r="B401" s="3" t="n"/>
      <c r="C401" s="3" t="inlineStr">
        <is>
          <t>YPIK PAM JAYA</t>
        </is>
      </c>
      <c r="D401" s="3" t="n"/>
      <c r="E401" s="3" t="inlineStr">
        <is>
          <t>Beban Kaca dan Engsel Pintu Ruang Podcast</t>
        </is>
      </c>
      <c r="F401" s="3" t="inlineStr">
        <is>
          <t>Beban Kaca dan Engsel Pintu Ruang Podcast</t>
        </is>
      </c>
      <c r="G401" s="3" t="n"/>
      <c r="H401" s="3" t="n"/>
      <c r="I401" s="3" t="n"/>
      <c r="J401" s="4" t="n"/>
      <c r="K401" s="3" t="n">
        <v>2024</v>
      </c>
      <c r="L401" s="5" t="n"/>
      <c r="M401" s="5" t="n">
        <v>1800000</v>
      </c>
      <c r="N401" s="3" t="n"/>
      <c r="O401" s="3" t="n">
        <v>4</v>
      </c>
      <c r="P401" s="5" t="n">
        <v>660000</v>
      </c>
      <c r="Q401" s="5" t="n">
        <v>1140000</v>
      </c>
      <c r="R401" s="3" t="inlineStr"/>
      <c r="S401" s="3" t="inlineStr">
        <is>
          <t>Aktif</t>
        </is>
      </c>
      <c r="T401" s="3" t="n"/>
      <c r="U401" s="3" t="inlineStr">
        <is>
          <t>LIST ASSET YPIK 2025(1).xlsx | Inv. YPIK</t>
        </is>
      </c>
    </row>
    <row r="402">
      <c r="A402" s="3" t="n">
        <v>399</v>
      </c>
      <c r="B402" s="3" t="n"/>
      <c r="C402" s="3" t="inlineStr">
        <is>
          <t>YPIK PAM JAYA</t>
        </is>
      </c>
      <c r="D402" s="3" t="n"/>
      <c r="E402" s="3" t="inlineStr">
        <is>
          <t>Pembelian Meja Ruang Podcast</t>
        </is>
      </c>
      <c r="F402" s="3" t="inlineStr">
        <is>
          <t>Pembelian Meja Ruang Podcast</t>
        </is>
      </c>
      <c r="G402" s="3" t="n"/>
      <c r="H402" s="3" t="n"/>
      <c r="I402" s="3" t="n"/>
      <c r="J402" s="4" t="n"/>
      <c r="K402" s="3" t="n">
        <v>2024</v>
      </c>
      <c r="L402" s="5" t="n"/>
      <c r="M402" s="5" t="n">
        <v>2000000</v>
      </c>
      <c r="N402" s="3" t="n"/>
      <c r="O402" s="3" t="n">
        <v>4</v>
      </c>
      <c r="P402" s="5" t="n">
        <v>733333</v>
      </c>
      <c r="Q402" s="5" t="n">
        <v>1266667</v>
      </c>
      <c r="R402" s="3" t="inlineStr"/>
      <c r="S402" s="3" t="inlineStr">
        <is>
          <t>Aktif</t>
        </is>
      </c>
      <c r="T402" s="3" t="n"/>
      <c r="U402" s="3" t="inlineStr">
        <is>
          <t>LIST ASSET YPIK 2025(1).xlsx | Inv. YPIK</t>
        </is>
      </c>
    </row>
    <row r="403">
      <c r="A403" s="3" t="n">
        <v>400</v>
      </c>
      <c r="B403" s="3" t="n"/>
      <c r="C403" s="3" t="inlineStr">
        <is>
          <t>YPIK PAM JAYA</t>
        </is>
      </c>
      <c r="D403" s="3" t="n"/>
      <c r="E403" s="3" t="inlineStr">
        <is>
          <t>Pembelian Clip On Podcast</t>
        </is>
      </c>
      <c r="F403" s="3" t="inlineStr">
        <is>
          <t>Pembelian Clip On Podcast</t>
        </is>
      </c>
      <c r="G403" s="3" t="n"/>
      <c r="H403" s="3" t="n"/>
      <c r="I403" s="3" t="n"/>
      <c r="J403" s="4" t="n"/>
      <c r="K403" s="3" t="n">
        <v>2024</v>
      </c>
      <c r="L403" s="5" t="n"/>
      <c r="M403" s="5" t="n">
        <v>1168300</v>
      </c>
      <c r="N403" s="3" t="n"/>
      <c r="O403" s="3" t="n">
        <v>4</v>
      </c>
      <c r="P403" s="5" t="n">
        <v>408905</v>
      </c>
      <c r="Q403" s="5" t="n">
        <v>759395</v>
      </c>
      <c r="R403" s="3" t="inlineStr"/>
      <c r="S403" s="3" t="inlineStr">
        <is>
          <t>Aktif</t>
        </is>
      </c>
      <c r="T403" s="3" t="n"/>
      <c r="U403" s="3" t="inlineStr">
        <is>
          <t>LIST ASSET YPIK 2025(1).xlsx | Inv. YPIK</t>
        </is>
      </c>
    </row>
    <row r="404">
      <c r="A404" s="3" t="n">
        <v>401</v>
      </c>
      <c r="B404" s="3" t="n"/>
      <c r="C404" s="3" t="inlineStr">
        <is>
          <t>YPIK PAM JAYA</t>
        </is>
      </c>
      <c r="D404" s="3" t="n"/>
      <c r="E404" s="3" t="inlineStr">
        <is>
          <t>Pembelian Kusen Pintu Podcast</t>
        </is>
      </c>
      <c r="F404" s="3" t="inlineStr">
        <is>
          <t>Pembelian Kusen Pintu Podcast</t>
        </is>
      </c>
      <c r="G404" s="3" t="n"/>
      <c r="H404" s="3" t="n"/>
      <c r="I404" s="3" t="n"/>
      <c r="J404" s="4" t="n"/>
      <c r="K404" s="3" t="n">
        <v>2024</v>
      </c>
      <c r="L404" s="5" t="n"/>
      <c r="M404" s="5" t="n">
        <v>4250000</v>
      </c>
      <c r="N404" s="3" t="n"/>
      <c r="O404" s="3" t="n">
        <v>4</v>
      </c>
      <c r="P404" s="5" t="n">
        <v>1416667</v>
      </c>
      <c r="Q404" s="5" t="n">
        <v>2833333</v>
      </c>
      <c r="R404" s="3" t="inlineStr"/>
      <c r="S404" s="3" t="inlineStr">
        <is>
          <t>Aktif</t>
        </is>
      </c>
      <c r="T404" s="3" t="n"/>
      <c r="U404" s="3" t="inlineStr">
        <is>
          <t>LIST ASSET YPIK 2025(1).xlsx | Inv. YPIK</t>
        </is>
      </c>
    </row>
    <row r="405">
      <c r="A405" s="3" t="n">
        <v>402</v>
      </c>
      <c r="B405" s="3" t="n"/>
      <c r="C405" s="3" t="inlineStr">
        <is>
          <t>YPIK PAM JAYA</t>
        </is>
      </c>
      <c r="D405" s="3" t="n"/>
      <c r="E405" s="3" t="inlineStr">
        <is>
          <t>Pembelian Alat Kebutuhan Podcast</t>
        </is>
      </c>
      <c r="F405" s="3" t="inlineStr">
        <is>
          <t>Pembelian Alat Kebutuhan Podcast</t>
        </is>
      </c>
      <c r="G405" s="3" t="n"/>
      <c r="H405" s="3" t="n"/>
      <c r="I405" s="3" t="n"/>
      <c r="J405" s="4" t="n"/>
      <c r="K405" s="3" t="n">
        <v>2024</v>
      </c>
      <c r="L405" s="5" t="n"/>
      <c r="M405" s="5" t="n">
        <v>1099400</v>
      </c>
      <c r="N405" s="3" t="n"/>
      <c r="O405" s="3" t="n">
        <v>4</v>
      </c>
      <c r="P405" s="5" t="n">
        <v>366467</v>
      </c>
      <c r="Q405" s="5" t="n">
        <v>732933</v>
      </c>
      <c r="R405" s="3" t="inlineStr"/>
      <c r="S405" s="3" t="inlineStr">
        <is>
          <t>Aktif</t>
        </is>
      </c>
      <c r="T405" s="3" t="n"/>
      <c r="U405" s="3" t="inlineStr">
        <is>
          <t>LIST ASSET YPIK 2025(1).xlsx | Inv. YPIK</t>
        </is>
      </c>
    </row>
    <row r="406">
      <c r="A406" s="3" t="n">
        <v>403</v>
      </c>
      <c r="B406" s="3" t="n"/>
      <c r="C406" s="3" t="inlineStr">
        <is>
          <t>YPIK PAM JAYA</t>
        </is>
      </c>
      <c r="D406" s="3" t="n"/>
      <c r="E406" s="3" t="inlineStr">
        <is>
          <t>Pembelian Samsung Tab Podcast</t>
        </is>
      </c>
      <c r="F406" s="3" t="inlineStr">
        <is>
          <t>Pembelian Samsung Tab Podcast</t>
        </is>
      </c>
      <c r="G406" s="3" t="n"/>
      <c r="H406" s="3" t="n"/>
      <c r="I406" s="3" t="inlineStr">
        <is>
          <t>1 Unit</t>
        </is>
      </c>
      <c r="J406" s="4" t="n"/>
      <c r="K406" s="3" t="n">
        <v>2024</v>
      </c>
      <c r="L406" s="5" t="n"/>
      <c r="M406" s="5" t="n">
        <v>3498000</v>
      </c>
      <c r="N406" s="3" t="n"/>
      <c r="O406" s="3" t="n">
        <v>4</v>
      </c>
      <c r="P406" s="5" t="n">
        <v>1107700</v>
      </c>
      <c r="Q406" s="5" t="n">
        <v>2390300</v>
      </c>
      <c r="R406" s="3" t="inlineStr"/>
      <c r="S406" s="3" t="inlineStr">
        <is>
          <t>Aktif</t>
        </is>
      </c>
      <c r="T406" s="3" t="n"/>
      <c r="U406" s="3" t="inlineStr">
        <is>
          <t>LIST ASSET YPIK 2025(1).xlsx | Inv. YPIK</t>
        </is>
      </c>
    </row>
    <row r="407">
      <c r="A407" s="3" t="n">
        <v>404</v>
      </c>
      <c r="B407" s="3" t="n"/>
      <c r="C407" s="3" t="inlineStr">
        <is>
          <t>YPIK PAM JAYA</t>
        </is>
      </c>
      <c r="D407" s="3" t="n"/>
      <c r="E407" s="3" t="inlineStr">
        <is>
          <t>Pembelian Telepromter Podcast</t>
        </is>
      </c>
      <c r="F407" s="3" t="inlineStr">
        <is>
          <t>Pembelian Telepromter Podcast</t>
        </is>
      </c>
      <c r="G407" s="3" t="n"/>
      <c r="H407" s="3" t="n"/>
      <c r="I407" s="3" t="n"/>
      <c r="J407" s="4" t="n"/>
      <c r="K407" s="3" t="n">
        <v>2024</v>
      </c>
      <c r="L407" s="5" t="n"/>
      <c r="M407" s="5" t="n">
        <v>4912000</v>
      </c>
      <c r="N407" s="3" t="n"/>
      <c r="O407" s="3" t="n">
        <v>4</v>
      </c>
      <c r="P407" s="5" t="n">
        <v>1555467</v>
      </c>
      <c r="Q407" s="5" t="n">
        <v>3356533</v>
      </c>
      <c r="R407" s="3" t="inlineStr"/>
      <c r="S407" s="3" t="inlineStr">
        <is>
          <t>Aktif</t>
        </is>
      </c>
      <c r="T407" s="3" t="n"/>
      <c r="U407" s="3" t="inlineStr">
        <is>
          <t>LIST ASSET YPIK 2025(1).xlsx | Inv. YPIK</t>
        </is>
      </c>
    </row>
    <row r="408">
      <c r="A408" s="3" t="n">
        <v>405</v>
      </c>
      <c r="B408" s="3" t="n"/>
      <c r="C408" s="3" t="inlineStr">
        <is>
          <t>YPIK PAM JAYA</t>
        </is>
      </c>
      <c r="D408" s="3" t="n"/>
      <c r="E408" s="3" t="inlineStr">
        <is>
          <t>Pembelian Fingerprint</t>
        </is>
      </c>
      <c r="F408" s="3" t="inlineStr">
        <is>
          <t>Pembelian Fingerprint</t>
        </is>
      </c>
      <c r="G408" s="3" t="n"/>
      <c r="H408" s="3" t="n"/>
      <c r="I408" s="3" t="n"/>
      <c r="J408" s="4" t="n"/>
      <c r="K408" s="3" t="n">
        <v>2024</v>
      </c>
      <c r="L408" s="5" t="n"/>
      <c r="M408" s="5" t="n">
        <v>4330325</v>
      </c>
      <c r="N408" s="3" t="n"/>
      <c r="O408" s="3" t="n">
        <v>4</v>
      </c>
      <c r="P408" s="5" t="n">
        <v>1299098</v>
      </c>
      <c r="Q408" s="5" t="n">
        <v>3031227</v>
      </c>
      <c r="R408" s="3" t="inlineStr"/>
      <c r="S408" s="3" t="inlineStr">
        <is>
          <t>Aktif</t>
        </is>
      </c>
      <c r="T408" s="3" t="n"/>
      <c r="U408" s="3" t="inlineStr">
        <is>
          <t>LIST ASSET YPIK 2025(1).xlsx | Inv. YPIK</t>
        </is>
      </c>
    </row>
    <row r="409">
      <c r="A409" s="3" t="n">
        <v>406</v>
      </c>
      <c r="B409" s="3" t="n"/>
      <c r="C409" s="3" t="inlineStr">
        <is>
          <t>YPIK PAM JAYA</t>
        </is>
      </c>
      <c r="D409" s="3" t="n"/>
      <c r="E409" s="3" t="inlineStr">
        <is>
          <t>Pembelian Prabot Dapur Sekretariat</t>
        </is>
      </c>
      <c r="F409" s="3" t="inlineStr">
        <is>
          <t>Pembelian Prabot Dapur Sekretariat</t>
        </is>
      </c>
      <c r="G409" s="3" t="n"/>
      <c r="H409" s="3" t="n"/>
      <c r="I409" s="3" t="n"/>
      <c r="J409" s="4" t="n"/>
      <c r="K409" s="3" t="n">
        <v>2024</v>
      </c>
      <c r="L409" s="5" t="n"/>
      <c r="M409" s="5" t="n">
        <v>528000</v>
      </c>
      <c r="N409" s="3" t="n"/>
      <c r="O409" s="3" t="n">
        <v>4</v>
      </c>
      <c r="P409" s="5" t="n">
        <v>158400</v>
      </c>
      <c r="Q409" s="5" t="n">
        <v>369600</v>
      </c>
      <c r="R409" s="3" t="inlineStr"/>
      <c r="S409" s="3" t="inlineStr">
        <is>
          <t>Aktif</t>
        </is>
      </c>
      <c r="T409" s="3" t="n"/>
      <c r="U409" s="3" t="inlineStr">
        <is>
          <t>LIST ASSET YPIK 2025(1).xlsx | Inv. YPIK</t>
        </is>
      </c>
    </row>
    <row r="410">
      <c r="A410" s="3" t="n">
        <v>407</v>
      </c>
      <c r="B410" s="3" t="n"/>
      <c r="C410" s="3" t="inlineStr">
        <is>
          <t>YPIK PAM JAYA</t>
        </is>
      </c>
      <c r="D410" s="3" t="n"/>
      <c r="E410" s="3" t="inlineStr">
        <is>
          <t>Pembelian Pen Samsung Fold</t>
        </is>
      </c>
      <c r="F410" s="3" t="inlineStr">
        <is>
          <t>Pembelian Pen Samsung Fold</t>
        </is>
      </c>
      <c r="G410" s="3" t="n"/>
      <c r="H410" s="3" t="n"/>
      <c r="I410" s="3" t="n"/>
      <c r="J410" s="4" t="n"/>
      <c r="K410" s="3" t="n">
        <v>2024</v>
      </c>
      <c r="L410" s="5" t="n"/>
      <c r="M410" s="5" t="n">
        <v>849000</v>
      </c>
      <c r="N410" s="3" t="n"/>
      <c r="O410" s="3" t="n">
        <v>4</v>
      </c>
      <c r="P410" s="5" t="n">
        <v>254700</v>
      </c>
      <c r="Q410" s="5" t="n">
        <v>594300</v>
      </c>
      <c r="R410" s="3" t="inlineStr"/>
      <c r="S410" s="3" t="inlineStr">
        <is>
          <t>Aktif</t>
        </is>
      </c>
      <c r="T410" s="3" t="n"/>
      <c r="U410" s="3" t="inlineStr">
        <is>
          <t>LIST ASSET YPIK 2025(1).xlsx | Inv. YPIK</t>
        </is>
      </c>
    </row>
    <row r="411">
      <c r="A411" s="3" t="n">
        <v>408</v>
      </c>
      <c r="B411" s="3" t="n"/>
      <c r="C411" s="3" t="inlineStr">
        <is>
          <t>YPIK PAM JAYA</t>
        </is>
      </c>
      <c r="D411" s="3" t="n"/>
      <c r="E411" s="3" t="inlineStr">
        <is>
          <t>Pembelian Satu Meja Kursi YPIK</t>
        </is>
      </c>
      <c r="F411" s="3" t="inlineStr">
        <is>
          <t>Pembelian Satu Meja Kursi YPIK</t>
        </is>
      </c>
      <c r="G411" s="3" t="n"/>
      <c r="H411" s="3" t="n"/>
      <c r="I411" s="3" t="n"/>
      <c r="J411" s="4" t="n"/>
      <c r="K411" s="3" t="n">
        <v>2024</v>
      </c>
      <c r="L411" s="5" t="n"/>
      <c r="M411" s="5" t="n">
        <v>1798000</v>
      </c>
      <c r="N411" s="3" t="n"/>
      <c r="O411" s="3" t="n">
        <v>4</v>
      </c>
      <c r="P411" s="5" t="n">
        <v>509433</v>
      </c>
      <c r="Q411" s="5" t="n">
        <v>1288567</v>
      </c>
      <c r="R411" s="3" t="inlineStr"/>
      <c r="S411" s="3" t="inlineStr">
        <is>
          <t>Aktif</t>
        </is>
      </c>
      <c r="T411" s="3" t="n"/>
      <c r="U411" s="3" t="inlineStr">
        <is>
          <t>LIST ASSET YPIK 2025(1).xlsx | Inv. YPIK</t>
        </is>
      </c>
    </row>
    <row r="412">
      <c r="A412" s="3" t="n">
        <v>409</v>
      </c>
      <c r="B412" s="3" t="n"/>
      <c r="C412" s="3" t="inlineStr">
        <is>
          <t>YPIK PAM JAYA</t>
        </is>
      </c>
      <c r="D412" s="3" t="n"/>
      <c r="E412" s="3" t="inlineStr">
        <is>
          <t>Pembelian Cambridge Lenovo YPIK</t>
        </is>
      </c>
      <c r="F412" s="3" t="inlineStr">
        <is>
          <t>Pembelian Cambridge Lenovo YPIK</t>
        </is>
      </c>
      <c r="G412" s="3" t="n"/>
      <c r="H412" s="3" t="n"/>
      <c r="I412" s="3" t="n"/>
      <c r="J412" s="4" t="n"/>
      <c r="K412" s="3" t="n">
        <v>2024</v>
      </c>
      <c r="L412" s="5" t="n"/>
      <c r="M412" s="5" t="n">
        <v>700000</v>
      </c>
      <c r="N412" s="3" t="n"/>
      <c r="O412" s="3" t="n">
        <v>4</v>
      </c>
      <c r="P412" s="5" t="n">
        <v>175000</v>
      </c>
      <c r="Q412" s="5" t="n">
        <v>525000</v>
      </c>
      <c r="R412" s="3" t="inlineStr"/>
      <c r="S412" s="3" t="inlineStr">
        <is>
          <t>Aktif</t>
        </is>
      </c>
      <c r="T412" s="3" t="n"/>
      <c r="U412" s="3" t="inlineStr">
        <is>
          <t>LIST ASSET YPIK 2025(1).xlsx | Inv. YPIK</t>
        </is>
      </c>
    </row>
    <row r="413">
      <c r="A413" s="3" t="n">
        <v>410</v>
      </c>
      <c r="B413" s="3" t="n"/>
      <c r="C413" s="3" t="inlineStr">
        <is>
          <t>YPIK PAM JAYA</t>
        </is>
      </c>
      <c r="D413" s="3" t="n"/>
      <c r="E413" s="3" t="inlineStr">
        <is>
          <t>Pembelian Foto Wakil &amp; Presiden Beserta Lambang Garuda Gedung Sekretariat</t>
        </is>
      </c>
      <c r="F413" s="3" t="inlineStr">
        <is>
          <t>Pembelian Foto Wakil &amp; Presiden Beserta Lambang Garuda Gedung Sekretariat</t>
        </is>
      </c>
      <c r="G413" s="3" t="n"/>
      <c r="H413" s="3" t="n"/>
      <c r="I413" s="3" t="n"/>
      <c r="J413" s="4" t="n"/>
      <c r="K413" s="3" t="n">
        <v>2024</v>
      </c>
      <c r="L413" s="5" t="n"/>
      <c r="M413" s="5" t="n">
        <v>2256600</v>
      </c>
      <c r="N413" s="3" t="n"/>
      <c r="O413" s="3" t="n">
        <v>4</v>
      </c>
      <c r="P413" s="5" t="n">
        <v>564150</v>
      </c>
      <c r="Q413" s="5" t="n">
        <v>1692450</v>
      </c>
      <c r="R413" s="3" t="inlineStr"/>
      <c r="S413" s="3" t="inlineStr">
        <is>
          <t>Aktif</t>
        </is>
      </c>
      <c r="T413" s="3" t="n"/>
      <c r="U413" s="3" t="inlineStr">
        <is>
          <t>LIST ASSET YPIK 2025(1).xlsx | Inv. YPIK</t>
        </is>
      </c>
    </row>
    <row r="414">
      <c r="A414" s="3" t="n">
        <v>411</v>
      </c>
      <c r="B414" s="3" t="n"/>
      <c r="C414" s="3" t="inlineStr">
        <is>
          <t>YPIK PAM JAYA</t>
        </is>
      </c>
      <c r="D414" s="3" t="n"/>
      <c r="E414" s="3" t="inlineStr">
        <is>
          <t>DP Pemesanan Meja Kursi Lt 3 Sekretariat</t>
        </is>
      </c>
      <c r="F414" s="3" t="inlineStr">
        <is>
          <t>DP Pemesanan Meja Kursi Lt 3 Sekretariat</t>
        </is>
      </c>
      <c r="G414" s="3" t="n"/>
      <c r="H414" s="3" t="n"/>
      <c r="I414" s="3" t="n"/>
      <c r="J414" s="4" t="n"/>
      <c r="K414" s="3" t="n">
        <v>2024</v>
      </c>
      <c r="L414" s="5" t="n"/>
      <c r="M414" s="5" t="n">
        <v>2565000</v>
      </c>
      <c r="N414" s="3" t="n"/>
      <c r="O414" s="3" t="n">
        <v>4</v>
      </c>
      <c r="P414" s="5" t="n">
        <v>598500</v>
      </c>
      <c r="Q414" s="5" t="n">
        <v>1966500</v>
      </c>
      <c r="R414" s="3" t="inlineStr"/>
      <c r="S414" s="3" t="inlineStr">
        <is>
          <t>Aktif</t>
        </is>
      </c>
      <c r="T414" s="3" t="n"/>
      <c r="U414" s="3" t="inlineStr">
        <is>
          <t>LIST ASSET YPIK 2025(1).xlsx | Inv. YPIK</t>
        </is>
      </c>
    </row>
    <row r="415">
      <c r="A415" s="3" t="n">
        <v>412</v>
      </c>
      <c r="B415" s="3" t="n"/>
      <c r="C415" s="3" t="inlineStr">
        <is>
          <t>YPIK PAM JAYA</t>
        </is>
      </c>
      <c r="D415" s="3" t="n"/>
      <c r="E415" s="3" t="inlineStr">
        <is>
          <t>Pelunasan Meja Kursi Lt 3 Sekretariat</t>
        </is>
      </c>
      <c r="F415" s="3" t="inlineStr">
        <is>
          <t>Pelunasan Meja Kursi Lt 3 Sekretariat</t>
        </is>
      </c>
      <c r="G415" s="3" t="n"/>
      <c r="H415" s="3" t="n"/>
      <c r="I415" s="3" t="n"/>
      <c r="J415" s="4" t="n"/>
      <c r="K415" s="3" t="n">
        <v>2025</v>
      </c>
      <c r="L415" s="5" t="n"/>
      <c r="M415" s="5" t="n">
        <v>25785000</v>
      </c>
      <c r="N415" s="3" t="n"/>
      <c r="O415" s="3" t="n">
        <v>4</v>
      </c>
      <c r="P415" s="5" t="n">
        <v>6016500</v>
      </c>
      <c r="Q415" s="5" t="n">
        <v>19768500</v>
      </c>
      <c r="R415" s="3" t="inlineStr"/>
      <c r="S415" s="3" t="inlineStr">
        <is>
          <t>Aktif</t>
        </is>
      </c>
      <c r="T415" s="3" t="n"/>
      <c r="U415" s="3" t="inlineStr">
        <is>
          <t>LIST ASSET YPIK 2025(1).xlsx | Inv. YPIK</t>
        </is>
      </c>
    </row>
    <row r="416">
      <c r="A416" s="3" t="n">
        <v>413</v>
      </c>
      <c r="B416" s="3" t="n"/>
      <c r="C416" s="3" t="inlineStr">
        <is>
          <t>YPIK PAM JAYA</t>
        </is>
      </c>
      <c r="D416" s="3" t="n"/>
      <c r="E416" s="3" t="inlineStr">
        <is>
          <t>Pembelian Tempat Sampah 6 Buah</t>
        </is>
      </c>
      <c r="F416" s="3" t="inlineStr">
        <is>
          <t>Pembelian Tempat Sampah 6 Buah</t>
        </is>
      </c>
      <c r="G416" s="3" t="n"/>
      <c r="H416" s="3" t="n"/>
      <c r="I416" s="3" t="inlineStr">
        <is>
          <t>6 Unit</t>
        </is>
      </c>
      <c r="J416" s="4" t="n"/>
      <c r="K416" s="3" t="n">
        <v>2024</v>
      </c>
      <c r="L416" s="5" t="n"/>
      <c r="M416" s="5" t="n">
        <v>1207650</v>
      </c>
      <c r="N416" s="3" t="n"/>
      <c r="O416" s="3" t="n">
        <v>4</v>
      </c>
      <c r="P416" s="5" t="n">
        <v>281785</v>
      </c>
      <c r="Q416" s="5" t="n">
        <v>925865</v>
      </c>
      <c r="R416" s="3" t="inlineStr"/>
      <c r="S416" s="3" t="inlineStr">
        <is>
          <t>Aktif</t>
        </is>
      </c>
      <c r="T416" s="3" t="n"/>
      <c r="U416" s="3" t="inlineStr">
        <is>
          <t>LIST ASSET YPIK 2025(1).xlsx | Inv. YPIK</t>
        </is>
      </c>
    </row>
    <row r="417">
      <c r="A417" s="3" t="n">
        <v>414</v>
      </c>
      <c r="B417" s="3" t="n"/>
      <c r="C417" s="3" t="inlineStr">
        <is>
          <t>YPIK PAM JAYA</t>
        </is>
      </c>
      <c r="D417" s="3" t="n"/>
      <c r="E417" s="3" t="inlineStr">
        <is>
          <t>Pembelian 2 Unit Whiteboard YPIK</t>
        </is>
      </c>
      <c r="F417" s="3" t="inlineStr">
        <is>
          <t>Pembelian 2 Unit Whiteboard YPIK</t>
        </is>
      </c>
      <c r="G417" s="3" t="n"/>
      <c r="H417" s="3" t="n"/>
      <c r="I417" s="3" t="inlineStr">
        <is>
          <t>2 Unit</t>
        </is>
      </c>
      <c r="J417" s="4" t="n"/>
      <c r="K417" s="3" t="n">
        <v>2024</v>
      </c>
      <c r="L417" s="5" t="n"/>
      <c r="M417" s="5" t="n">
        <v>3550000</v>
      </c>
      <c r="N417" s="3" t="n"/>
      <c r="O417" s="3" t="n">
        <v>4</v>
      </c>
      <c r="P417" s="5" t="n">
        <v>828333</v>
      </c>
      <c r="Q417" s="5" t="n">
        <v>2721667</v>
      </c>
      <c r="R417" s="3" t="inlineStr"/>
      <c r="S417" s="3" t="inlineStr">
        <is>
          <t>Aktif</t>
        </is>
      </c>
      <c r="T417" s="3" t="n"/>
      <c r="U417" s="3" t="inlineStr">
        <is>
          <t>LIST ASSET YPIK 2025(1).xlsx | Inv. YPIK</t>
        </is>
      </c>
    </row>
    <row r="418">
      <c r="A418" s="3" t="n">
        <v>415</v>
      </c>
      <c r="B418" s="3" t="n"/>
      <c r="C418" s="3" t="inlineStr">
        <is>
          <t>YPIK PAM JAYA</t>
        </is>
      </c>
      <c r="D418" s="3" t="n"/>
      <c r="E418" s="3" t="inlineStr">
        <is>
          <t>Pembelian Mesin Penghancur Kertas YPIK</t>
        </is>
      </c>
      <c r="F418" s="3" t="inlineStr">
        <is>
          <t>Pembelian Mesin Penghancur Kertas YPIK</t>
        </is>
      </c>
      <c r="G418" s="3" t="n"/>
      <c r="H418" s="3" t="n"/>
      <c r="I418" s="3" t="inlineStr">
        <is>
          <t>1 Unit</t>
        </is>
      </c>
      <c r="J418" s="4" t="n"/>
      <c r="K418" s="3" t="n">
        <v>2024</v>
      </c>
      <c r="L418" s="5" t="n"/>
      <c r="M418" s="5" t="n">
        <v>2220250</v>
      </c>
      <c r="N418" s="3" t="n"/>
      <c r="O418" s="3" t="n">
        <v>4</v>
      </c>
      <c r="P418" s="5" t="n">
        <v>481054</v>
      </c>
      <c r="Q418" s="5" t="n">
        <v>1739196</v>
      </c>
      <c r="R418" s="3" t="inlineStr"/>
      <c r="S418" s="3" t="inlineStr">
        <is>
          <t>Aktif</t>
        </is>
      </c>
      <c r="T418" s="3" t="n"/>
      <c r="U418" s="3" t="inlineStr">
        <is>
          <t>LIST ASSET YPIK 2025(1).xlsx | Inv. YPIK</t>
        </is>
      </c>
    </row>
    <row r="419">
      <c r="A419" s="3" t="n">
        <v>416</v>
      </c>
      <c r="B419" s="3" t="n"/>
      <c r="C419" s="3" t="inlineStr">
        <is>
          <t>YPIK PAM JAYA</t>
        </is>
      </c>
      <c r="D419" s="3" t="n"/>
      <c r="E419" s="3" t="inlineStr">
        <is>
          <t>Pembelian 4 Unit Pintu Kamar Mandi</t>
        </is>
      </c>
      <c r="F419" s="3" t="inlineStr">
        <is>
          <t>Pembelian 4 Unit Pintu Kamar Mandi</t>
        </is>
      </c>
      <c r="G419" s="3" t="n"/>
      <c r="H419" s="3" t="n"/>
      <c r="I419" s="3" t="inlineStr">
        <is>
          <t>4 Unit</t>
        </is>
      </c>
      <c r="J419" s="4" t="n"/>
      <c r="K419" s="3" t="n">
        <v>2024</v>
      </c>
      <c r="L419" s="5" t="n"/>
      <c r="M419" s="5" t="n">
        <v>6072108</v>
      </c>
      <c r="N419" s="3" t="n"/>
      <c r="O419" s="3" t="n">
        <v>4</v>
      </c>
      <c r="P419" s="5" t="n">
        <v>1315623.6</v>
      </c>
      <c r="Q419" s="5" t="n">
        <v>4756484.4</v>
      </c>
      <c r="R419" s="3" t="inlineStr"/>
      <c r="S419" s="3" t="inlineStr">
        <is>
          <t>Aktif</t>
        </is>
      </c>
      <c r="T419" s="3" t="n"/>
      <c r="U419" s="3" t="inlineStr">
        <is>
          <t>LIST ASSET YPIK 2025(1).xlsx | Inv. YPIK</t>
        </is>
      </c>
    </row>
    <row r="420">
      <c r="A420" s="3" t="n">
        <v>417</v>
      </c>
      <c r="B420" s="3" t="n"/>
      <c r="C420" s="3" t="inlineStr">
        <is>
          <t>YPIK PAM JAYA</t>
        </is>
      </c>
      <c r="D420" s="3" t="n"/>
      <c r="E420" s="3" t="inlineStr">
        <is>
          <t>Pembelian 2 Buah Lemari Arsip untuk YPIK Lt 2</t>
        </is>
      </c>
      <c r="F420" s="3" t="inlineStr">
        <is>
          <t>Pembelian 2 Buah Lemari Arsip untuk YPIK Lt 2</t>
        </is>
      </c>
      <c r="G420" s="3" t="n"/>
      <c r="H420" s="3" t="n"/>
      <c r="I420" s="3" t="n"/>
      <c r="J420" s="4" t="n"/>
      <c r="K420" s="3" t="n">
        <v>2025</v>
      </c>
      <c r="L420" s="5" t="n"/>
      <c r="M420" s="5" t="n">
        <v>5151000</v>
      </c>
      <c r="N420" s="3" t="n"/>
      <c r="O420" s="3" t="n">
        <v>4</v>
      </c>
      <c r="P420" s="5" t="n">
        <v>515100</v>
      </c>
      <c r="Q420" s="5" t="n">
        <v>4635900</v>
      </c>
      <c r="R420" s="3" t="inlineStr"/>
      <c r="S420" s="3" t="inlineStr">
        <is>
          <t>Aktif</t>
        </is>
      </c>
      <c r="T420" s="3" t="n"/>
      <c r="U420" s="3" t="inlineStr">
        <is>
          <t>LIST ASSET YPIK 2025(1).xlsx | Inv. YPIK</t>
        </is>
      </c>
    </row>
    <row r="421">
      <c r="A421" s="3" t="n">
        <v>418</v>
      </c>
      <c r="B421" s="3" t="n"/>
      <c r="C421" s="3" t="inlineStr">
        <is>
          <t>YPIK PAM JAYA</t>
        </is>
      </c>
      <c r="D421" s="3" t="n"/>
      <c r="E421" s="3" t="inlineStr">
        <is>
          <t>Pembelian Lemari Piring untuk YPIK Lt 2</t>
        </is>
      </c>
      <c r="F421" s="3" t="inlineStr">
        <is>
          <t>Pembelian Lemari Piring untuk YPIK Lt 2</t>
        </is>
      </c>
      <c r="G421" s="3" t="n"/>
      <c r="H421" s="3" t="n"/>
      <c r="I421" s="3" t="n"/>
      <c r="J421" s="4" t="n"/>
      <c r="K421" s="3" t="n">
        <v>2025</v>
      </c>
      <c r="L421" s="5" t="n"/>
      <c r="M421" s="5" t="n">
        <v>417520</v>
      </c>
      <c r="N421" s="3" t="n"/>
      <c r="O421" s="3" t="n">
        <v>4</v>
      </c>
      <c r="P421" s="5" t="n">
        <v>41752</v>
      </c>
      <c r="Q421" s="5" t="n">
        <v>375768</v>
      </c>
      <c r="R421" s="3" t="inlineStr"/>
      <c r="S421" s="3" t="inlineStr">
        <is>
          <t>Aktif</t>
        </is>
      </c>
      <c r="T421" s="3" t="n"/>
      <c r="U421" s="3" t="inlineStr">
        <is>
          <t>LIST ASSET YPIK 2025(1).xlsx | Inv. YPIK</t>
        </is>
      </c>
    </row>
    <row r="422">
      <c r="A422" s="3" t="n">
        <v>419</v>
      </c>
      <c r="B422" s="3" t="n"/>
      <c r="C422" s="3" t="inlineStr">
        <is>
          <t>YPIK PAM JAYA</t>
        </is>
      </c>
      <c r="D422" s="3" t="n"/>
      <c r="E422" s="3" t="inlineStr">
        <is>
          <t>Pembelian Tensimeter Omron untuk YPIK</t>
        </is>
      </c>
      <c r="F422" s="3" t="inlineStr">
        <is>
          <t>Pembelian Tensimeter Omron untuk YPIK</t>
        </is>
      </c>
      <c r="G422" s="3" t="n"/>
      <c r="H422" s="3" t="n"/>
      <c r="I422" s="3" t="n"/>
      <c r="J422" s="4" t="n"/>
      <c r="K422" s="3" t="n">
        <v>2025</v>
      </c>
      <c r="L422" s="5" t="n"/>
      <c r="M422" s="5" t="n">
        <v>531200</v>
      </c>
      <c r="N422" s="3" t="n"/>
      <c r="O422" s="3" t="n">
        <v>4</v>
      </c>
      <c r="P422" s="5" t="n">
        <v>44266.66666666666</v>
      </c>
      <c r="Q422" s="5" t="n">
        <v>486933.3333333333</v>
      </c>
      <c r="R422" s="3" t="inlineStr"/>
      <c r="S422" s="3" t="inlineStr">
        <is>
          <t>Aktif</t>
        </is>
      </c>
      <c r="T422" s="3" t="n"/>
      <c r="U422" s="3" t="inlineStr">
        <is>
          <t>LIST ASSET YPIK 2025(1).xlsx | Inv. YPIK</t>
        </is>
      </c>
    </row>
    <row r="423">
      <c r="A423" s="3" t="n">
        <v>420</v>
      </c>
      <c r="B423" s="3" t="n"/>
      <c r="C423" s="3" t="inlineStr">
        <is>
          <t>YPIK PAM JAYA</t>
        </is>
      </c>
      <c r="D423" s="3" t="n"/>
      <c r="E423" s="3" t="inlineStr">
        <is>
          <t>Pembelian Meja Kantor untuk Direktur Eksekutif</t>
        </is>
      </c>
      <c r="F423" s="3" t="inlineStr">
        <is>
          <t>Pembelian Meja Kantor untuk Direktur Eksekutif</t>
        </is>
      </c>
      <c r="G423" s="3" t="n"/>
      <c r="H423" s="3" t="n"/>
      <c r="I423" s="3" t="n"/>
      <c r="J423" s="4" t="n"/>
      <c r="K423" s="3" t="n">
        <v>2025</v>
      </c>
      <c r="L423" s="5" t="n"/>
      <c r="M423" s="5" t="n">
        <v>3074000</v>
      </c>
      <c r="N423" s="3" t="n"/>
      <c r="O423" s="3" t="n">
        <v>4</v>
      </c>
      <c r="P423" s="5" t="n">
        <v>153700</v>
      </c>
      <c r="Q423" s="5" t="n">
        <v>2920300</v>
      </c>
      <c r="R423" s="3" t="inlineStr"/>
      <c r="S423" s="3" t="inlineStr">
        <is>
          <t>Aktif</t>
        </is>
      </c>
      <c r="T423" s="3" t="n"/>
      <c r="U423" s="3" t="inlineStr">
        <is>
          <t>LIST ASSET YPIK 2025(1).xlsx | Inv. YPIK</t>
        </is>
      </c>
    </row>
    <row r="424">
      <c r="A424" s="3" t="n">
        <v>421</v>
      </c>
      <c r="B424" s="3" t="n"/>
      <c r="C424" s="3" t="inlineStr">
        <is>
          <t>YPIK PAM JAYA</t>
        </is>
      </c>
      <c r="D424" s="3" t="n"/>
      <c r="E424" s="3" t="inlineStr">
        <is>
          <t>Pembelian Handphone Samsung A17 untuk Penerimaan</t>
        </is>
      </c>
      <c r="F424" s="3" t="inlineStr">
        <is>
          <t>Pembelian Handphone Samsung A17 untuk Penerimaan</t>
        </is>
      </c>
      <c r="G424" s="3" t="n"/>
      <c r="H424" s="3" t="n"/>
      <c r="I424" s="3" t="n"/>
      <c r="J424" s="4" t="n"/>
      <c r="K424" s="3" t="n">
        <v>2025</v>
      </c>
      <c r="L424" s="5" t="n"/>
      <c r="M424" s="5" t="n">
        <v>3699000</v>
      </c>
      <c r="N424" s="3" t="n"/>
      <c r="O424" s="3" t="n">
        <v>4</v>
      </c>
      <c r="P424" s="5" t="n">
        <v>123300</v>
      </c>
      <c r="Q424" s="5" t="n">
        <v>3575700</v>
      </c>
      <c r="R424" s="3" t="inlineStr"/>
      <c r="S424" s="3" t="inlineStr">
        <is>
          <t>Aktif</t>
        </is>
      </c>
      <c r="T424" s="3" t="n"/>
      <c r="U424" s="3" t="inlineStr">
        <is>
          <t>LIST ASSET YPIK 2025(1).xlsx | Inv. YPIK</t>
        </is>
      </c>
    </row>
    <row r="425">
      <c r="A425" s="3" t="n">
        <v>422</v>
      </c>
      <c r="B425" s="3" t="n"/>
      <c r="C425" s="3" t="inlineStr">
        <is>
          <t>YPIK PAM JAYA</t>
        </is>
      </c>
      <c r="D425" s="3" t="n"/>
      <c r="E425" s="3" t="inlineStr">
        <is>
          <t>Lemari Arsip untuk Keuangan</t>
        </is>
      </c>
      <c r="F425" s="3" t="inlineStr">
        <is>
          <t>Lemari Arsip untuk Keuangan</t>
        </is>
      </c>
      <c r="G425" s="3" t="n"/>
      <c r="H425" s="3" t="n"/>
      <c r="I425" s="3" t="n"/>
      <c r="J425" s="4" t="n"/>
      <c r="K425" s="3" t="n">
        <v>2025</v>
      </c>
      <c r="L425" s="5" t="n"/>
      <c r="M425" s="5" t="n">
        <v>2613500</v>
      </c>
      <c r="N425" s="3" t="n"/>
      <c r="O425" s="3" t="n">
        <v>4</v>
      </c>
      <c r="P425" s="5" t="n">
        <v>43558.33333333334</v>
      </c>
      <c r="Q425" s="5" t="n">
        <v>2569941.666666667</v>
      </c>
      <c r="R425" s="3" t="inlineStr"/>
      <c r="S425" s="3" t="inlineStr">
        <is>
          <t>Aktif</t>
        </is>
      </c>
      <c r="T425" s="3" t="n"/>
      <c r="U425" s="3" t="inlineStr">
        <is>
          <t>LIST ASSET YPIK 2025(1).xlsx | Inv. YPIK</t>
        </is>
      </c>
    </row>
    <row r="426">
      <c r="A426" s="3" t="n">
        <v>423</v>
      </c>
      <c r="B426" s="3" t="inlineStr">
        <is>
          <t>171-03-03-24</t>
        </is>
      </c>
      <c r="C426" s="3" t="inlineStr">
        <is>
          <t>TKIA 24 JATIKRAMAT</t>
        </is>
      </c>
      <c r="D426" s="3" t="inlineStr">
        <is>
          <t>I / 2 / KEP.SEKOLAH</t>
        </is>
      </c>
      <c r="E426" s="3" t="inlineStr">
        <is>
          <t>Kursi Sofa</t>
        </is>
      </c>
      <c r="F426" s="3" t="inlineStr">
        <is>
          <t>Kursi Sofa</t>
        </is>
      </c>
      <c r="G426" s="3" t="inlineStr">
        <is>
          <t>Kulit / Busa</t>
        </is>
      </c>
      <c r="H426" s="3" t="inlineStr">
        <is>
          <t>2 Tempat duduk</t>
        </is>
      </c>
      <c r="I426" s="3" t="n"/>
      <c r="J426" s="4" t="n"/>
      <c r="K426" s="3" t="n"/>
      <c r="L426" s="5" t="n"/>
      <c r="M426" s="5" t="n"/>
      <c r="N426" s="3" t="inlineStr">
        <is>
          <t>171-03-03-24</t>
        </is>
      </c>
      <c r="O426" s="3" t="n">
        <v>4</v>
      </c>
      <c r="P426" s="5" t="n"/>
      <c r="Q426" s="5" t="n"/>
      <c r="R426" s="3" t="inlineStr">
        <is>
          <t>Baik</t>
        </is>
      </c>
      <c r="S426" s="3" t="inlineStr">
        <is>
          <t>Aktif</t>
        </is>
      </c>
      <c r="T426" s="3" t="n"/>
      <c r="U426" s="3" t="inlineStr">
        <is>
          <t>ASSET TKIA-24 2025(1).xlsx | ASET TKIA 24</t>
        </is>
      </c>
    </row>
    <row r="427">
      <c r="A427" s="3" t="n">
        <v>424</v>
      </c>
      <c r="B427" s="3" t="inlineStr">
        <is>
          <t>171-03-03-24</t>
        </is>
      </c>
      <c r="C427" s="3" t="inlineStr">
        <is>
          <t>TKIA 24 JATIKRAMAT</t>
        </is>
      </c>
      <c r="D427" s="3" t="inlineStr">
        <is>
          <t>I / 2 / KEP.SEKOLAH</t>
        </is>
      </c>
      <c r="E427" s="3" t="inlineStr">
        <is>
          <t>Kursi Putar</t>
        </is>
      </c>
      <c r="F427" s="3" t="inlineStr">
        <is>
          <t>Kursi Putar</t>
        </is>
      </c>
      <c r="G427" s="3" t="inlineStr">
        <is>
          <t>Campur</t>
        </is>
      </c>
      <c r="H427" s="3" t="inlineStr">
        <is>
          <t>Biro - 160 cm x 80 cm</t>
        </is>
      </c>
      <c r="I427" s="3" t="n"/>
      <c r="J427" s="4" t="n"/>
      <c r="K427" s="3" t="n"/>
      <c r="L427" s="5" t="n"/>
      <c r="M427" s="5" t="n"/>
      <c r="N427" s="3" t="inlineStr">
        <is>
          <t>171-03-03-24</t>
        </is>
      </c>
      <c r="O427" s="3" t="n">
        <v>4</v>
      </c>
      <c r="P427" s="5" t="n"/>
      <c r="Q427" s="5" t="n"/>
      <c r="R427" s="3" t="inlineStr">
        <is>
          <t>Baik</t>
        </is>
      </c>
      <c r="S427" s="3" t="inlineStr">
        <is>
          <t>Aktif</t>
        </is>
      </c>
      <c r="T427" s="3" t="n"/>
      <c r="U427" s="3" t="inlineStr">
        <is>
          <t>ASSET TKIA-24 2025(1).xlsx | ASET TKIA 24</t>
        </is>
      </c>
    </row>
    <row r="428">
      <c r="A428" s="3" t="n">
        <v>425</v>
      </c>
      <c r="B428" s="3" t="inlineStr">
        <is>
          <t>171-03-03-24</t>
        </is>
      </c>
      <c r="C428" s="3" t="inlineStr">
        <is>
          <t>TKIA 24 JATIKRAMAT</t>
        </is>
      </c>
      <c r="D428" s="3" t="inlineStr">
        <is>
          <t>I / 2 / KEP.SEKOLAH</t>
        </is>
      </c>
      <c r="E428" s="3" t="inlineStr">
        <is>
          <t>Kursi Tamu</t>
        </is>
      </c>
      <c r="F428" s="3" t="inlineStr">
        <is>
          <t>Kursi Tamu</t>
        </is>
      </c>
      <c r="G428" s="3" t="inlineStr">
        <is>
          <t>Besi</t>
        </is>
      </c>
      <c r="H428" s="3" t="inlineStr">
        <is>
          <t>1 Tempat duduk</t>
        </is>
      </c>
      <c r="I428" s="3" t="n"/>
      <c r="J428" s="4" t="n"/>
      <c r="K428" s="3" t="n"/>
      <c r="L428" s="5" t="n"/>
      <c r="M428" s="5" t="n"/>
      <c r="N428" s="3" t="inlineStr">
        <is>
          <t>171-03-03-24</t>
        </is>
      </c>
      <c r="O428" s="3" t="n">
        <v>4</v>
      </c>
      <c r="P428" s="5" t="n"/>
      <c r="Q428" s="5" t="n"/>
      <c r="R428" s="3" t="inlineStr">
        <is>
          <t>Baik</t>
        </is>
      </c>
      <c r="S428" s="3" t="inlineStr">
        <is>
          <t>Aktif</t>
        </is>
      </c>
      <c r="T428" s="3" t="n"/>
      <c r="U428" s="3" t="inlineStr">
        <is>
          <t>ASSET TKIA-24 2025(1).xlsx | ASET TKIA 24</t>
        </is>
      </c>
    </row>
    <row r="429">
      <c r="A429" s="3" t="n">
        <v>426</v>
      </c>
      <c r="B429" s="3" t="inlineStr">
        <is>
          <t>171-03-03-24</t>
        </is>
      </c>
      <c r="C429" s="3" t="inlineStr">
        <is>
          <t>TKIA 24 JATIKRAMAT</t>
        </is>
      </c>
      <c r="D429" s="3" t="inlineStr">
        <is>
          <t>I / 2 / KEP.SEKOLAH</t>
        </is>
      </c>
      <c r="E429" s="3" t="inlineStr">
        <is>
          <t>Lemari File Kaca</t>
        </is>
      </c>
      <c r="F429" s="3" t="inlineStr">
        <is>
          <t>Lemari File Kaca</t>
        </is>
      </c>
      <c r="G429" s="3" t="inlineStr">
        <is>
          <t>Kayu</t>
        </is>
      </c>
      <c r="H429" s="3" t="inlineStr">
        <is>
          <t>190 cm x 115 cm</t>
        </is>
      </c>
      <c r="I429" s="3" t="n"/>
      <c r="J429" s="4" t="n"/>
      <c r="K429" s="3" t="n"/>
      <c r="L429" s="5" t="n"/>
      <c r="M429" s="5" t="n"/>
      <c r="N429" s="3" t="inlineStr">
        <is>
          <t>171-03-03-24</t>
        </is>
      </c>
      <c r="O429" s="3" t="n">
        <v>4</v>
      </c>
      <c r="P429" s="5" t="n"/>
      <c r="Q429" s="5" t="n"/>
      <c r="R429" s="3" t="inlineStr">
        <is>
          <t>Baik</t>
        </is>
      </c>
      <c r="S429" s="3" t="inlineStr">
        <is>
          <t>Aktif</t>
        </is>
      </c>
      <c r="T429" s="3" t="n"/>
      <c r="U429" s="3" t="inlineStr">
        <is>
          <t>ASSET TKIA-24 2025(1).xlsx | ASET TKIA 24</t>
        </is>
      </c>
    </row>
    <row r="430">
      <c r="A430" s="3" t="n">
        <v>427</v>
      </c>
      <c r="B430" s="3" t="inlineStr">
        <is>
          <t>171-03-03-24</t>
        </is>
      </c>
      <c r="C430" s="3" t="inlineStr">
        <is>
          <t>TKIA 24 JATIKRAMAT</t>
        </is>
      </c>
      <c r="D430" s="3" t="inlineStr">
        <is>
          <t>I / 2 / KEP.SEKOLAH</t>
        </is>
      </c>
      <c r="E430" s="3" t="inlineStr">
        <is>
          <t>WhiteBoard/ Mading</t>
        </is>
      </c>
      <c r="F430" s="3" t="inlineStr">
        <is>
          <t>WhiteBoard/ Mading</t>
        </is>
      </c>
      <c r="G430" s="3" t="inlineStr">
        <is>
          <t>Kayu</t>
        </is>
      </c>
      <c r="H430" s="3" t="inlineStr">
        <is>
          <t>66 cm x 107 cm</t>
        </is>
      </c>
      <c r="I430" s="3" t="n"/>
      <c r="J430" s="4" t="n"/>
      <c r="K430" s="3" t="n"/>
      <c r="L430" s="5" t="n"/>
      <c r="M430" s="5" t="n"/>
      <c r="N430" s="3" t="inlineStr">
        <is>
          <t>171-03-03-24</t>
        </is>
      </c>
      <c r="O430" s="3" t="n">
        <v>4</v>
      </c>
      <c r="P430" s="5" t="n"/>
      <c r="Q430" s="5" t="n"/>
      <c r="R430" s="3" t="inlineStr">
        <is>
          <t>Baik</t>
        </is>
      </c>
      <c r="S430" s="3" t="inlineStr">
        <is>
          <t>Aktif</t>
        </is>
      </c>
      <c r="T430" s="3" t="n"/>
      <c r="U430" s="3" t="inlineStr">
        <is>
          <t>ASSET TKIA-24 2025(1).xlsx | ASET TKIA 24</t>
        </is>
      </c>
    </row>
    <row r="431">
      <c r="A431" s="3" t="n">
        <v>428</v>
      </c>
      <c r="B431" s="3" t="inlineStr">
        <is>
          <t>171-03-03-24</t>
        </is>
      </c>
      <c r="C431" s="3" t="inlineStr">
        <is>
          <t>TKIA 24 JATIKRAMAT</t>
        </is>
      </c>
      <c r="D431" s="3" t="inlineStr">
        <is>
          <t>I / 2 / KEP.SEKOLAH</t>
        </is>
      </c>
      <c r="E431" s="3" t="inlineStr">
        <is>
          <t>Jam Dinding</t>
        </is>
      </c>
      <c r="F431" s="3" t="inlineStr">
        <is>
          <t>Jam Dinding</t>
        </is>
      </c>
      <c r="G431" s="3" t="inlineStr">
        <is>
          <t>Campur</t>
        </is>
      </c>
      <c r="H431" s="3" t="inlineStr">
        <is>
          <t>26 cm</t>
        </is>
      </c>
      <c r="I431" s="3" t="n"/>
      <c r="J431" s="4" t="n"/>
      <c r="K431" s="3" t="n"/>
      <c r="L431" s="5" t="n"/>
      <c r="M431" s="5" t="n"/>
      <c r="N431" s="3" t="inlineStr">
        <is>
          <t>171-03-03-24</t>
        </is>
      </c>
      <c r="O431" s="3" t="n">
        <v>4</v>
      </c>
      <c r="P431" s="5" t="n"/>
      <c r="Q431" s="5" t="n"/>
      <c r="R431" s="3" t="inlineStr">
        <is>
          <t>Baik</t>
        </is>
      </c>
      <c r="S431" s="3" t="inlineStr">
        <is>
          <t>Aktif</t>
        </is>
      </c>
      <c r="T431" s="3" t="n"/>
      <c r="U431" s="3" t="inlineStr">
        <is>
          <t>ASSET TKIA-24 2025(1).xlsx | ASET TKIA 24</t>
        </is>
      </c>
    </row>
    <row r="432">
      <c r="A432" s="3" t="n">
        <v>429</v>
      </c>
      <c r="B432" s="3" t="inlineStr">
        <is>
          <t>171-03-03-24</t>
        </is>
      </c>
      <c r="C432" s="3" t="inlineStr">
        <is>
          <t>TKIA 24 JATIKRAMAT</t>
        </is>
      </c>
      <c r="D432" s="3" t="inlineStr">
        <is>
          <t>I / 2 / KEP.SEKOLAH</t>
        </is>
      </c>
      <c r="E432" s="3" t="inlineStr">
        <is>
          <t>Meja Kotak Sudut</t>
        </is>
      </c>
      <c r="F432" s="3" t="inlineStr">
        <is>
          <t>Meja Kotak Sudut</t>
        </is>
      </c>
      <c r="G432" s="3" t="inlineStr">
        <is>
          <t>Kayu</t>
        </is>
      </c>
      <c r="H432" s="3" t="inlineStr">
        <is>
          <t>40 cm x 40 cm</t>
        </is>
      </c>
      <c r="I432" s="3" t="n"/>
      <c r="J432" s="4" t="n"/>
      <c r="K432" s="3" t="n"/>
      <c r="L432" s="5" t="n"/>
      <c r="M432" s="5" t="n"/>
      <c r="N432" s="3" t="inlineStr">
        <is>
          <t>171-03-03-24</t>
        </is>
      </c>
      <c r="O432" s="3" t="n">
        <v>4</v>
      </c>
      <c r="P432" s="5" t="n"/>
      <c r="Q432" s="5" t="n"/>
      <c r="R432" s="3" t="inlineStr">
        <is>
          <t>Baik</t>
        </is>
      </c>
      <c r="S432" s="3" t="inlineStr">
        <is>
          <t>Aktif</t>
        </is>
      </c>
      <c r="T432" s="3" t="n"/>
      <c r="U432" s="3" t="inlineStr">
        <is>
          <t>ASSET TKIA-24 2025(1).xlsx | ASET TKIA 24</t>
        </is>
      </c>
    </row>
    <row r="433">
      <c r="A433" s="3" t="n">
        <v>430</v>
      </c>
      <c r="B433" s="3" t="inlineStr">
        <is>
          <t>171-03-03-24</t>
        </is>
      </c>
      <c r="C433" s="3" t="inlineStr">
        <is>
          <t>TKIA 24 JATIKRAMAT</t>
        </is>
      </c>
      <c r="D433" s="3" t="inlineStr">
        <is>
          <t>I / 2 / KEP.SEKOLAH</t>
        </is>
      </c>
      <c r="E433" s="3" t="inlineStr">
        <is>
          <t>Rak Sepatu</t>
        </is>
      </c>
      <c r="F433" s="3" t="inlineStr">
        <is>
          <t>Rak Sepatu</t>
        </is>
      </c>
      <c r="G433" s="3" t="inlineStr">
        <is>
          <t>Plastik</t>
        </is>
      </c>
      <c r="H433" s="3" t="inlineStr">
        <is>
          <t>100x80 cm</t>
        </is>
      </c>
      <c r="I433" s="3" t="n"/>
      <c r="J433" s="4" t="n"/>
      <c r="K433" s="3" t="n"/>
      <c r="L433" s="5" t="n"/>
      <c r="M433" s="5" t="n"/>
      <c r="N433" s="3" t="inlineStr">
        <is>
          <t>171-03-03-24</t>
        </is>
      </c>
      <c r="O433" s="3" t="n">
        <v>4</v>
      </c>
      <c r="P433" s="5" t="n"/>
      <c r="Q433" s="5" t="n"/>
      <c r="R433" s="3" t="inlineStr">
        <is>
          <t>Baik</t>
        </is>
      </c>
      <c r="S433" s="3" t="inlineStr">
        <is>
          <t>Aktif</t>
        </is>
      </c>
      <c r="T433" s="3" t="n"/>
      <c r="U433" s="3" t="inlineStr">
        <is>
          <t>ASSET TKIA-24 2025(1).xlsx | ASET TKIA 24</t>
        </is>
      </c>
    </row>
    <row r="434">
      <c r="A434" s="3" t="n">
        <v>431</v>
      </c>
      <c r="B434" s="3" t="inlineStr">
        <is>
          <t>171-03-03-24</t>
        </is>
      </c>
      <c r="C434" s="3" t="inlineStr">
        <is>
          <t>TKIA 24 JATIKRAMAT</t>
        </is>
      </c>
      <c r="D434" s="3" t="inlineStr">
        <is>
          <t>I / 2 / KEP.SEKOLAH</t>
        </is>
      </c>
      <c r="E434" s="3" t="inlineStr">
        <is>
          <t>Meja Tamu</t>
        </is>
      </c>
      <c r="F434" s="3" t="inlineStr">
        <is>
          <t>Meja Tamu</t>
        </is>
      </c>
      <c r="G434" s="3" t="inlineStr">
        <is>
          <t>Kayu</t>
        </is>
      </c>
      <c r="H434" s="3" t="inlineStr">
        <is>
          <t>40x40 cm</t>
        </is>
      </c>
      <c r="I434" s="3" t="n"/>
      <c r="J434" s="4" t="n"/>
      <c r="K434" s="3" t="n"/>
      <c r="L434" s="5" t="n"/>
      <c r="M434" s="5" t="n"/>
      <c r="N434" s="3" t="inlineStr">
        <is>
          <t>171-03-03-24</t>
        </is>
      </c>
      <c r="O434" s="3" t="n">
        <v>4</v>
      </c>
      <c r="P434" s="5" t="n"/>
      <c r="Q434" s="5" t="n"/>
      <c r="R434" s="3" t="inlineStr">
        <is>
          <t>Baik</t>
        </is>
      </c>
      <c r="S434" s="3" t="inlineStr">
        <is>
          <t>Aktif</t>
        </is>
      </c>
      <c r="T434" s="3" t="n"/>
      <c r="U434" s="3" t="inlineStr">
        <is>
          <t>ASSET TKIA-24 2025(1).xlsx | ASET TKIA 24</t>
        </is>
      </c>
    </row>
    <row r="435">
      <c r="A435" s="3" t="n">
        <v>432</v>
      </c>
      <c r="B435" s="3" t="inlineStr">
        <is>
          <t>171-03-03-24</t>
        </is>
      </c>
      <c r="C435" s="3" t="inlineStr">
        <is>
          <t>TKIA 24 JATIKRAMAT</t>
        </is>
      </c>
      <c r="D435" s="3" t="inlineStr">
        <is>
          <t>I / 2 / KEP.SEKOLAH</t>
        </is>
      </c>
      <c r="E435" s="3" t="inlineStr">
        <is>
          <t>Pengharum ruangan</t>
        </is>
      </c>
      <c r="F435" s="3" t="inlineStr">
        <is>
          <t>Pengharum ruangan</t>
        </is>
      </c>
      <c r="G435" s="3" t="inlineStr">
        <is>
          <t>Plastik</t>
        </is>
      </c>
      <c r="H435" s="3" t="inlineStr">
        <is>
          <t>Medium</t>
        </is>
      </c>
      <c r="I435" s="3" t="n"/>
      <c r="J435" s="4" t="n"/>
      <c r="K435" s="3" t="n"/>
      <c r="L435" s="5" t="n"/>
      <c r="M435" s="5" t="n"/>
      <c r="N435" s="3" t="inlineStr">
        <is>
          <t>171-03-03-24</t>
        </is>
      </c>
      <c r="O435" s="3" t="n">
        <v>4</v>
      </c>
      <c r="P435" s="5" t="n"/>
      <c r="Q435" s="5" t="n"/>
      <c r="R435" s="3" t="inlineStr">
        <is>
          <t>Baik</t>
        </is>
      </c>
      <c r="S435" s="3" t="inlineStr">
        <is>
          <t>Aktif</t>
        </is>
      </c>
      <c r="T435" s="3" t="n"/>
      <c r="U435" s="3" t="inlineStr">
        <is>
          <t>ASSET TKIA-24 2025(1).xlsx | ASET TKIA 24</t>
        </is>
      </c>
    </row>
    <row r="436">
      <c r="A436" s="3" t="n">
        <v>433</v>
      </c>
      <c r="B436" s="3" t="inlineStr">
        <is>
          <t>171-03-03-24</t>
        </is>
      </c>
      <c r="C436" s="3" t="inlineStr">
        <is>
          <t>TKIA 24 JATIKRAMAT</t>
        </is>
      </c>
      <c r="D436" s="3" t="inlineStr">
        <is>
          <t>I / 1 / RUANG TUNGGU</t>
        </is>
      </c>
      <c r="E436" s="3" t="inlineStr">
        <is>
          <t>Rak Helmet</t>
        </is>
      </c>
      <c r="F436" s="3" t="inlineStr">
        <is>
          <t>Rak Helmet</t>
        </is>
      </c>
      <c r="G436" s="3" t="inlineStr">
        <is>
          <t>Kayu</t>
        </is>
      </c>
      <c r="H436" s="3" t="inlineStr">
        <is>
          <t>200 x 180</t>
        </is>
      </c>
      <c r="I436" s="3" t="n"/>
      <c r="J436" s="4" t="n"/>
      <c r="K436" s="3" t="n"/>
      <c r="L436" s="5" t="n"/>
      <c r="M436" s="5" t="n"/>
      <c r="N436" s="3" t="inlineStr">
        <is>
          <t>171-03-03-24</t>
        </is>
      </c>
      <c r="O436" s="3" t="n">
        <v>4</v>
      </c>
      <c r="P436" s="5" t="n"/>
      <c r="Q436" s="5" t="n"/>
      <c r="R436" s="3" t="inlineStr">
        <is>
          <t>Baik</t>
        </is>
      </c>
      <c r="S436" s="3" t="inlineStr">
        <is>
          <t>Aktif</t>
        </is>
      </c>
      <c r="T436" s="3" t="n"/>
      <c r="U436" s="3" t="inlineStr">
        <is>
          <t>ASSET TKIA-24 2025(1).xlsx | ASET TKIA 24</t>
        </is>
      </c>
    </row>
    <row r="437">
      <c r="A437" s="3" t="n">
        <v>434</v>
      </c>
      <c r="B437" s="3" t="inlineStr">
        <is>
          <t>171-03-03-24</t>
        </is>
      </c>
      <c r="C437" s="3" t="inlineStr">
        <is>
          <t>TKIA 24 JATIKRAMAT</t>
        </is>
      </c>
      <c r="D437" s="3" t="inlineStr">
        <is>
          <t>I / 1 / RUANG TUNGGU</t>
        </is>
      </c>
      <c r="E437" s="3" t="inlineStr">
        <is>
          <t>Etalase Piala Besar</t>
        </is>
      </c>
      <c r="F437" s="3" t="inlineStr">
        <is>
          <t>Etalase Piala Besar</t>
        </is>
      </c>
      <c r="G437" s="3" t="inlineStr">
        <is>
          <t>Alumuniun</t>
        </is>
      </c>
      <c r="H437" s="3" t="inlineStr">
        <is>
          <t>125x200cm</t>
        </is>
      </c>
      <c r="I437" s="3" t="n"/>
      <c r="J437" s="4" t="n"/>
      <c r="K437" s="3" t="n"/>
      <c r="L437" s="5" t="n"/>
      <c r="M437" s="5" t="n"/>
      <c r="N437" s="3" t="inlineStr">
        <is>
          <t>171-03-03-24</t>
        </is>
      </c>
      <c r="O437" s="3" t="n">
        <v>4</v>
      </c>
      <c r="P437" s="5" t="n"/>
      <c r="Q437" s="5" t="n"/>
      <c r="R437" s="3" t="inlineStr">
        <is>
          <t>Baik</t>
        </is>
      </c>
      <c r="S437" s="3" t="inlineStr">
        <is>
          <t>Aktif</t>
        </is>
      </c>
      <c r="T437" s="3" t="n"/>
      <c r="U437" s="3" t="inlineStr">
        <is>
          <t>ASSET TKIA-24 2025(1).xlsx | ASET TKIA 24</t>
        </is>
      </c>
    </row>
    <row r="438">
      <c r="A438" s="3" t="n">
        <v>435</v>
      </c>
      <c r="B438" s="3" t="inlineStr">
        <is>
          <t>171-03-03-24</t>
        </is>
      </c>
      <c r="C438" s="3" t="inlineStr">
        <is>
          <t>TKIA 24 JATIKRAMAT</t>
        </is>
      </c>
      <c r="D438" s="3" t="inlineStr">
        <is>
          <t>I / 1 / RUANG TUNGGU</t>
        </is>
      </c>
      <c r="E438" s="3" t="inlineStr">
        <is>
          <t>Kursi Tunggu</t>
        </is>
      </c>
      <c r="F438" s="3" t="inlineStr">
        <is>
          <t>Kursi Tunggu</t>
        </is>
      </c>
      <c r="G438" s="3" t="inlineStr">
        <is>
          <t>Besi</t>
        </is>
      </c>
      <c r="H438" s="3" t="inlineStr">
        <is>
          <t>3 Baris duduk</t>
        </is>
      </c>
      <c r="I438" s="3" t="n"/>
      <c r="J438" s="4" t="n"/>
      <c r="K438" s="3" t="n"/>
      <c r="L438" s="5" t="n"/>
      <c r="M438" s="5" t="n"/>
      <c r="N438" s="3" t="inlineStr">
        <is>
          <t>171-03-03-24</t>
        </is>
      </c>
      <c r="O438" s="3" t="n">
        <v>4</v>
      </c>
      <c r="P438" s="5" t="n"/>
      <c r="Q438" s="5" t="n"/>
      <c r="R438" s="3" t="inlineStr">
        <is>
          <t>Baik</t>
        </is>
      </c>
      <c r="S438" s="3" t="inlineStr">
        <is>
          <t>Aktif</t>
        </is>
      </c>
      <c r="T438" s="3" t="n"/>
      <c r="U438" s="3" t="inlineStr">
        <is>
          <t>ASSET TKIA-24 2025(1).xlsx | ASET TKIA 24</t>
        </is>
      </c>
    </row>
    <row r="439">
      <c r="A439" s="3" t="n">
        <v>436</v>
      </c>
      <c r="B439" s="3" t="inlineStr">
        <is>
          <t>171-03-03-24</t>
        </is>
      </c>
      <c r="C439" s="3" t="inlineStr">
        <is>
          <t>TKIA 24 JATIKRAMAT</t>
        </is>
      </c>
      <c r="D439" s="3" t="inlineStr">
        <is>
          <t>I / 1 / RUANG TUNGGU</t>
        </is>
      </c>
      <c r="E439" s="3" t="inlineStr">
        <is>
          <t>Meja Security</t>
        </is>
      </c>
      <c r="F439" s="3" t="inlineStr">
        <is>
          <t>Meja Security</t>
        </is>
      </c>
      <c r="G439" s="3" t="inlineStr">
        <is>
          <t>Kayu</t>
        </is>
      </c>
      <c r="H439" s="3" t="inlineStr">
        <is>
          <t>50x 50x80 cm</t>
        </is>
      </c>
      <c r="I439" s="3" t="n"/>
      <c r="J439" s="4" t="n"/>
      <c r="K439" s="3" t="n"/>
      <c r="L439" s="5" t="n"/>
      <c r="M439" s="5" t="n"/>
      <c r="N439" s="3" t="inlineStr">
        <is>
          <t>171-03-03-24</t>
        </is>
      </c>
      <c r="O439" s="3" t="n">
        <v>4</v>
      </c>
      <c r="P439" s="5" t="n"/>
      <c r="Q439" s="5" t="n"/>
      <c r="R439" s="3" t="inlineStr">
        <is>
          <t>Baik</t>
        </is>
      </c>
      <c r="S439" s="3" t="inlineStr">
        <is>
          <t>Aktif</t>
        </is>
      </c>
      <c r="T439" s="3" t="n"/>
      <c r="U439" s="3" t="inlineStr">
        <is>
          <t>ASSET TKIA-24 2025(1).xlsx | ASET TKIA 24</t>
        </is>
      </c>
    </row>
    <row r="440">
      <c r="A440" s="3" t="n">
        <v>437</v>
      </c>
      <c r="B440" s="3" t="inlineStr">
        <is>
          <t>171-03-03-24</t>
        </is>
      </c>
      <c r="C440" s="3" t="inlineStr">
        <is>
          <t>TKIA 24 JATIKRAMAT</t>
        </is>
      </c>
      <c r="D440" s="3" t="inlineStr">
        <is>
          <t>I / 1 / RUANG TUNGGU</t>
        </is>
      </c>
      <c r="E440" s="3" t="inlineStr">
        <is>
          <t>Mading</t>
        </is>
      </c>
      <c r="F440" s="3" t="inlineStr">
        <is>
          <t>Mading</t>
        </is>
      </c>
      <c r="G440" s="3" t="inlineStr">
        <is>
          <t>Kayu</t>
        </is>
      </c>
      <c r="H440" s="3" t="inlineStr">
        <is>
          <t>100x120 em</t>
        </is>
      </c>
      <c r="I440" s="3" t="n"/>
      <c r="J440" s="4" t="n"/>
      <c r="K440" s="3" t="n"/>
      <c r="L440" s="5" t="n"/>
      <c r="M440" s="5" t="n"/>
      <c r="N440" s="3" t="inlineStr">
        <is>
          <t>171-03-03-24</t>
        </is>
      </c>
      <c r="O440" s="3" t="n">
        <v>4</v>
      </c>
      <c r="P440" s="5" t="n"/>
      <c r="Q440" s="5" t="n"/>
      <c r="R440" s="3" t="inlineStr">
        <is>
          <t>Baik</t>
        </is>
      </c>
      <c r="S440" s="3" t="inlineStr">
        <is>
          <t>Aktif</t>
        </is>
      </c>
      <c r="T440" s="3" t="n"/>
      <c r="U440" s="3" t="inlineStr">
        <is>
          <t>ASSET TKIA-24 2025(1).xlsx | ASET TKIA 24</t>
        </is>
      </c>
    </row>
    <row r="441">
      <c r="A441" s="3" t="n">
        <v>438</v>
      </c>
      <c r="B441" s="3" t="inlineStr">
        <is>
          <t>171-03-03-24</t>
        </is>
      </c>
      <c r="C441" s="3" t="inlineStr">
        <is>
          <t>TKIA 24 JATIKRAMAT</t>
        </is>
      </c>
      <c r="D441" s="3" t="inlineStr">
        <is>
          <t>I / 1 / RUANG TUNGGU</t>
        </is>
      </c>
      <c r="E441" s="3" t="inlineStr">
        <is>
          <t>Jam dinding</t>
        </is>
      </c>
      <c r="F441" s="3" t="inlineStr">
        <is>
          <t>Jam dinding</t>
        </is>
      </c>
      <c r="G441" s="3" t="inlineStr">
        <is>
          <t>Platik</t>
        </is>
      </c>
      <c r="H441" s="3" t="inlineStr">
        <is>
          <t>15 ( inchi )</t>
        </is>
      </c>
      <c r="I441" s="3" t="n"/>
      <c r="J441" s="4" t="n"/>
      <c r="K441" s="3" t="n"/>
      <c r="L441" s="5" t="n"/>
      <c r="M441" s="5" t="n"/>
      <c r="N441" s="3" t="inlineStr">
        <is>
          <t>171-03-03-24</t>
        </is>
      </c>
      <c r="O441" s="3" t="n">
        <v>4</v>
      </c>
      <c r="P441" s="5" t="n"/>
      <c r="Q441" s="5" t="n"/>
      <c r="R441" s="3" t="inlineStr">
        <is>
          <t>Baik</t>
        </is>
      </c>
      <c r="S441" s="3" t="inlineStr">
        <is>
          <t>Aktif</t>
        </is>
      </c>
      <c r="T441" s="3" t="n"/>
      <c r="U441" s="3" t="inlineStr">
        <is>
          <t>ASSET TKIA-24 2025(1).xlsx | ASET TKIA 24</t>
        </is>
      </c>
    </row>
    <row r="442">
      <c r="A442" s="3" t="n">
        <v>439</v>
      </c>
      <c r="B442" s="3" t="inlineStr">
        <is>
          <t>171-03-03-24</t>
        </is>
      </c>
      <c r="C442" s="3" t="inlineStr">
        <is>
          <t>TKIA 24 JATIKRAMAT</t>
        </is>
      </c>
      <c r="D442" s="3" t="inlineStr">
        <is>
          <t>I / 3 / TATA USAHA (TU)</t>
        </is>
      </c>
      <c r="E442" s="3" t="inlineStr">
        <is>
          <t>Kursi Kantor</t>
        </is>
      </c>
      <c r="F442" s="3" t="inlineStr">
        <is>
          <t>Kursi Kantor</t>
        </is>
      </c>
      <c r="G442" s="3" t="inlineStr">
        <is>
          <t>Besi</t>
        </is>
      </c>
      <c r="H442" s="3" t="inlineStr">
        <is>
          <t>44 x 50x 50 cm</t>
        </is>
      </c>
      <c r="I442" s="3" t="n"/>
      <c r="J442" s="4" t="n"/>
      <c r="K442" s="3" t="n"/>
      <c r="L442" s="5" t="n"/>
      <c r="M442" s="5" t="n"/>
      <c r="N442" s="3" t="inlineStr">
        <is>
          <t>171-03-03-24</t>
        </is>
      </c>
      <c r="O442" s="3" t="n">
        <v>4</v>
      </c>
      <c r="P442" s="5" t="n"/>
      <c r="Q442" s="5" t="n"/>
      <c r="R442" s="3" t="inlineStr">
        <is>
          <t>Baik</t>
        </is>
      </c>
      <c r="S442" s="3" t="inlineStr">
        <is>
          <t>Aktif</t>
        </is>
      </c>
      <c r="T442" s="3" t="n"/>
      <c r="U442" s="3" t="inlineStr">
        <is>
          <t>ASSET TKIA-24 2025(1).xlsx | ASET TKIA 24</t>
        </is>
      </c>
    </row>
    <row r="443">
      <c r="A443" s="3" t="n">
        <v>440</v>
      </c>
      <c r="B443" s="3" t="inlineStr">
        <is>
          <t>171-03-03-24</t>
        </is>
      </c>
      <c r="C443" s="3" t="inlineStr">
        <is>
          <t>TKIA 24 JATIKRAMAT</t>
        </is>
      </c>
      <c r="D443" s="3" t="inlineStr">
        <is>
          <t>I / 3 / TATA USAHA (TU)</t>
        </is>
      </c>
      <c r="E443" s="3" t="inlineStr">
        <is>
          <t>Kursi Putar</t>
        </is>
      </c>
      <c r="F443" s="3" t="inlineStr">
        <is>
          <t>Kursi Putar</t>
        </is>
      </c>
      <c r="G443" s="3" t="inlineStr">
        <is>
          <t>Besi</t>
        </is>
      </c>
      <c r="H443" s="3" t="inlineStr">
        <is>
          <t>44 x 50x 50 cm</t>
        </is>
      </c>
      <c r="I443" s="3" t="n"/>
      <c r="J443" s="4" t="n"/>
      <c r="K443" s="3" t="n"/>
      <c r="L443" s="5" t="n"/>
      <c r="M443" s="5" t="n"/>
      <c r="N443" s="3" t="inlineStr">
        <is>
          <t>171-03-03-24</t>
        </is>
      </c>
      <c r="O443" s="3" t="n">
        <v>4</v>
      </c>
      <c r="P443" s="5" t="n"/>
      <c r="Q443" s="5" t="n"/>
      <c r="R443" s="3" t="inlineStr">
        <is>
          <t>Baik</t>
        </is>
      </c>
      <c r="S443" s="3" t="inlineStr">
        <is>
          <t>Aktif</t>
        </is>
      </c>
      <c r="T443" s="3" t="n"/>
      <c r="U443" s="3" t="inlineStr">
        <is>
          <t>ASSET TKIA-24 2025(1).xlsx | ASET TKIA 24</t>
        </is>
      </c>
    </row>
    <row r="444">
      <c r="A444" s="3" t="n">
        <v>441</v>
      </c>
      <c r="B444" s="3" t="inlineStr">
        <is>
          <t>171-03-03-24</t>
        </is>
      </c>
      <c r="C444" s="3" t="inlineStr">
        <is>
          <t>TKIA 24 JATIKRAMAT</t>
        </is>
      </c>
      <c r="D444" s="3" t="inlineStr">
        <is>
          <t>I / 3 / TATA USAHA (TU)</t>
        </is>
      </c>
      <c r="E444" s="3" t="inlineStr">
        <is>
          <t>Lemari File Kaca</t>
        </is>
      </c>
      <c r="F444" s="3" t="inlineStr">
        <is>
          <t>Lemari File Kaca</t>
        </is>
      </c>
      <c r="G444" s="3" t="inlineStr">
        <is>
          <t>Kaca</t>
        </is>
      </c>
      <c r="H444" s="3" t="inlineStr">
        <is>
          <t>263 x 185 cm</t>
        </is>
      </c>
      <c r="I444" s="3" t="n"/>
      <c r="J444" s="4" t="n"/>
      <c r="K444" s="3" t="n"/>
      <c r="L444" s="5" t="n"/>
      <c r="M444" s="5" t="n"/>
      <c r="N444" s="3" t="inlineStr">
        <is>
          <t>171-03-03-24</t>
        </is>
      </c>
      <c r="O444" s="3" t="n">
        <v>4</v>
      </c>
      <c r="P444" s="5" t="n"/>
      <c r="Q444" s="5" t="n"/>
      <c r="R444" s="3" t="inlineStr">
        <is>
          <t>Baik</t>
        </is>
      </c>
      <c r="S444" s="3" t="inlineStr">
        <is>
          <t>Aktif</t>
        </is>
      </c>
      <c r="T444" s="3" t="n"/>
      <c r="U444" s="3" t="inlineStr">
        <is>
          <t>ASSET TKIA-24 2025(1).xlsx | ASET TKIA 24</t>
        </is>
      </c>
    </row>
    <row r="445">
      <c r="A445" s="3" t="n">
        <v>442</v>
      </c>
      <c r="B445" s="3" t="inlineStr">
        <is>
          <t>171-03-03-24</t>
        </is>
      </c>
      <c r="C445" s="3" t="inlineStr">
        <is>
          <t>TKIA 24 JATIKRAMAT</t>
        </is>
      </c>
      <c r="D445" s="3" t="inlineStr">
        <is>
          <t>I / 3 / TATA USAHA (TU)</t>
        </is>
      </c>
      <c r="E445" s="3" t="inlineStr">
        <is>
          <t>Meja TU</t>
        </is>
      </c>
      <c r="F445" s="3" t="inlineStr">
        <is>
          <t>Meja TU</t>
        </is>
      </c>
      <c r="G445" s="3" t="inlineStr">
        <is>
          <t>Kayu</t>
        </is>
      </c>
      <c r="H445" s="3" t="inlineStr">
        <is>
          <t>110 x 80 cm</t>
        </is>
      </c>
      <c r="I445" s="3" t="n"/>
      <c r="J445" s="4" t="n"/>
      <c r="K445" s="3" t="n"/>
      <c r="L445" s="5" t="n"/>
      <c r="M445" s="5" t="n"/>
      <c r="N445" s="3" t="inlineStr">
        <is>
          <t>171-03-03-24</t>
        </is>
      </c>
      <c r="O445" s="3" t="n">
        <v>4</v>
      </c>
      <c r="P445" s="5" t="n"/>
      <c r="Q445" s="5" t="n"/>
      <c r="R445" s="3" t="inlineStr">
        <is>
          <t>Baik</t>
        </is>
      </c>
      <c r="S445" s="3" t="inlineStr">
        <is>
          <t>Aktif</t>
        </is>
      </c>
      <c r="T445" s="3" t="n"/>
      <c r="U445" s="3" t="inlineStr">
        <is>
          <t>ASSET TKIA-24 2025(1).xlsx | ASET TKIA 24</t>
        </is>
      </c>
    </row>
    <row r="446">
      <c r="A446" s="3" t="n">
        <v>443</v>
      </c>
      <c r="B446" s="3" t="inlineStr">
        <is>
          <t>171-03-03-24</t>
        </is>
      </c>
      <c r="C446" s="3" t="inlineStr">
        <is>
          <t>TKIA 24 JATIKRAMAT</t>
        </is>
      </c>
      <c r="D446" s="3" t="inlineStr">
        <is>
          <t>I / 4 / DAPUR</t>
        </is>
      </c>
      <c r="E446" s="3" t="inlineStr">
        <is>
          <t>Kompor Gas</t>
        </is>
      </c>
      <c r="F446" s="3" t="inlineStr">
        <is>
          <t>Kompor Gas</t>
        </is>
      </c>
      <c r="G446" s="3" t="inlineStr">
        <is>
          <t>Besi</t>
        </is>
      </c>
      <c r="H446" s="3" t="inlineStr">
        <is>
          <t>50 x 90 cm</t>
        </is>
      </c>
      <c r="I446" s="3" t="n"/>
      <c r="J446" s="4" t="n"/>
      <c r="K446" s="3" t="n"/>
      <c r="L446" s="5" t="n"/>
      <c r="M446" s="5" t="n"/>
      <c r="N446" s="3" t="inlineStr">
        <is>
          <t>171-03-03-24</t>
        </is>
      </c>
      <c r="O446" s="3" t="n">
        <v>4</v>
      </c>
      <c r="P446" s="5" t="n"/>
      <c r="Q446" s="5" t="n"/>
      <c r="R446" s="3" t="inlineStr">
        <is>
          <t>Baik</t>
        </is>
      </c>
      <c r="S446" s="3" t="inlineStr">
        <is>
          <t>Aktif</t>
        </is>
      </c>
      <c r="T446" s="3" t="n"/>
      <c r="U446" s="3" t="inlineStr">
        <is>
          <t>ASSET TKIA-24 2025(1).xlsx | ASET TKIA 24</t>
        </is>
      </c>
    </row>
    <row r="447">
      <c r="A447" s="3" t="n">
        <v>444</v>
      </c>
      <c r="B447" s="3" t="inlineStr">
        <is>
          <t>171-03-03-24</t>
        </is>
      </c>
      <c r="C447" s="3" t="inlineStr">
        <is>
          <t>TKIA 24 JATIKRAMAT</t>
        </is>
      </c>
      <c r="D447" s="3" t="inlineStr">
        <is>
          <t>I / 4 / DAPUR</t>
        </is>
      </c>
      <c r="E447" s="3" t="inlineStr">
        <is>
          <t>Tabung Gas</t>
        </is>
      </c>
      <c r="F447" s="3" t="inlineStr">
        <is>
          <t>Tabung Gas</t>
        </is>
      </c>
      <c r="G447" s="3" t="inlineStr">
        <is>
          <t>Besi</t>
        </is>
      </c>
      <c r="H447" s="3" t="inlineStr">
        <is>
          <t>12 Kg</t>
        </is>
      </c>
      <c r="I447" s="3" t="n"/>
      <c r="J447" s="4" t="n"/>
      <c r="K447" s="3" t="n"/>
      <c r="L447" s="5" t="n"/>
      <c r="M447" s="5" t="n"/>
      <c r="N447" s="3" t="inlineStr">
        <is>
          <t>171-03-03-24</t>
        </is>
      </c>
      <c r="O447" s="3" t="n">
        <v>4</v>
      </c>
      <c r="P447" s="5" t="n"/>
      <c r="Q447" s="5" t="n"/>
      <c r="R447" s="3" t="inlineStr">
        <is>
          <t>Baik</t>
        </is>
      </c>
      <c r="S447" s="3" t="inlineStr">
        <is>
          <t>Aktif</t>
        </is>
      </c>
      <c r="T447" s="3" t="n"/>
      <c r="U447" s="3" t="inlineStr">
        <is>
          <t>ASSET TKIA-24 2025(1).xlsx | ASET TKIA 24</t>
        </is>
      </c>
    </row>
    <row r="448">
      <c r="A448" s="3" t="n">
        <v>445</v>
      </c>
      <c r="B448" s="3" t="inlineStr">
        <is>
          <t>171-03-03-24</t>
        </is>
      </c>
      <c r="C448" s="3" t="inlineStr">
        <is>
          <t>TKIA 24 JATIKRAMAT</t>
        </is>
      </c>
      <c r="D448" s="3" t="inlineStr">
        <is>
          <t>I / 4 / DAPUR</t>
        </is>
      </c>
      <c r="E448" s="3" t="inlineStr">
        <is>
          <t>Rak Piring</t>
        </is>
      </c>
      <c r="F448" s="3" t="inlineStr">
        <is>
          <t>Rak Piring</t>
        </is>
      </c>
      <c r="G448" s="3" t="inlineStr">
        <is>
          <t>Kawat</t>
        </is>
      </c>
      <c r="H448" s="3" t="inlineStr">
        <is>
          <t>Medium / Meja</t>
        </is>
      </c>
      <c r="I448" s="3" t="n"/>
      <c r="J448" s="4" t="n"/>
      <c r="K448" s="3" t="n"/>
      <c r="L448" s="5" t="n"/>
      <c r="M448" s="5" t="n"/>
      <c r="N448" s="3" t="inlineStr">
        <is>
          <t>171-03-03-24</t>
        </is>
      </c>
      <c r="O448" s="3" t="n">
        <v>4</v>
      </c>
      <c r="P448" s="5" t="n"/>
      <c r="Q448" s="5" t="n"/>
      <c r="R448" s="3" t="inlineStr">
        <is>
          <t>Baik</t>
        </is>
      </c>
      <c r="S448" s="3" t="inlineStr">
        <is>
          <t>Aktif</t>
        </is>
      </c>
      <c r="T448" s="3" t="n"/>
      <c r="U448" s="3" t="inlineStr">
        <is>
          <t>ASSET TKIA-24 2025(1).xlsx | ASET TKIA 24</t>
        </is>
      </c>
    </row>
    <row r="449">
      <c r="A449" s="3" t="n">
        <v>446</v>
      </c>
      <c r="B449" s="3" t="inlineStr">
        <is>
          <t>171-03-03-24</t>
        </is>
      </c>
      <c r="C449" s="3" t="inlineStr">
        <is>
          <t>TKIA 24 JATIKRAMAT</t>
        </is>
      </c>
      <c r="D449" s="3" t="inlineStr">
        <is>
          <t>I / 4 / DAPUR</t>
        </is>
      </c>
      <c r="E449" s="3" t="inlineStr">
        <is>
          <t>Sendok Sayur</t>
        </is>
      </c>
      <c r="F449" s="3" t="inlineStr">
        <is>
          <t>Sendok Sayur</t>
        </is>
      </c>
      <c r="G449" s="3" t="inlineStr">
        <is>
          <t>Besi</t>
        </is>
      </c>
      <c r="H449" s="3" t="n"/>
      <c r="I449" s="3" t="n"/>
      <c r="J449" s="4" t="n"/>
      <c r="K449" s="3" t="n"/>
      <c r="L449" s="5" t="n"/>
      <c r="M449" s="5" t="n"/>
      <c r="N449" s="3" t="inlineStr">
        <is>
          <t>171-03-03-24</t>
        </is>
      </c>
      <c r="O449" s="3" t="n">
        <v>4</v>
      </c>
      <c r="P449" s="5" t="n"/>
      <c r="Q449" s="5" t="n"/>
      <c r="R449" s="3" t="inlineStr">
        <is>
          <t>Baik</t>
        </is>
      </c>
      <c r="S449" s="3" t="inlineStr">
        <is>
          <t>Aktif</t>
        </is>
      </c>
      <c r="T449" s="3" t="n"/>
      <c r="U449" s="3" t="inlineStr">
        <is>
          <t>ASSET TKIA-24 2025(1).xlsx | ASET TKIA 24</t>
        </is>
      </c>
    </row>
    <row r="450">
      <c r="A450" s="3" t="n">
        <v>447</v>
      </c>
      <c r="B450" s="3" t="inlineStr">
        <is>
          <t>171-03-03-24</t>
        </is>
      </c>
      <c r="C450" s="3" t="inlineStr">
        <is>
          <t>TKIA 24 JATIKRAMAT</t>
        </is>
      </c>
      <c r="D450" s="3" t="inlineStr">
        <is>
          <t>I / 4 / DAPUR</t>
        </is>
      </c>
      <c r="E450" s="3" t="inlineStr">
        <is>
          <t>Sendok Makan</t>
        </is>
      </c>
      <c r="F450" s="3" t="inlineStr">
        <is>
          <t>Sendok Makan</t>
        </is>
      </c>
      <c r="G450" s="3" t="inlineStr">
        <is>
          <t>Almunium</t>
        </is>
      </c>
      <c r="H450" s="3" t="n"/>
      <c r="I450" s="3" t="n"/>
      <c r="J450" s="4" t="n"/>
      <c r="K450" s="3" t="n"/>
      <c r="L450" s="5" t="n"/>
      <c r="M450" s="5" t="n"/>
      <c r="N450" s="3" t="inlineStr">
        <is>
          <t>171-03-03-24</t>
        </is>
      </c>
      <c r="O450" s="3" t="n">
        <v>4</v>
      </c>
      <c r="P450" s="5" t="n"/>
      <c r="Q450" s="5" t="n"/>
      <c r="R450" s="3" t="inlineStr">
        <is>
          <t>Baik</t>
        </is>
      </c>
      <c r="S450" s="3" t="inlineStr">
        <is>
          <t>Aktif</t>
        </is>
      </c>
      <c r="T450" s="3" t="n"/>
      <c r="U450" s="3" t="inlineStr">
        <is>
          <t>ASSET TKIA-24 2025(1).xlsx | ASET TKIA 24</t>
        </is>
      </c>
    </row>
    <row r="451">
      <c r="A451" s="3" t="n">
        <v>448</v>
      </c>
      <c r="B451" s="3" t="inlineStr">
        <is>
          <t>171-03-03-24</t>
        </is>
      </c>
      <c r="C451" s="3" t="inlineStr">
        <is>
          <t>TKIA 24 JATIKRAMAT</t>
        </is>
      </c>
      <c r="D451" s="3" t="inlineStr">
        <is>
          <t>I / 4 / DAPUR</t>
        </is>
      </c>
      <c r="E451" s="3" t="inlineStr">
        <is>
          <t>Gelas</t>
        </is>
      </c>
      <c r="F451" s="3" t="inlineStr">
        <is>
          <t>Gelas</t>
        </is>
      </c>
      <c r="G451" s="3" t="n"/>
      <c r="H451" s="3" t="n"/>
      <c r="I451" s="3" t="n"/>
      <c r="J451" s="4" t="n"/>
      <c r="K451" s="3" t="n"/>
      <c r="L451" s="5" t="n"/>
      <c r="M451" s="5" t="n"/>
      <c r="N451" s="3" t="inlineStr">
        <is>
          <t>171-03-03-24</t>
        </is>
      </c>
      <c r="O451" s="3" t="n">
        <v>4</v>
      </c>
      <c r="P451" s="5" t="n"/>
      <c r="Q451" s="5" t="n"/>
      <c r="R451" s="3" t="inlineStr">
        <is>
          <t>Baik</t>
        </is>
      </c>
      <c r="S451" s="3" t="inlineStr">
        <is>
          <t>Aktif</t>
        </is>
      </c>
      <c r="T451" s="3" t="n"/>
      <c r="U451" s="3" t="inlineStr">
        <is>
          <t>ASSET TKIA-24 2025(1).xlsx | ASET TKIA 24</t>
        </is>
      </c>
    </row>
    <row r="452">
      <c r="A452" s="3" t="n">
        <v>449</v>
      </c>
      <c r="B452" s="3" t="inlineStr">
        <is>
          <t>171-03-03-24</t>
        </is>
      </c>
      <c r="C452" s="3" t="inlineStr">
        <is>
          <t>TKIA 24 JATIKRAMAT</t>
        </is>
      </c>
      <c r="D452" s="3" t="inlineStr">
        <is>
          <t>I / 4 / DAPUR</t>
        </is>
      </c>
      <c r="E452" s="3" t="inlineStr">
        <is>
          <t>Piring</t>
        </is>
      </c>
      <c r="F452" s="3" t="inlineStr">
        <is>
          <t>Piring</t>
        </is>
      </c>
      <c r="G452" s="3" t="n"/>
      <c r="H452" s="3" t="n"/>
      <c r="I452" s="3" t="n"/>
      <c r="J452" s="4" t="n"/>
      <c r="K452" s="3" t="n"/>
      <c r="L452" s="5" t="n"/>
      <c r="M452" s="5" t="n"/>
      <c r="N452" s="3" t="inlineStr">
        <is>
          <t>171-03-03-24</t>
        </is>
      </c>
      <c r="O452" s="3" t="n">
        <v>4</v>
      </c>
      <c r="P452" s="5" t="n"/>
      <c r="Q452" s="5" t="n"/>
      <c r="R452" s="3" t="inlineStr">
        <is>
          <t>Baik</t>
        </is>
      </c>
      <c r="S452" s="3" t="inlineStr">
        <is>
          <t>Aktif</t>
        </is>
      </c>
      <c r="T452" s="3" t="n"/>
      <c r="U452" s="3" t="inlineStr">
        <is>
          <t>ASSET TKIA-24 2025(1).xlsx | ASET TKIA 24</t>
        </is>
      </c>
    </row>
    <row r="453">
      <c r="A453" s="3" t="n">
        <v>450</v>
      </c>
      <c r="B453" s="3" t="inlineStr">
        <is>
          <t>171-03-03-24</t>
        </is>
      </c>
      <c r="C453" s="3" t="inlineStr">
        <is>
          <t>TKIA 24 JATIKRAMAT</t>
        </is>
      </c>
      <c r="D453" s="3" t="inlineStr">
        <is>
          <t>I / 4 / DAPUR</t>
        </is>
      </c>
      <c r="E453" s="3" t="inlineStr">
        <is>
          <t>Wajan</t>
        </is>
      </c>
      <c r="F453" s="3" t="inlineStr">
        <is>
          <t>Wajan</t>
        </is>
      </c>
      <c r="G453" s="3" t="inlineStr">
        <is>
          <t>Almunium</t>
        </is>
      </c>
      <c r="H453" s="3" t="n"/>
      <c r="I453" s="3" t="n"/>
      <c r="J453" s="4" t="n"/>
      <c r="K453" s="3" t="n"/>
      <c r="L453" s="5" t="n"/>
      <c r="M453" s="5" t="n"/>
      <c r="N453" s="3" t="inlineStr">
        <is>
          <t>171-03-03-24</t>
        </is>
      </c>
      <c r="O453" s="3" t="n">
        <v>4</v>
      </c>
      <c r="P453" s="5" t="n"/>
      <c r="Q453" s="5" t="n"/>
      <c r="R453" s="3" t="inlineStr">
        <is>
          <t>Baik</t>
        </is>
      </c>
      <c r="S453" s="3" t="inlineStr">
        <is>
          <t>Aktif</t>
        </is>
      </c>
      <c r="T453" s="3" t="n"/>
      <c r="U453" s="3" t="inlineStr">
        <is>
          <t>ASSET TKIA-24 2025(1).xlsx | ASET TKIA 24</t>
        </is>
      </c>
    </row>
    <row r="454">
      <c r="A454" s="3" t="n">
        <v>451</v>
      </c>
      <c r="B454" s="3" t="n"/>
      <c r="C454" s="3" t="inlineStr">
        <is>
          <t>TKIA 24 JATIKRAMAT</t>
        </is>
      </c>
      <c r="D454" s="3" t="inlineStr">
        <is>
          <t>I / 4 / DAPUR</t>
        </is>
      </c>
      <c r="E454" s="3" t="inlineStr">
        <is>
          <t>Rak Bumbu</t>
        </is>
      </c>
      <c r="F454" s="3" t="inlineStr">
        <is>
          <t>Rak Bumbu</t>
        </is>
      </c>
      <c r="G454" s="3" t="inlineStr">
        <is>
          <t>Kayu</t>
        </is>
      </c>
      <c r="H454" s="3" t="inlineStr">
        <is>
          <t>Medium</t>
        </is>
      </c>
      <c r="I454" s="3" t="n"/>
      <c r="J454" s="4" t="n"/>
      <c r="K454" s="3" t="n"/>
      <c r="L454" s="5" t="n"/>
      <c r="M454" s="5" t="n"/>
      <c r="N454" s="3" t="n"/>
      <c r="O454" s="3" t="n">
        <v>4</v>
      </c>
      <c r="P454" s="5" t="n"/>
      <c r="Q454" s="5" t="n"/>
      <c r="R454" s="3" t="inlineStr">
        <is>
          <t>Baik</t>
        </is>
      </c>
      <c r="S454" s="3" t="inlineStr">
        <is>
          <t>Aktif</t>
        </is>
      </c>
      <c r="T454" s="3" t="n"/>
      <c r="U454" s="3" t="inlineStr">
        <is>
          <t>ASSET TKIA-24 2025(1).xlsx | ASET TKIA 24</t>
        </is>
      </c>
    </row>
    <row r="455">
      <c r="A455" s="3" t="n">
        <v>452</v>
      </c>
      <c r="B455" s="3" t="inlineStr">
        <is>
          <t>171-03-03-24</t>
        </is>
      </c>
      <c r="C455" s="3" t="inlineStr">
        <is>
          <t>TKIA 24 JATIKRAMAT</t>
        </is>
      </c>
      <c r="D455" s="3" t="inlineStr">
        <is>
          <t>I / 5 / PSB</t>
        </is>
      </c>
      <c r="E455" s="3" t="inlineStr">
        <is>
          <t>Lemari 4 Pintu</t>
        </is>
      </c>
      <c r="F455" s="3" t="inlineStr">
        <is>
          <t>Lemari 4 Pintu</t>
        </is>
      </c>
      <c r="G455" s="3" t="inlineStr">
        <is>
          <t>Kayu</t>
        </is>
      </c>
      <c r="H455" s="3" t="inlineStr">
        <is>
          <t>200 x 100 cm</t>
        </is>
      </c>
      <c r="I455" s="3" t="n"/>
      <c r="J455" s="4" t="n"/>
      <c r="K455" s="3" t="n"/>
      <c r="L455" s="5" t="n"/>
      <c r="M455" s="5" t="n"/>
      <c r="N455" s="3" t="inlineStr">
        <is>
          <t>171-03-03-24</t>
        </is>
      </c>
      <c r="O455" s="3" t="n">
        <v>4</v>
      </c>
      <c r="P455" s="5" t="n"/>
      <c r="Q455" s="5" t="n"/>
      <c r="R455" s="3" t="inlineStr">
        <is>
          <t>Baik</t>
        </is>
      </c>
      <c r="S455" s="3" t="inlineStr">
        <is>
          <t>Aktif</t>
        </is>
      </c>
      <c r="T455" s="3" t="n"/>
      <c r="U455" s="3" t="inlineStr">
        <is>
          <t>ASSET TKIA-24 2025(1).xlsx | ASET TKIA 24</t>
        </is>
      </c>
    </row>
    <row r="456">
      <c r="A456" s="3" t="n">
        <v>453</v>
      </c>
      <c r="B456" s="3" t="inlineStr">
        <is>
          <t>171-03-03-24</t>
        </is>
      </c>
      <c r="C456" s="3" t="inlineStr">
        <is>
          <t>TKIA 24 JATIKRAMAT</t>
        </is>
      </c>
      <c r="D456" s="3" t="inlineStr">
        <is>
          <t>I / 5 / PSB</t>
        </is>
      </c>
      <c r="E456" s="3" t="inlineStr">
        <is>
          <t>Rak Buku 6 Tingkat</t>
        </is>
      </c>
      <c r="F456" s="3" t="inlineStr">
        <is>
          <t>Rak Buku 6 Tingkat</t>
        </is>
      </c>
      <c r="G456" s="3" t="inlineStr">
        <is>
          <t>kaca</t>
        </is>
      </c>
      <c r="H456" s="3" t="inlineStr">
        <is>
          <t>100 x 200 cm</t>
        </is>
      </c>
      <c r="I456" s="3" t="n"/>
      <c r="J456" s="4" t="n"/>
      <c r="K456" s="3" t="n"/>
      <c r="L456" s="5" t="n"/>
      <c r="M456" s="5" t="n"/>
      <c r="N456" s="3" t="inlineStr">
        <is>
          <t>171-03-03-24</t>
        </is>
      </c>
      <c r="O456" s="3" t="n">
        <v>4</v>
      </c>
      <c r="P456" s="5" t="n"/>
      <c r="Q456" s="5" t="n"/>
      <c r="R456" s="3" t="inlineStr">
        <is>
          <t>Baik</t>
        </is>
      </c>
      <c r="S456" s="3" t="inlineStr">
        <is>
          <t>Aktif</t>
        </is>
      </c>
      <c r="T456" s="3" t="n"/>
      <c r="U456" s="3" t="inlineStr">
        <is>
          <t>ASSET TKIA-24 2025(1).xlsx | ASET TKIA 24</t>
        </is>
      </c>
    </row>
    <row r="457">
      <c r="A457" s="3" t="n">
        <v>454</v>
      </c>
      <c r="B457" s="3" t="inlineStr">
        <is>
          <t>171-03-03-24</t>
        </is>
      </c>
      <c r="C457" s="3" t="inlineStr">
        <is>
          <t>TKIA 24 JATIKRAMAT</t>
        </is>
      </c>
      <c r="D457" s="3" t="inlineStr">
        <is>
          <t>I / 5 / PSB</t>
        </is>
      </c>
      <c r="E457" s="3" t="inlineStr">
        <is>
          <t>Rak Buku 3 Tingkat</t>
        </is>
      </c>
      <c r="F457" s="3" t="inlineStr">
        <is>
          <t>Rak Buku 3 Tingkat</t>
        </is>
      </c>
      <c r="G457" s="3" t="inlineStr">
        <is>
          <t>Kayu</t>
        </is>
      </c>
      <c r="H457" s="3" t="inlineStr">
        <is>
          <t>120 x 120 cm</t>
        </is>
      </c>
      <c r="I457" s="3" t="n"/>
      <c r="J457" s="4" t="n"/>
      <c r="K457" s="3" t="n"/>
      <c r="L457" s="5" t="n"/>
      <c r="M457" s="5" t="n"/>
      <c r="N457" s="3" t="inlineStr">
        <is>
          <t>171-03-03-24</t>
        </is>
      </c>
      <c r="O457" s="3" t="n">
        <v>4</v>
      </c>
      <c r="P457" s="5" t="n"/>
      <c r="Q457" s="5" t="n"/>
      <c r="R457" s="3" t="inlineStr">
        <is>
          <t>Baik</t>
        </is>
      </c>
      <c r="S457" s="3" t="inlineStr">
        <is>
          <t>Aktif</t>
        </is>
      </c>
      <c r="T457" s="3" t="n"/>
      <c r="U457" s="3" t="inlineStr">
        <is>
          <t>ASSET TKIA-24 2025(1).xlsx | ASET TKIA 24</t>
        </is>
      </c>
    </row>
    <row r="458">
      <c r="A458" s="3" t="n">
        <v>455</v>
      </c>
      <c r="B458" s="3" t="inlineStr">
        <is>
          <t>171-03-03-24</t>
        </is>
      </c>
      <c r="C458" s="3" t="inlineStr">
        <is>
          <t>TKIA 24 JATIKRAMAT</t>
        </is>
      </c>
      <c r="D458" s="3" t="inlineStr">
        <is>
          <t>I / 5 / PSB</t>
        </is>
      </c>
      <c r="E458" s="3" t="inlineStr">
        <is>
          <t>Lemari Besi</t>
        </is>
      </c>
      <c r="F458" s="3" t="inlineStr">
        <is>
          <t>Lemari Besi</t>
        </is>
      </c>
      <c r="G458" s="3" t="inlineStr">
        <is>
          <t>Besi</t>
        </is>
      </c>
      <c r="H458" s="3" t="inlineStr">
        <is>
          <t>50 x 200 cm</t>
        </is>
      </c>
      <c r="I458" s="3" t="n"/>
      <c r="J458" s="4" t="n"/>
      <c r="K458" s="3" t="n"/>
      <c r="L458" s="5" t="n"/>
      <c r="M458" s="5" t="n"/>
      <c r="N458" s="3" t="inlineStr">
        <is>
          <t>171-03-03-24</t>
        </is>
      </c>
      <c r="O458" s="3" t="n">
        <v>4</v>
      </c>
      <c r="P458" s="5" t="n"/>
      <c r="Q458" s="5" t="n"/>
      <c r="R458" s="3" t="inlineStr">
        <is>
          <t>Baik</t>
        </is>
      </c>
      <c r="S458" s="3" t="inlineStr">
        <is>
          <t>Aktif</t>
        </is>
      </c>
      <c r="T458" s="3" t="n"/>
      <c r="U458" s="3" t="inlineStr">
        <is>
          <t>ASSET TKIA-24 2025(1).xlsx | ASET TKIA 24</t>
        </is>
      </c>
    </row>
    <row r="459">
      <c r="A459" s="3" t="n">
        <v>456</v>
      </c>
      <c r="B459" s="3" t="inlineStr">
        <is>
          <t>171-03-03-24</t>
        </is>
      </c>
      <c r="C459" s="3" t="inlineStr">
        <is>
          <t>TKIA 24 JATIKRAMAT</t>
        </is>
      </c>
      <c r="D459" s="3" t="inlineStr">
        <is>
          <t>I / 5 / PSB</t>
        </is>
      </c>
      <c r="E459" s="3" t="inlineStr">
        <is>
          <t>Kabinet</t>
        </is>
      </c>
      <c r="F459" s="3" t="inlineStr">
        <is>
          <t>Kabinet</t>
        </is>
      </c>
      <c r="G459" s="3" t="inlineStr">
        <is>
          <t>Besi</t>
        </is>
      </c>
      <c r="H459" s="3" t="inlineStr">
        <is>
          <t>80 x 50 cm</t>
        </is>
      </c>
      <c r="I459" s="3" t="n"/>
      <c r="J459" s="4" t="n"/>
      <c r="K459" s="3" t="n"/>
      <c r="L459" s="5" t="n"/>
      <c r="M459" s="5" t="n"/>
      <c r="N459" s="3" t="inlineStr">
        <is>
          <t>171-03-03-24</t>
        </is>
      </c>
      <c r="O459" s="3" t="n">
        <v>4</v>
      </c>
      <c r="P459" s="5" t="n"/>
      <c r="Q459" s="5" t="n"/>
      <c r="R459" s="3" t="inlineStr">
        <is>
          <t>Baik</t>
        </is>
      </c>
      <c r="S459" s="3" t="inlineStr">
        <is>
          <t>Aktif</t>
        </is>
      </c>
      <c r="T459" s="3" t="n"/>
      <c r="U459" s="3" t="inlineStr">
        <is>
          <t>ASSET TKIA-24 2025(1).xlsx | ASET TKIA 24</t>
        </is>
      </c>
    </row>
    <row r="460">
      <c r="A460" s="3" t="n">
        <v>457</v>
      </c>
      <c r="B460" s="3" t="inlineStr">
        <is>
          <t>171-03-03-24</t>
        </is>
      </c>
      <c r="C460" s="3" t="inlineStr">
        <is>
          <t>TKIA 24 JATIKRAMAT</t>
        </is>
      </c>
      <c r="D460" s="3" t="inlineStr">
        <is>
          <t>I / 5 / PSB</t>
        </is>
      </c>
      <c r="E460" s="3" t="inlineStr">
        <is>
          <t>Meja Guru</t>
        </is>
      </c>
      <c r="F460" s="3" t="inlineStr">
        <is>
          <t>Meja Guru</t>
        </is>
      </c>
      <c r="G460" s="3" t="inlineStr">
        <is>
          <t>Kayu</t>
        </is>
      </c>
      <c r="H460" s="3" t="inlineStr">
        <is>
          <t>100 x 80 cm</t>
        </is>
      </c>
      <c r="I460" s="3" t="n"/>
      <c r="J460" s="4" t="n"/>
      <c r="K460" s="3" t="n"/>
      <c r="L460" s="5" t="n"/>
      <c r="M460" s="5" t="n"/>
      <c r="N460" s="3" t="inlineStr">
        <is>
          <t>171-03-03-24</t>
        </is>
      </c>
      <c r="O460" s="3" t="n">
        <v>4</v>
      </c>
      <c r="P460" s="5" t="n"/>
      <c r="Q460" s="5" t="n"/>
      <c r="R460" s="3" t="inlineStr">
        <is>
          <t>Baik</t>
        </is>
      </c>
      <c r="S460" s="3" t="inlineStr">
        <is>
          <t>Aktif</t>
        </is>
      </c>
      <c r="T460" s="3" t="n"/>
      <c r="U460" s="3" t="inlineStr">
        <is>
          <t>ASSET TKIA-24 2025(1).xlsx | ASET TKIA 24</t>
        </is>
      </c>
    </row>
    <row r="461">
      <c r="A461" s="3" t="n">
        <v>458</v>
      </c>
      <c r="B461" s="3" t="inlineStr">
        <is>
          <t>171-03-03-24</t>
        </is>
      </c>
      <c r="C461" s="3" t="inlineStr">
        <is>
          <t>TKIA 24 JATIKRAMAT</t>
        </is>
      </c>
      <c r="D461" s="3" t="inlineStr">
        <is>
          <t>I / 5 / PSB</t>
        </is>
      </c>
      <c r="E461" s="3" t="inlineStr">
        <is>
          <t>Rak Dinding</t>
        </is>
      </c>
      <c r="F461" s="3" t="inlineStr">
        <is>
          <t>Rak Dinding</t>
        </is>
      </c>
      <c r="G461" s="3" t="inlineStr">
        <is>
          <t>Kayu</t>
        </is>
      </c>
      <c r="H461" s="3" t="n"/>
      <c r="I461" s="3" t="n"/>
      <c r="J461" s="4" t="n"/>
      <c r="K461" s="3" t="n"/>
      <c r="L461" s="5" t="n"/>
      <c r="M461" s="5" t="n"/>
      <c r="N461" s="3" t="inlineStr">
        <is>
          <t>171-03-03-24</t>
        </is>
      </c>
      <c r="O461" s="3" t="n">
        <v>4</v>
      </c>
      <c r="P461" s="5" t="n"/>
      <c r="Q461" s="5" t="n"/>
      <c r="R461" s="3" t="inlineStr">
        <is>
          <t>Baik</t>
        </is>
      </c>
      <c r="S461" s="3" t="inlineStr">
        <is>
          <t>Aktif</t>
        </is>
      </c>
      <c r="T461" s="3" t="n"/>
      <c r="U461" s="3" t="inlineStr">
        <is>
          <t>ASSET TKIA-24 2025(1).xlsx | ASET TKIA 24</t>
        </is>
      </c>
    </row>
    <row r="462">
      <c r="A462" s="3" t="n">
        <v>459</v>
      </c>
      <c r="B462" s="3" t="inlineStr">
        <is>
          <t>171-03-03-24</t>
        </is>
      </c>
      <c r="C462" s="3" t="inlineStr">
        <is>
          <t>TKIA 24 JATIKRAMAT</t>
        </is>
      </c>
      <c r="D462" s="3" t="inlineStr">
        <is>
          <t>I / 5 / PSB</t>
        </is>
      </c>
      <c r="E462" s="3" t="inlineStr">
        <is>
          <t>Meja Bulat</t>
        </is>
      </c>
      <c r="F462" s="3" t="inlineStr">
        <is>
          <t>Meja Bulat</t>
        </is>
      </c>
      <c r="G462" s="3" t="inlineStr">
        <is>
          <t>Kayu</t>
        </is>
      </c>
      <c r="H462" s="3" t="inlineStr">
        <is>
          <t>150 cm</t>
        </is>
      </c>
      <c r="I462" s="3" t="n"/>
      <c r="J462" s="4" t="n"/>
      <c r="K462" s="3" t="n"/>
      <c r="L462" s="5" t="n"/>
      <c r="M462" s="5" t="n"/>
      <c r="N462" s="3" t="inlineStr">
        <is>
          <t>171-03-03-24</t>
        </is>
      </c>
      <c r="O462" s="3" t="n">
        <v>4</v>
      </c>
      <c r="P462" s="5" t="n"/>
      <c r="Q462" s="5" t="n"/>
      <c r="R462" s="3" t="inlineStr">
        <is>
          <t>Baik</t>
        </is>
      </c>
      <c r="S462" s="3" t="inlineStr">
        <is>
          <t>Aktif</t>
        </is>
      </c>
      <c r="T462" s="3" t="n"/>
      <c r="U462" s="3" t="inlineStr">
        <is>
          <t>ASSET TKIA-24 2025(1).xlsx | ASET TKIA 24</t>
        </is>
      </c>
    </row>
    <row r="463">
      <c r="A463" s="3" t="n">
        <v>460</v>
      </c>
      <c r="B463" s="3" t="inlineStr">
        <is>
          <t>171-03-03-24</t>
        </is>
      </c>
      <c r="C463" s="3" t="inlineStr">
        <is>
          <t>TKIA 24 JATIKRAMAT</t>
        </is>
      </c>
      <c r="D463" s="3" t="inlineStr">
        <is>
          <t>I / 5 / PSB</t>
        </is>
      </c>
      <c r="E463" s="3" t="inlineStr">
        <is>
          <t>Sofa Buah</t>
        </is>
      </c>
      <c r="F463" s="3" t="inlineStr">
        <is>
          <t>Sofa Buah</t>
        </is>
      </c>
      <c r="G463" s="3" t="inlineStr">
        <is>
          <t>Busa</t>
        </is>
      </c>
      <c r="H463" s="3" t="n"/>
      <c r="I463" s="3" t="n"/>
      <c r="J463" s="4" t="n"/>
      <c r="K463" s="3" t="n"/>
      <c r="L463" s="5" t="n"/>
      <c r="M463" s="5" t="n"/>
      <c r="N463" s="3" t="inlineStr">
        <is>
          <t>171-03-03-24</t>
        </is>
      </c>
      <c r="O463" s="3" t="n">
        <v>4</v>
      </c>
      <c r="P463" s="5" t="n"/>
      <c r="Q463" s="5" t="n"/>
      <c r="R463" s="3" t="inlineStr">
        <is>
          <t>Baik</t>
        </is>
      </c>
      <c r="S463" s="3" t="inlineStr">
        <is>
          <t>Aktif</t>
        </is>
      </c>
      <c r="T463" s="3" t="n"/>
      <c r="U463" s="3" t="inlineStr">
        <is>
          <t>ASSET TKIA-24 2025(1).xlsx | ASET TKIA 24</t>
        </is>
      </c>
    </row>
    <row r="464">
      <c r="A464" s="3" t="n">
        <v>461</v>
      </c>
      <c r="B464" s="3" t="inlineStr">
        <is>
          <t>171-03-03-24</t>
        </is>
      </c>
      <c r="C464" s="3" t="inlineStr">
        <is>
          <t>TKIA 24 JATIKRAMAT</t>
        </is>
      </c>
      <c r="D464" s="3" t="inlineStr">
        <is>
          <t>I / 5 / PSB</t>
        </is>
      </c>
      <c r="E464" s="3" t="inlineStr">
        <is>
          <t>Kursi Lipat</t>
        </is>
      </c>
      <c r="F464" s="3" t="inlineStr">
        <is>
          <t>Kursi Lipat</t>
        </is>
      </c>
      <c r="G464" s="3" t="inlineStr">
        <is>
          <t>Besi</t>
        </is>
      </c>
      <c r="H464" s="3" t="inlineStr">
        <is>
          <t>31 x 26 x 26 cm</t>
        </is>
      </c>
      <c r="I464" s="3" t="n"/>
      <c r="J464" s="4" t="n"/>
      <c r="K464" s="3" t="n"/>
      <c r="L464" s="5" t="n"/>
      <c r="M464" s="5" t="n"/>
      <c r="N464" s="3" t="inlineStr">
        <is>
          <t>171-03-03-24</t>
        </is>
      </c>
      <c r="O464" s="3" t="n">
        <v>4</v>
      </c>
      <c r="P464" s="5" t="n"/>
      <c r="Q464" s="5" t="n"/>
      <c r="R464" s="3" t="inlineStr">
        <is>
          <t>Baik</t>
        </is>
      </c>
      <c r="S464" s="3" t="inlineStr">
        <is>
          <t>Aktif</t>
        </is>
      </c>
      <c r="T464" s="3" t="n"/>
      <c r="U464" s="3" t="inlineStr">
        <is>
          <t>ASSET TKIA-24 2025(1).xlsx | ASET TKIA 24</t>
        </is>
      </c>
    </row>
    <row r="465">
      <c r="A465" s="3" t="n">
        <v>462</v>
      </c>
      <c r="B465" s="3" t="inlineStr">
        <is>
          <t>171-03-03-24</t>
        </is>
      </c>
      <c r="C465" s="3" t="inlineStr">
        <is>
          <t>TKIA 24 JATIKRAMAT</t>
        </is>
      </c>
      <c r="D465" s="3" t="inlineStr">
        <is>
          <t>I / 6 / KB</t>
        </is>
      </c>
      <c r="E465" s="3" t="inlineStr">
        <is>
          <t>Box SHELF</t>
        </is>
      </c>
      <c r="F465" s="3" t="inlineStr">
        <is>
          <t>Box SHELF</t>
        </is>
      </c>
      <c r="G465" s="3" t="inlineStr">
        <is>
          <t>Plastik</t>
        </is>
      </c>
      <c r="H465" s="3" t="inlineStr">
        <is>
          <t>75 x 114 cm</t>
        </is>
      </c>
      <c r="I465" s="3" t="n"/>
      <c r="J465" s="4" t="n"/>
      <c r="K465" s="3" t="n"/>
      <c r="L465" s="5" t="n"/>
      <c r="M465" s="5" t="n"/>
      <c r="N465" s="3" t="inlineStr">
        <is>
          <t>171-03-03-24</t>
        </is>
      </c>
      <c r="O465" s="3" t="n">
        <v>4</v>
      </c>
      <c r="P465" s="5" t="n"/>
      <c r="Q465" s="5" t="n"/>
      <c r="R465" s="3" t="inlineStr">
        <is>
          <t>Baik</t>
        </is>
      </c>
      <c r="S465" s="3" t="inlineStr">
        <is>
          <t>Aktif</t>
        </is>
      </c>
      <c r="T465" s="3" t="n"/>
      <c r="U465" s="3" t="inlineStr">
        <is>
          <t>ASSET TKIA-24 2025(1).xlsx | ASET TKIA 24</t>
        </is>
      </c>
    </row>
    <row r="466">
      <c r="A466" s="3" t="n">
        <v>463</v>
      </c>
      <c r="B466" s="3" t="inlineStr">
        <is>
          <t>171-03-03-24</t>
        </is>
      </c>
      <c r="C466" s="3" t="inlineStr">
        <is>
          <t>TKIA 24 JATIKRAMAT</t>
        </is>
      </c>
      <c r="D466" s="3" t="inlineStr">
        <is>
          <t>I / 6 / KB</t>
        </is>
      </c>
      <c r="E466" s="3" t="inlineStr">
        <is>
          <t>Rak Loker</t>
        </is>
      </c>
      <c r="F466" s="3" t="inlineStr">
        <is>
          <t>Rak Loker</t>
        </is>
      </c>
      <c r="G466" s="3" t="inlineStr">
        <is>
          <t>kayu</t>
        </is>
      </c>
      <c r="H466" s="3" t="inlineStr">
        <is>
          <t>120 x 40 cm</t>
        </is>
      </c>
      <c r="I466" s="3" t="n"/>
      <c r="J466" s="4" t="n"/>
      <c r="K466" s="3" t="n"/>
      <c r="L466" s="5" t="n"/>
      <c r="M466" s="5" t="n"/>
      <c r="N466" s="3" t="inlineStr">
        <is>
          <t>171-03-03-24</t>
        </is>
      </c>
      <c r="O466" s="3" t="n">
        <v>4</v>
      </c>
      <c r="P466" s="5" t="n"/>
      <c r="Q466" s="5" t="n"/>
      <c r="R466" s="3" t="inlineStr">
        <is>
          <t>Baik</t>
        </is>
      </c>
      <c r="S466" s="3" t="inlineStr">
        <is>
          <t>Aktif</t>
        </is>
      </c>
      <c r="T466" s="3" t="n"/>
      <c r="U466" s="3" t="inlineStr">
        <is>
          <t>ASSET TKIA-24 2025(1).xlsx | ASET TKIA 24</t>
        </is>
      </c>
    </row>
    <row r="467">
      <c r="A467" s="3" t="n">
        <v>464</v>
      </c>
      <c r="B467" s="3" t="inlineStr">
        <is>
          <t>171-03-03-24</t>
        </is>
      </c>
      <c r="C467" s="3" t="inlineStr">
        <is>
          <t>TKIA 24 JATIKRAMAT</t>
        </is>
      </c>
      <c r="D467" s="3" t="inlineStr">
        <is>
          <t>I / 6 / KB</t>
        </is>
      </c>
      <c r="E467" s="3" t="inlineStr">
        <is>
          <t>Loker</t>
        </is>
      </c>
      <c r="F467" s="3" t="inlineStr">
        <is>
          <t>Loker</t>
        </is>
      </c>
      <c r="G467" s="3" t="inlineStr">
        <is>
          <t>kayu</t>
        </is>
      </c>
      <c r="H467" s="3" t="inlineStr">
        <is>
          <t>120 x 40 cm</t>
        </is>
      </c>
      <c r="I467" s="3" t="n"/>
      <c r="J467" s="4" t="n"/>
      <c r="K467" s="3" t="n"/>
      <c r="L467" s="5" t="n"/>
      <c r="M467" s="5" t="n"/>
      <c r="N467" s="3" t="inlineStr">
        <is>
          <t>171-03-03-24</t>
        </is>
      </c>
      <c r="O467" s="3" t="n">
        <v>4</v>
      </c>
      <c r="P467" s="5" t="n"/>
      <c r="Q467" s="5" t="n"/>
      <c r="R467" s="3" t="inlineStr">
        <is>
          <t>Baik</t>
        </is>
      </c>
      <c r="S467" s="3" t="inlineStr">
        <is>
          <t>Aktif</t>
        </is>
      </c>
      <c r="T467" s="3" t="n"/>
      <c r="U467" s="3" t="inlineStr">
        <is>
          <t>ASSET TKIA-24 2025(1).xlsx | ASET TKIA 24</t>
        </is>
      </c>
    </row>
    <row r="468">
      <c r="A468" s="3" t="n">
        <v>465</v>
      </c>
      <c r="B468" s="3" t="inlineStr">
        <is>
          <t>171-03-03-24</t>
        </is>
      </c>
      <c r="C468" s="3" t="inlineStr">
        <is>
          <t>TKIA 24 JATIKRAMAT</t>
        </is>
      </c>
      <c r="D468" s="3" t="inlineStr">
        <is>
          <t>I / 6 / KB</t>
        </is>
      </c>
      <c r="E468" s="3" t="inlineStr">
        <is>
          <t>Meja Bunder</t>
        </is>
      </c>
      <c r="F468" s="3" t="inlineStr">
        <is>
          <t>Meja Bunder</t>
        </is>
      </c>
      <c r="G468" s="3" t="inlineStr">
        <is>
          <t>Plastik</t>
        </is>
      </c>
      <c r="H468" s="3" t="inlineStr">
        <is>
          <t>121 cm</t>
        </is>
      </c>
      <c r="I468" s="3" t="n"/>
      <c r="J468" s="4" t="n"/>
      <c r="K468" s="3" t="n"/>
      <c r="L468" s="5" t="n"/>
      <c r="M468" s="5" t="n"/>
      <c r="N468" s="3" t="inlineStr">
        <is>
          <t>171-03-03-24</t>
        </is>
      </c>
      <c r="O468" s="3" t="n">
        <v>4</v>
      </c>
      <c r="P468" s="5" t="n"/>
      <c r="Q468" s="5" t="n"/>
      <c r="R468" s="3" t="inlineStr">
        <is>
          <t>Baik</t>
        </is>
      </c>
      <c r="S468" s="3" t="inlineStr">
        <is>
          <t>Aktif</t>
        </is>
      </c>
      <c r="T468" s="3" t="n"/>
      <c r="U468" s="3" t="inlineStr">
        <is>
          <t>ASSET TKIA-24 2025(1).xlsx | ASET TKIA 24</t>
        </is>
      </c>
    </row>
    <row r="469">
      <c r="A469" s="3" t="n">
        <v>466</v>
      </c>
      <c r="B469" s="3" t="inlineStr">
        <is>
          <t>171-03-03-24</t>
        </is>
      </c>
      <c r="C469" s="3" t="inlineStr">
        <is>
          <t>TKIA 24 JATIKRAMAT</t>
        </is>
      </c>
      <c r="D469" s="3" t="inlineStr">
        <is>
          <t>I / 6 / KB</t>
        </is>
      </c>
      <c r="E469" s="3" t="inlineStr">
        <is>
          <t>Kolam Mandi</t>
        </is>
      </c>
      <c r="F469" s="3" t="inlineStr">
        <is>
          <t>Kolam Mandi</t>
        </is>
      </c>
      <c r="G469" s="3" t="inlineStr">
        <is>
          <t>Plastik</t>
        </is>
      </c>
      <c r="H469" s="3" t="n"/>
      <c r="I469" s="3" t="n"/>
      <c r="J469" s="4" t="n"/>
      <c r="K469" s="3" t="n"/>
      <c r="L469" s="5" t="n"/>
      <c r="M469" s="5" t="n"/>
      <c r="N469" s="3" t="inlineStr">
        <is>
          <t>171-03-03-24</t>
        </is>
      </c>
      <c r="O469" s="3" t="n">
        <v>4</v>
      </c>
      <c r="P469" s="5" t="n"/>
      <c r="Q469" s="5" t="n"/>
      <c r="R469" s="3" t="inlineStr">
        <is>
          <t>Baik</t>
        </is>
      </c>
      <c r="S469" s="3" t="inlineStr">
        <is>
          <t>Aktif</t>
        </is>
      </c>
      <c r="T469" s="3" t="n"/>
      <c r="U469" s="3" t="inlineStr">
        <is>
          <t>ASSET TKIA-24 2025(1).xlsx | ASET TKIA 24</t>
        </is>
      </c>
    </row>
    <row r="470">
      <c r="A470" s="3" t="n">
        <v>467</v>
      </c>
      <c r="B470" s="3" t="inlineStr">
        <is>
          <t>171-03-03-24</t>
        </is>
      </c>
      <c r="C470" s="3" t="inlineStr">
        <is>
          <t>TKIA 24 JATIKRAMAT</t>
        </is>
      </c>
      <c r="D470" s="3" t="inlineStr">
        <is>
          <t>I / 6 / KB</t>
        </is>
      </c>
      <c r="E470" s="3" t="inlineStr">
        <is>
          <t>Loker tas anak</t>
        </is>
      </c>
      <c r="F470" s="3" t="inlineStr">
        <is>
          <t>Loker tas anak</t>
        </is>
      </c>
      <c r="G470" s="3" t="inlineStr">
        <is>
          <t>Plastik</t>
        </is>
      </c>
      <c r="H470" s="3" t="inlineStr">
        <is>
          <t>50 x 200 cm</t>
        </is>
      </c>
      <c r="I470" s="3" t="n"/>
      <c r="J470" s="4" t="n"/>
      <c r="K470" s="3" t="n"/>
      <c r="L470" s="5" t="n"/>
      <c r="M470" s="5" t="n"/>
      <c r="N470" s="3" t="inlineStr">
        <is>
          <t>171-03-03-24</t>
        </is>
      </c>
      <c r="O470" s="3" t="n">
        <v>4</v>
      </c>
      <c r="P470" s="5" t="n"/>
      <c r="Q470" s="5" t="n"/>
      <c r="R470" s="3" t="inlineStr">
        <is>
          <t>Baik</t>
        </is>
      </c>
      <c r="S470" s="3" t="inlineStr">
        <is>
          <t>Aktif</t>
        </is>
      </c>
      <c r="T470" s="3" t="n"/>
      <c r="U470" s="3" t="inlineStr">
        <is>
          <t>ASSET TKIA-24 2025(1).xlsx | ASET TKIA 24</t>
        </is>
      </c>
    </row>
    <row r="471">
      <c r="A471" s="3" t="n">
        <v>468</v>
      </c>
      <c r="B471" s="3" t="inlineStr">
        <is>
          <t>171-03-03-24</t>
        </is>
      </c>
      <c r="C471" s="3" t="inlineStr">
        <is>
          <t>TKIA 24 JATIKRAMAT</t>
        </is>
      </c>
      <c r="D471" s="3" t="inlineStr">
        <is>
          <t>I / 6 / KB</t>
        </is>
      </c>
      <c r="E471" s="3" t="inlineStr">
        <is>
          <t>Kursi</t>
        </is>
      </c>
      <c r="F471" s="3" t="inlineStr">
        <is>
          <t>Kursi</t>
        </is>
      </c>
      <c r="G471" s="3" t="inlineStr">
        <is>
          <t>Plastik</t>
        </is>
      </c>
      <c r="H471" s="3" t="inlineStr">
        <is>
          <t>31 x 26 x 26 cm</t>
        </is>
      </c>
      <c r="I471" s="3" t="n"/>
      <c r="J471" s="4" t="n"/>
      <c r="K471" s="3" t="n"/>
      <c r="L471" s="5" t="n"/>
      <c r="M471" s="5" t="n"/>
      <c r="N471" s="3" t="inlineStr">
        <is>
          <t>171-03-03-24</t>
        </is>
      </c>
      <c r="O471" s="3" t="n">
        <v>4</v>
      </c>
      <c r="P471" s="5" t="n"/>
      <c r="Q471" s="5" t="n"/>
      <c r="R471" s="3" t="inlineStr">
        <is>
          <t>Baik</t>
        </is>
      </c>
      <c r="S471" s="3" t="inlineStr">
        <is>
          <t>Aktif</t>
        </is>
      </c>
      <c r="T471" s="3" t="n"/>
      <c r="U471" s="3" t="inlineStr">
        <is>
          <t>ASSET TKIA-24 2025(1).xlsx | ASET TKIA 24</t>
        </is>
      </c>
    </row>
    <row r="472">
      <c r="A472" s="3" t="n">
        <v>469</v>
      </c>
      <c r="B472" s="3" t="inlineStr">
        <is>
          <t>171 - 03 - 03 - 24</t>
        </is>
      </c>
      <c r="C472" s="3" t="inlineStr">
        <is>
          <t>TKIA 24 JATIKRAMAT</t>
        </is>
      </c>
      <c r="D472" s="3" t="inlineStr">
        <is>
          <t>I / 7 / TOILET</t>
        </is>
      </c>
      <c r="E472" s="3" t="inlineStr">
        <is>
          <t>Cermin</t>
        </is>
      </c>
      <c r="F472" s="3" t="inlineStr">
        <is>
          <t>Cermin</t>
        </is>
      </c>
      <c r="G472" s="3" t="inlineStr">
        <is>
          <t>Kaca/Kayu</t>
        </is>
      </c>
      <c r="H472" s="3" t="inlineStr">
        <is>
          <t>45 cm x 60 cm</t>
        </is>
      </c>
      <c r="I472" s="3" t="inlineStr">
        <is>
          <t>1 Unit</t>
        </is>
      </c>
      <c r="J472" s="4" t="n"/>
      <c r="K472" s="3" t="n">
        <v>2018</v>
      </c>
      <c r="L472" s="5" t="n"/>
      <c r="M472" s="5" t="n"/>
      <c r="N472" s="3" t="inlineStr">
        <is>
          <t>171 - 03 - 03 - 24</t>
        </is>
      </c>
      <c r="O472" s="3" t="n">
        <v>4</v>
      </c>
      <c r="P472" s="5" t="n"/>
      <c r="Q472" s="5" t="n"/>
      <c r="R472" s="3" t="inlineStr">
        <is>
          <t>Baik</t>
        </is>
      </c>
      <c r="S472" s="3" t="inlineStr">
        <is>
          <t>Aktif</t>
        </is>
      </c>
      <c r="T472" s="3" t="n"/>
      <c r="U472" s="3" t="inlineStr">
        <is>
          <t>ASSET TKIA-24 2025(1).xlsx | ASET TKIA 24</t>
        </is>
      </c>
    </row>
    <row r="473">
      <c r="A473" s="3" t="n">
        <v>470</v>
      </c>
      <c r="B473" s="3" t="inlineStr">
        <is>
          <t>171 - 03 - 03 - 24</t>
        </is>
      </c>
      <c r="C473" s="3" t="inlineStr">
        <is>
          <t>TKIA 24 JATIKRAMAT</t>
        </is>
      </c>
      <c r="D473" s="3" t="inlineStr">
        <is>
          <t>I / 7 / TOILET</t>
        </is>
      </c>
      <c r="E473" s="3" t="inlineStr">
        <is>
          <t>Wastafell</t>
        </is>
      </c>
      <c r="F473" s="3" t="inlineStr">
        <is>
          <t>Wastafell</t>
        </is>
      </c>
      <c r="G473" s="3" t="inlineStr">
        <is>
          <t>Keramik</t>
        </is>
      </c>
      <c r="H473" s="3" t="n"/>
      <c r="I473" s="3" t="inlineStr">
        <is>
          <t>1 Unit</t>
        </is>
      </c>
      <c r="J473" s="4" t="n"/>
      <c r="K473" s="3" t="n">
        <v>2018</v>
      </c>
      <c r="L473" s="5" t="n"/>
      <c r="M473" s="5" t="n"/>
      <c r="N473" s="3" t="inlineStr">
        <is>
          <t>171 - 03 - 03 - 24</t>
        </is>
      </c>
      <c r="O473" s="3" t="n">
        <v>4</v>
      </c>
      <c r="P473" s="5" t="n"/>
      <c r="Q473" s="5" t="n"/>
      <c r="R473" s="3" t="inlineStr">
        <is>
          <t>Baik</t>
        </is>
      </c>
      <c r="S473" s="3" t="inlineStr">
        <is>
          <t>Aktif</t>
        </is>
      </c>
      <c r="T473" s="3" t="n"/>
      <c r="U473" s="3" t="inlineStr">
        <is>
          <t>ASSET TKIA-24 2025(1).xlsx | ASET TKIA 24</t>
        </is>
      </c>
    </row>
    <row r="474">
      <c r="A474" s="3" t="n">
        <v>471</v>
      </c>
      <c r="B474" s="3" t="inlineStr">
        <is>
          <t>171 - 03 - 03 - 24</t>
        </is>
      </c>
      <c r="C474" s="3" t="inlineStr">
        <is>
          <t>TKIA 24 JATIKRAMAT</t>
        </is>
      </c>
      <c r="D474" s="3" t="inlineStr">
        <is>
          <t>I / 7 / TOILET</t>
        </is>
      </c>
      <c r="E474" s="3" t="inlineStr">
        <is>
          <t>Tempat Sampah</t>
        </is>
      </c>
      <c r="F474" s="3" t="inlineStr">
        <is>
          <t>Tempat Sampah</t>
        </is>
      </c>
      <c r="G474" s="3" t="inlineStr">
        <is>
          <t>Plastik</t>
        </is>
      </c>
      <c r="H474" s="3" t="inlineStr">
        <is>
          <t>Sedang</t>
        </is>
      </c>
      <c r="I474" s="3" t="inlineStr">
        <is>
          <t>1 Unit</t>
        </is>
      </c>
      <c r="J474" s="4" t="n"/>
      <c r="K474" s="3" t="n">
        <v>2018</v>
      </c>
      <c r="L474" s="5" t="n"/>
      <c r="M474" s="5" t="n"/>
      <c r="N474" s="3" t="inlineStr">
        <is>
          <t>171 - 03 - 03 - 24</t>
        </is>
      </c>
      <c r="O474" s="3" t="n">
        <v>4</v>
      </c>
      <c r="P474" s="5" t="n"/>
      <c r="Q474" s="5" t="n"/>
      <c r="R474" s="3" t="inlineStr">
        <is>
          <t>Baik</t>
        </is>
      </c>
      <c r="S474" s="3" t="inlineStr">
        <is>
          <t>Aktif</t>
        </is>
      </c>
      <c r="T474" s="3" t="n"/>
      <c r="U474" s="3" t="inlineStr">
        <is>
          <t>ASSET TKIA-24 2025(1).xlsx | ASET TKIA 24</t>
        </is>
      </c>
    </row>
    <row r="475">
      <c r="A475" s="3" t="n">
        <v>472</v>
      </c>
      <c r="B475" s="3" t="inlineStr">
        <is>
          <t>171 - 03 - 03 - 24</t>
        </is>
      </c>
      <c r="C475" s="3" t="inlineStr">
        <is>
          <t>TKIA 24 JATIKRAMAT</t>
        </is>
      </c>
      <c r="D475" s="3" t="inlineStr">
        <is>
          <t>I / 7 / TOILET</t>
        </is>
      </c>
      <c r="E475" s="3" t="inlineStr">
        <is>
          <t>Ember dan Gayung</t>
        </is>
      </c>
      <c r="F475" s="3" t="inlineStr">
        <is>
          <t>Ember dan Gayung</t>
        </is>
      </c>
      <c r="G475" s="3" t="inlineStr">
        <is>
          <t>Plastik</t>
        </is>
      </c>
      <c r="H475" s="3" t="inlineStr">
        <is>
          <t>Sedang</t>
        </is>
      </c>
      <c r="I475" s="3" t="inlineStr">
        <is>
          <t>4 Unit</t>
        </is>
      </c>
      <c r="J475" s="4" t="n"/>
      <c r="K475" s="3" t="n">
        <v>2018</v>
      </c>
      <c r="L475" s="5" t="n"/>
      <c r="M475" s="5" t="n"/>
      <c r="N475" s="3" t="inlineStr">
        <is>
          <t>171 - 03 - 03 - 24</t>
        </is>
      </c>
      <c r="O475" s="3" t="n">
        <v>4</v>
      </c>
      <c r="P475" s="5" t="n"/>
      <c r="Q475" s="5" t="n"/>
      <c r="R475" s="3" t="inlineStr">
        <is>
          <t>Baik</t>
        </is>
      </c>
      <c r="S475" s="3" t="inlineStr">
        <is>
          <t>Aktif</t>
        </is>
      </c>
      <c r="T475" s="3" t="n"/>
      <c r="U475" s="3" t="inlineStr">
        <is>
          <t>ASSET TKIA-24 2025(1).xlsx | ASET TKIA 24</t>
        </is>
      </c>
    </row>
    <row r="476">
      <c r="A476" s="3" t="n">
        <v>473</v>
      </c>
      <c r="B476" s="3" t="inlineStr">
        <is>
          <t>171 - 03 - 03 - 24</t>
        </is>
      </c>
      <c r="C476" s="3" t="inlineStr">
        <is>
          <t>TKIA 24 JATIKRAMAT</t>
        </is>
      </c>
      <c r="D476" s="3" t="inlineStr">
        <is>
          <t>I / 7 / TOILET</t>
        </is>
      </c>
      <c r="E476" s="3" t="inlineStr">
        <is>
          <t>Gantungan</t>
        </is>
      </c>
      <c r="F476" s="3" t="inlineStr">
        <is>
          <t>Gantungan</t>
        </is>
      </c>
      <c r="G476" s="3" t="inlineStr">
        <is>
          <t>Logam</t>
        </is>
      </c>
      <c r="H476" s="3" t="n"/>
      <c r="I476" s="3" t="inlineStr">
        <is>
          <t>3 Unit</t>
        </is>
      </c>
      <c r="J476" s="4" t="n"/>
      <c r="K476" s="3" t="n">
        <v>2018</v>
      </c>
      <c r="L476" s="5" t="n"/>
      <c r="M476" s="5" t="n"/>
      <c r="N476" s="3" t="inlineStr">
        <is>
          <t>171 - 03 - 03 - 24</t>
        </is>
      </c>
      <c r="O476" s="3" t="n">
        <v>4</v>
      </c>
      <c r="P476" s="5" t="n"/>
      <c r="Q476" s="5" t="n"/>
      <c r="R476" s="3" t="inlineStr">
        <is>
          <t>Baik</t>
        </is>
      </c>
      <c r="S476" s="3" t="inlineStr">
        <is>
          <t>Aktif</t>
        </is>
      </c>
      <c r="T476" s="3" t="n"/>
      <c r="U476" s="3" t="inlineStr">
        <is>
          <t>ASSET TKIA-24 2025(1).xlsx | ASET TKIA 24</t>
        </is>
      </c>
    </row>
    <row r="477">
      <c r="A477" s="3" t="n">
        <v>474</v>
      </c>
      <c r="B477" s="3" t="inlineStr">
        <is>
          <t>171 - 03 - 03 - 24</t>
        </is>
      </c>
      <c r="C477" s="3" t="inlineStr">
        <is>
          <t>TKIA 24 JATIKRAMAT</t>
        </is>
      </c>
      <c r="D477" s="3" t="inlineStr">
        <is>
          <t>I / 7 / TOILET</t>
        </is>
      </c>
      <c r="E477" s="3" t="inlineStr">
        <is>
          <t>Closet Jongkok</t>
        </is>
      </c>
      <c r="F477" s="3" t="inlineStr">
        <is>
          <t>Closet Jongkok</t>
        </is>
      </c>
      <c r="G477" s="3" t="inlineStr">
        <is>
          <t>Keramik</t>
        </is>
      </c>
      <c r="H477" s="3" t="n"/>
      <c r="I477" s="3" t="inlineStr">
        <is>
          <t>1 Unit</t>
        </is>
      </c>
      <c r="J477" s="4" t="n"/>
      <c r="K477" s="3" t="n">
        <v>2018</v>
      </c>
      <c r="L477" s="5" t="n"/>
      <c r="M477" s="5" t="n"/>
      <c r="N477" s="3" t="inlineStr">
        <is>
          <t>171 - 03 - 03 - 24</t>
        </is>
      </c>
      <c r="O477" s="3" t="n">
        <v>4</v>
      </c>
      <c r="P477" s="5" t="n"/>
      <c r="Q477" s="5" t="n"/>
      <c r="R477" s="3" t="inlineStr">
        <is>
          <t>Baik</t>
        </is>
      </c>
      <c r="S477" s="3" t="inlineStr">
        <is>
          <t>Aktif</t>
        </is>
      </c>
      <c r="T477" s="3" t="n"/>
      <c r="U477" s="3" t="inlineStr">
        <is>
          <t>ASSET TKIA-24 2025(1).xlsx | ASET TKIA 24</t>
        </is>
      </c>
    </row>
    <row r="478">
      <c r="A478" s="3" t="n">
        <v>475</v>
      </c>
      <c r="B478" s="3" t="inlineStr">
        <is>
          <t>171 - 03 - 03 - 24</t>
        </is>
      </c>
      <c r="C478" s="3" t="inlineStr">
        <is>
          <t>TKIA 24 JATIKRAMAT</t>
        </is>
      </c>
      <c r="D478" s="3" t="inlineStr">
        <is>
          <t>I / 7 / TOILET</t>
        </is>
      </c>
      <c r="E478" s="3" t="inlineStr">
        <is>
          <t>Closet Duduk</t>
        </is>
      </c>
      <c r="F478" s="3" t="inlineStr">
        <is>
          <t>Closet Duduk</t>
        </is>
      </c>
      <c r="G478" s="3" t="inlineStr">
        <is>
          <t>Keramik</t>
        </is>
      </c>
      <c r="H478" s="3" t="n"/>
      <c r="I478" s="3" t="inlineStr">
        <is>
          <t>1 Unit</t>
        </is>
      </c>
      <c r="J478" s="4" t="n"/>
      <c r="K478" s="3" t="n">
        <v>2018</v>
      </c>
      <c r="L478" s="5" t="n"/>
      <c r="M478" s="5" t="n"/>
      <c r="N478" s="3" t="inlineStr">
        <is>
          <t>171 - 03 - 03 - 24</t>
        </is>
      </c>
      <c r="O478" s="3" t="n">
        <v>4</v>
      </c>
      <c r="P478" s="5" t="n"/>
      <c r="Q478" s="5" t="n"/>
      <c r="R478" s="3" t="inlineStr">
        <is>
          <t>Baik</t>
        </is>
      </c>
      <c r="S478" s="3" t="inlineStr">
        <is>
          <t>Aktif</t>
        </is>
      </c>
      <c r="T478" s="3" t="n"/>
      <c r="U478" s="3" t="inlineStr">
        <is>
          <t>ASSET TKIA-24 2025(1).xlsx | ASET TKIA 24</t>
        </is>
      </c>
    </row>
    <row r="479">
      <c r="A479" s="3" t="n">
        <v>476</v>
      </c>
      <c r="B479" s="3" t="inlineStr">
        <is>
          <t>171 - 03 - 03 - 24</t>
        </is>
      </c>
      <c r="C479" s="3" t="inlineStr">
        <is>
          <t>TKIA 24 JATIKRAMAT</t>
        </is>
      </c>
      <c r="D479" s="3" t="inlineStr">
        <is>
          <t>I / 8 / PLAYGROUND INDOOR</t>
        </is>
      </c>
      <c r="E479" s="3" t="inlineStr">
        <is>
          <t>STEP 2</t>
        </is>
      </c>
      <c r="F479" s="3" t="inlineStr">
        <is>
          <t>STEP 2</t>
        </is>
      </c>
      <c r="G479" s="3" t="inlineStr">
        <is>
          <t>Plastik</t>
        </is>
      </c>
      <c r="H479" s="3" t="n"/>
      <c r="I479" s="3" t="n"/>
      <c r="J479" s="4" t="n"/>
      <c r="K479" s="3" t="n"/>
      <c r="L479" s="5" t="n"/>
      <c r="M479" s="5" t="n"/>
      <c r="N479" s="3" t="inlineStr">
        <is>
          <t>171 - 03 - 03 - 24</t>
        </is>
      </c>
      <c r="O479" s="3" t="n">
        <v>4</v>
      </c>
      <c r="P479" s="5" t="n"/>
      <c r="Q479" s="5" t="n"/>
      <c r="R479" s="3" t="inlineStr">
        <is>
          <t>Baik</t>
        </is>
      </c>
      <c r="S479" s="3" t="inlineStr">
        <is>
          <t>Aktif</t>
        </is>
      </c>
      <c r="T479" s="3" t="n"/>
      <c r="U479" s="3" t="inlineStr">
        <is>
          <t>ASSET TKIA-24 2025(1).xlsx | ASET TKIA 24</t>
        </is>
      </c>
    </row>
    <row r="480">
      <c r="A480" s="3" t="n">
        <v>477</v>
      </c>
      <c r="B480" s="3" t="inlineStr">
        <is>
          <t>171 - 03 - 03 - 24</t>
        </is>
      </c>
      <c r="C480" s="3" t="inlineStr">
        <is>
          <t>TKIA 24 JATIKRAMAT</t>
        </is>
      </c>
      <c r="D480" s="3" t="inlineStr">
        <is>
          <t>I / 8 / PLAYGROUND INDOOR</t>
        </is>
      </c>
      <c r="E480" s="3" t="inlineStr">
        <is>
          <t>Little Teq</t>
        </is>
      </c>
      <c r="F480" s="3" t="inlineStr">
        <is>
          <t>Little Teq</t>
        </is>
      </c>
      <c r="G480" s="3" t="inlineStr">
        <is>
          <t>Plastik</t>
        </is>
      </c>
      <c r="H480" s="3" t="n"/>
      <c r="I480" s="3" t="n"/>
      <c r="J480" s="4" t="n"/>
      <c r="K480" s="3" t="n"/>
      <c r="L480" s="5" t="n"/>
      <c r="M480" s="5" t="n"/>
      <c r="N480" s="3" t="inlineStr">
        <is>
          <t>171 - 03 - 03 - 24</t>
        </is>
      </c>
      <c r="O480" s="3" t="n">
        <v>4</v>
      </c>
      <c r="P480" s="5" t="n"/>
      <c r="Q480" s="5" t="n"/>
      <c r="R480" s="3" t="inlineStr">
        <is>
          <t>Baik</t>
        </is>
      </c>
      <c r="S480" s="3" t="inlineStr">
        <is>
          <t>Aktif</t>
        </is>
      </c>
      <c r="T480" s="3" t="n"/>
      <c r="U480" s="3" t="inlineStr">
        <is>
          <t>ASSET TKIA-24 2025(1).xlsx | ASET TKIA 24</t>
        </is>
      </c>
    </row>
    <row r="481">
      <c r="A481" s="3" t="n">
        <v>478</v>
      </c>
      <c r="B481" s="3" t="inlineStr">
        <is>
          <t>171 - 03 - 03 - 24</t>
        </is>
      </c>
      <c r="C481" s="3" t="inlineStr">
        <is>
          <t>TKIA 24 JATIKRAMAT</t>
        </is>
      </c>
      <c r="D481" s="3" t="inlineStr">
        <is>
          <t>I / 8 / PLAYGROUND INDOOR</t>
        </is>
      </c>
      <c r="E481" s="3" t="inlineStr">
        <is>
          <t>Ching-ching</t>
        </is>
      </c>
      <c r="F481" s="3" t="inlineStr">
        <is>
          <t>Ching-ching</t>
        </is>
      </c>
      <c r="G481" s="3" t="inlineStr">
        <is>
          <t>Plastik</t>
        </is>
      </c>
      <c r="H481" s="3" t="n"/>
      <c r="I481" s="3" t="n"/>
      <c r="J481" s="4" t="n"/>
      <c r="K481" s="3" t="n"/>
      <c r="L481" s="5" t="n"/>
      <c r="M481" s="5" t="n"/>
      <c r="N481" s="3" t="inlineStr">
        <is>
          <t>171 - 03 - 03 - 24</t>
        </is>
      </c>
      <c r="O481" s="3" t="n">
        <v>4</v>
      </c>
      <c r="P481" s="5" t="n"/>
      <c r="Q481" s="5" t="n"/>
      <c r="R481" s="3" t="inlineStr">
        <is>
          <t>Baik</t>
        </is>
      </c>
      <c r="S481" s="3" t="inlineStr">
        <is>
          <t>Aktif</t>
        </is>
      </c>
      <c r="T481" s="3" t="n"/>
      <c r="U481" s="3" t="inlineStr">
        <is>
          <t>ASSET TKIA-24 2025(1).xlsx | ASET TKIA 24</t>
        </is>
      </c>
    </row>
    <row r="482">
      <c r="A482" s="3" t="n">
        <v>479</v>
      </c>
      <c r="B482" s="3" t="inlineStr">
        <is>
          <t>171 - 03 - 03 - 24</t>
        </is>
      </c>
      <c r="C482" s="3" t="inlineStr">
        <is>
          <t>TKIA 24 JATIKRAMAT</t>
        </is>
      </c>
      <c r="D482" s="3" t="inlineStr">
        <is>
          <t>I / 8 / PLAYGROUND INDOOR</t>
        </is>
      </c>
      <c r="E482" s="3" t="inlineStr">
        <is>
          <t>Labeille</t>
        </is>
      </c>
      <c r="F482" s="3" t="inlineStr">
        <is>
          <t>Labeille</t>
        </is>
      </c>
      <c r="G482" s="3" t="inlineStr">
        <is>
          <t>Plastik</t>
        </is>
      </c>
      <c r="H482" s="3" t="n"/>
      <c r="I482" s="3" t="n"/>
      <c r="J482" s="4" t="n"/>
      <c r="K482" s="3" t="n"/>
      <c r="L482" s="5" t="n"/>
      <c r="M482" s="5" t="n"/>
      <c r="N482" s="3" t="inlineStr">
        <is>
          <t>171 - 03 - 03 - 24</t>
        </is>
      </c>
      <c r="O482" s="3" t="n">
        <v>4</v>
      </c>
      <c r="P482" s="5" t="n"/>
      <c r="Q482" s="5" t="n"/>
      <c r="R482" s="3" t="inlineStr">
        <is>
          <t>Baik</t>
        </is>
      </c>
      <c r="S482" s="3" t="inlineStr">
        <is>
          <t>Aktif</t>
        </is>
      </c>
      <c r="T482" s="3" t="n"/>
      <c r="U482" s="3" t="inlineStr">
        <is>
          <t>ASSET TKIA-24 2025(1).xlsx | ASET TKIA 24</t>
        </is>
      </c>
    </row>
    <row r="483">
      <c r="A483" s="3" t="n">
        <v>480</v>
      </c>
      <c r="B483" s="3" t="inlineStr">
        <is>
          <t>171 - 03 - 03 - 24</t>
        </is>
      </c>
      <c r="C483" s="3" t="inlineStr">
        <is>
          <t>TKIA 24 JATIKRAMAT</t>
        </is>
      </c>
      <c r="D483" s="3" t="inlineStr">
        <is>
          <t>I / 8 / PLAYGROUND INDOOR</t>
        </is>
      </c>
      <c r="E483" s="3" t="inlineStr">
        <is>
          <t>Trambolin</t>
        </is>
      </c>
      <c r="F483" s="3" t="inlineStr">
        <is>
          <t>Trambolin</t>
        </is>
      </c>
      <c r="G483" s="3" t="inlineStr">
        <is>
          <t>Plastik</t>
        </is>
      </c>
      <c r="H483" s="3" t="n"/>
      <c r="I483" s="3" t="n"/>
      <c r="J483" s="4" t="n"/>
      <c r="K483" s="3" t="n"/>
      <c r="L483" s="5" t="n"/>
      <c r="M483" s="5" t="n"/>
      <c r="N483" s="3" t="inlineStr">
        <is>
          <t>171 - 03 - 03 - 24</t>
        </is>
      </c>
      <c r="O483" s="3" t="n">
        <v>4</v>
      </c>
      <c r="P483" s="5" t="n"/>
      <c r="Q483" s="5" t="n"/>
      <c r="R483" s="3" t="inlineStr">
        <is>
          <t>Baik</t>
        </is>
      </c>
      <c r="S483" s="3" t="inlineStr">
        <is>
          <t>Aktif</t>
        </is>
      </c>
      <c r="T483" s="3" t="n"/>
      <c r="U483" s="3" t="inlineStr">
        <is>
          <t>ASSET TKIA-24 2025(1).xlsx | ASET TKIA 24</t>
        </is>
      </c>
    </row>
    <row r="484">
      <c r="A484" s="3" t="n">
        <v>481</v>
      </c>
      <c r="B484" s="3" t="inlineStr">
        <is>
          <t>171 - 03 - 03 - 24</t>
        </is>
      </c>
      <c r="C484" s="3" t="inlineStr">
        <is>
          <t>TKIA 24 JATIKRAMAT</t>
        </is>
      </c>
      <c r="D484" s="3" t="inlineStr">
        <is>
          <t>I / 8 / PLAYGROUND INDOOR</t>
        </is>
      </c>
      <c r="E484" s="3" t="inlineStr">
        <is>
          <t>Tangga kayu</t>
        </is>
      </c>
      <c r="F484" s="3" t="inlineStr">
        <is>
          <t>Tangga kayu</t>
        </is>
      </c>
      <c r="G484" s="3" t="inlineStr">
        <is>
          <t>Kayu</t>
        </is>
      </c>
      <c r="H484" s="3" t="inlineStr">
        <is>
          <t>3 injakan</t>
        </is>
      </c>
      <c r="I484" s="3" t="n"/>
      <c r="J484" s="4" t="n"/>
      <c r="K484" s="3" t="n"/>
      <c r="L484" s="5" t="n"/>
      <c r="M484" s="5" t="n"/>
      <c r="N484" s="3" t="inlineStr">
        <is>
          <t>171 - 03 - 03 - 24</t>
        </is>
      </c>
      <c r="O484" s="3" t="n">
        <v>4</v>
      </c>
      <c r="P484" s="5" t="n"/>
      <c r="Q484" s="5" t="n"/>
      <c r="R484" s="3" t="inlineStr">
        <is>
          <t>Baik</t>
        </is>
      </c>
      <c r="S484" s="3" t="inlineStr">
        <is>
          <t>Aktif</t>
        </is>
      </c>
      <c r="T484" s="3" t="n"/>
      <c r="U484" s="3" t="inlineStr">
        <is>
          <t>ASSET TKIA-24 2025(1).xlsx | ASET TKIA 24</t>
        </is>
      </c>
    </row>
    <row r="485">
      <c r="A485" s="3" t="n">
        <v>482</v>
      </c>
      <c r="B485" s="3" t="inlineStr">
        <is>
          <t>171 - 03 - 03 - 24</t>
        </is>
      </c>
      <c r="C485" s="3" t="inlineStr">
        <is>
          <t>TKIA 24 JATIKRAMAT</t>
        </is>
      </c>
      <c r="D485" s="3" t="inlineStr">
        <is>
          <t>I / 8 / PLAYGROUND INDOOR</t>
        </is>
      </c>
      <c r="E485" s="3" t="inlineStr">
        <is>
          <t>Pagar pembatas</t>
        </is>
      </c>
      <c r="F485" s="3" t="inlineStr">
        <is>
          <t>Pagar pembatas</t>
        </is>
      </c>
      <c r="G485" s="3" t="inlineStr">
        <is>
          <t>Kayu</t>
        </is>
      </c>
      <c r="H485" s="3" t="n"/>
      <c r="I485" s="3" t="n"/>
      <c r="J485" s="4" t="n"/>
      <c r="K485" s="3" t="n"/>
      <c r="L485" s="5" t="n"/>
      <c r="M485" s="5" t="n"/>
      <c r="N485" s="3" t="inlineStr">
        <is>
          <t>171 - 03 - 03 - 24</t>
        </is>
      </c>
      <c r="O485" s="3" t="n">
        <v>4</v>
      </c>
      <c r="P485" s="5" t="n"/>
      <c r="Q485" s="5" t="n"/>
      <c r="R485" s="3" t="inlineStr">
        <is>
          <t>Baik</t>
        </is>
      </c>
      <c r="S485" s="3" t="inlineStr">
        <is>
          <t>Aktif</t>
        </is>
      </c>
      <c r="T485" s="3" t="n"/>
      <c r="U485" s="3" t="inlineStr">
        <is>
          <t>ASSET TKIA-24 2025(1).xlsx | ASET TKIA 24</t>
        </is>
      </c>
    </row>
    <row r="486">
      <c r="A486" s="3" t="n">
        <v>483</v>
      </c>
      <c r="B486" s="3" t="inlineStr">
        <is>
          <t>171 - 03 - 03 - 24</t>
        </is>
      </c>
      <c r="C486" s="3" t="inlineStr">
        <is>
          <t>TKIA 24 JATIKRAMAT</t>
        </is>
      </c>
      <c r="D486" s="3" t="inlineStr">
        <is>
          <t>I / 8 / PLAYGROUND INDOOR</t>
        </is>
      </c>
      <c r="E486" s="3" t="inlineStr">
        <is>
          <t>Partisi pagar</t>
        </is>
      </c>
      <c r="F486" s="3" t="inlineStr">
        <is>
          <t>Partisi pagar</t>
        </is>
      </c>
      <c r="G486" s="3" t="inlineStr">
        <is>
          <t>Kayu</t>
        </is>
      </c>
      <c r="H486" s="3" t="inlineStr">
        <is>
          <t>120 x 300 cm</t>
        </is>
      </c>
      <c r="I486" s="3" t="n"/>
      <c r="J486" s="4" t="n"/>
      <c r="K486" s="3" t="n"/>
      <c r="L486" s="5" t="n"/>
      <c r="M486" s="5" t="n"/>
      <c r="N486" s="3" t="inlineStr">
        <is>
          <t>171 - 03 - 03 - 24</t>
        </is>
      </c>
      <c r="O486" s="3" t="n">
        <v>4</v>
      </c>
      <c r="P486" s="5" t="n"/>
      <c r="Q486" s="5" t="n"/>
      <c r="R486" s="3" t="inlineStr">
        <is>
          <t>Baik</t>
        </is>
      </c>
      <c r="S486" s="3" t="inlineStr">
        <is>
          <t>Aktif</t>
        </is>
      </c>
      <c r="T486" s="3" t="n"/>
      <c r="U486" s="3" t="inlineStr">
        <is>
          <t>ASSET TKIA-24 2025(1).xlsx | ASET TKIA 24</t>
        </is>
      </c>
    </row>
    <row r="487">
      <c r="A487" s="3" t="n">
        <v>484</v>
      </c>
      <c r="B487" s="3" t="inlineStr">
        <is>
          <t>171 - 03 - 03 - 24</t>
        </is>
      </c>
      <c r="C487" s="3" t="inlineStr">
        <is>
          <t>TKIA 24 JATIKRAMAT</t>
        </is>
      </c>
      <c r="D487" s="3" t="inlineStr">
        <is>
          <t>I / 8 / PLAYGROUND INDOOR</t>
        </is>
      </c>
      <c r="E487" s="3" t="inlineStr">
        <is>
          <t>Ring basket</t>
        </is>
      </c>
      <c r="F487" s="3" t="inlineStr">
        <is>
          <t>Ring basket</t>
        </is>
      </c>
      <c r="G487" s="3" t="inlineStr">
        <is>
          <t>Plastik</t>
        </is>
      </c>
      <c r="H487" s="3" t="inlineStr">
        <is>
          <t>50 cm</t>
        </is>
      </c>
      <c r="I487" s="3" t="n"/>
      <c r="J487" s="4" t="n"/>
      <c r="K487" s="3" t="n"/>
      <c r="L487" s="5" t="n"/>
      <c r="M487" s="5" t="n"/>
      <c r="N487" s="3" t="inlineStr">
        <is>
          <t>171 - 03 - 03 - 24</t>
        </is>
      </c>
      <c r="O487" s="3" t="n">
        <v>4</v>
      </c>
      <c r="P487" s="5" t="n"/>
      <c r="Q487" s="5" t="n"/>
      <c r="R487" s="3" t="inlineStr">
        <is>
          <t>Baik</t>
        </is>
      </c>
      <c r="S487" s="3" t="inlineStr">
        <is>
          <t>Aktif</t>
        </is>
      </c>
      <c r="T487" s="3" t="n"/>
      <c r="U487" s="3" t="inlineStr">
        <is>
          <t>ASSET TKIA-24 2025(1).xlsx | ASET TKIA 24</t>
        </is>
      </c>
    </row>
    <row r="488">
      <c r="A488" s="3" t="n">
        <v>485</v>
      </c>
      <c r="B488" s="3" t="inlineStr">
        <is>
          <t>171 - 03 - 03 - 24</t>
        </is>
      </c>
      <c r="C488" s="3" t="inlineStr">
        <is>
          <t>TKIA 24 JATIKRAMAT</t>
        </is>
      </c>
      <c r="D488" s="3" t="inlineStr">
        <is>
          <t>I / 8 / PLAYGROUND INDOOR</t>
        </is>
      </c>
      <c r="E488" s="3" t="inlineStr">
        <is>
          <t>Keranjang bola</t>
        </is>
      </c>
      <c r="F488" s="3" t="inlineStr">
        <is>
          <t>Keranjang bola</t>
        </is>
      </c>
      <c r="G488" s="3" t="inlineStr">
        <is>
          <t>Plastik</t>
        </is>
      </c>
      <c r="H488" s="3" t="inlineStr">
        <is>
          <t>100 x 40 cm</t>
        </is>
      </c>
      <c r="I488" s="3" t="n"/>
      <c r="J488" s="4" t="n"/>
      <c r="K488" s="3" t="n"/>
      <c r="L488" s="5" t="n"/>
      <c r="M488" s="5" t="n"/>
      <c r="N488" s="3" t="inlineStr">
        <is>
          <t>171 - 03 - 03 - 24</t>
        </is>
      </c>
      <c r="O488" s="3" t="n">
        <v>4</v>
      </c>
      <c r="P488" s="5" t="n"/>
      <c r="Q488" s="5" t="n"/>
      <c r="R488" s="3" t="inlineStr">
        <is>
          <t>Baik</t>
        </is>
      </c>
      <c r="S488" s="3" t="inlineStr">
        <is>
          <t>Aktif</t>
        </is>
      </c>
      <c r="T488" s="3" t="n"/>
      <c r="U488" s="3" t="inlineStr">
        <is>
          <t>ASSET TKIA-24 2025(1).xlsx | ASET TKIA 24</t>
        </is>
      </c>
    </row>
    <row r="489">
      <c r="A489" s="3" t="n">
        <v>486</v>
      </c>
      <c r="B489" s="3" t="inlineStr">
        <is>
          <t>171 - 03 - 03 - 24</t>
        </is>
      </c>
      <c r="C489" s="3" t="inlineStr">
        <is>
          <t>TKIA 24 JATIKRAMAT</t>
        </is>
      </c>
      <c r="D489" s="3" t="inlineStr">
        <is>
          <t>I / 8 / PLAYGROUND INDOOR</t>
        </is>
      </c>
      <c r="E489" s="3" t="inlineStr">
        <is>
          <t>Rak sepatu</t>
        </is>
      </c>
      <c r="F489" s="3" t="inlineStr">
        <is>
          <t>Rak sepatu</t>
        </is>
      </c>
      <c r="G489" s="3" t="inlineStr">
        <is>
          <t>Kayu</t>
        </is>
      </c>
      <c r="H489" s="3" t="inlineStr">
        <is>
          <t>80 x 120 cm</t>
        </is>
      </c>
      <c r="I489" s="3" t="n"/>
      <c r="J489" s="4" t="n"/>
      <c r="K489" s="3" t="n"/>
      <c r="L489" s="5" t="n"/>
      <c r="M489" s="5" t="n"/>
      <c r="N489" s="3" t="inlineStr">
        <is>
          <t>171 - 03 - 03 - 24</t>
        </is>
      </c>
      <c r="O489" s="3" t="n">
        <v>4</v>
      </c>
      <c r="P489" s="5" t="n"/>
      <c r="Q489" s="5" t="n"/>
      <c r="R489" s="3" t="inlineStr">
        <is>
          <t>Baik</t>
        </is>
      </c>
      <c r="S489" s="3" t="inlineStr">
        <is>
          <t>Aktif</t>
        </is>
      </c>
      <c r="T489" s="3" t="n"/>
      <c r="U489" s="3" t="inlineStr">
        <is>
          <t>ASSET TKIA-24 2025(1).xlsx | ASET TKIA 24</t>
        </is>
      </c>
    </row>
    <row r="490">
      <c r="A490" s="3" t="n">
        <v>487</v>
      </c>
      <c r="B490" s="3" t="inlineStr">
        <is>
          <t>171 - 03 - 03 - 24</t>
        </is>
      </c>
      <c r="C490" s="3" t="inlineStr">
        <is>
          <t>TKIA 24 JATIKRAMAT</t>
        </is>
      </c>
      <c r="D490" s="3" t="inlineStr">
        <is>
          <t>I / 8 / PLAYGROUND INDOOR</t>
        </is>
      </c>
      <c r="E490" s="3" t="inlineStr">
        <is>
          <t>Locker bekal anak</t>
        </is>
      </c>
      <c r="F490" s="3" t="inlineStr">
        <is>
          <t>Locker bekal anak</t>
        </is>
      </c>
      <c r="G490" s="3" t="inlineStr">
        <is>
          <t>Kayu</t>
        </is>
      </c>
      <c r="H490" s="3" t="inlineStr">
        <is>
          <t>200 x 120 cm</t>
        </is>
      </c>
      <c r="I490" s="3" t="n"/>
      <c r="J490" s="4" t="n"/>
      <c r="K490" s="3" t="n"/>
      <c r="L490" s="5" t="n"/>
      <c r="M490" s="5" t="n"/>
      <c r="N490" s="3" t="inlineStr">
        <is>
          <t>171 - 03 - 03 - 24</t>
        </is>
      </c>
      <c r="O490" s="3" t="n">
        <v>4</v>
      </c>
      <c r="P490" s="5" t="n"/>
      <c r="Q490" s="5" t="n"/>
      <c r="R490" s="3" t="inlineStr">
        <is>
          <t>Baik</t>
        </is>
      </c>
      <c r="S490" s="3" t="inlineStr">
        <is>
          <t>Aktif</t>
        </is>
      </c>
      <c r="T490" s="3" t="n"/>
      <c r="U490" s="3" t="inlineStr">
        <is>
          <t>ASSET TKIA-24 2025(1).xlsx | ASET TKIA 24</t>
        </is>
      </c>
    </row>
    <row r="491">
      <c r="A491" s="3" t="n">
        <v>488</v>
      </c>
      <c r="B491" s="3" t="inlineStr">
        <is>
          <t>171 - 03 - 03 - 24</t>
        </is>
      </c>
      <c r="C491" s="3" t="inlineStr">
        <is>
          <t>TKIA 24 JATIKRAMAT</t>
        </is>
      </c>
      <c r="D491" s="3" t="inlineStr">
        <is>
          <t>I / 8 / PLAYGROUND INDOOR</t>
        </is>
      </c>
      <c r="E491" s="3" t="inlineStr">
        <is>
          <t>Tiang bendera</t>
        </is>
      </c>
      <c r="F491" s="3" t="inlineStr">
        <is>
          <t>Tiang bendera</t>
        </is>
      </c>
      <c r="G491" s="3" t="inlineStr">
        <is>
          <t>Kayu</t>
        </is>
      </c>
      <c r="H491" s="3" t="inlineStr">
        <is>
          <t>150 cm</t>
        </is>
      </c>
      <c r="I491" s="3" t="n"/>
      <c r="J491" s="4" t="n"/>
      <c r="K491" s="3" t="n"/>
      <c r="L491" s="5" t="n"/>
      <c r="M491" s="5" t="n"/>
      <c r="N491" s="3" t="inlineStr">
        <is>
          <t>171 - 03 - 03 - 24</t>
        </is>
      </c>
      <c r="O491" s="3" t="n">
        <v>4</v>
      </c>
      <c r="P491" s="5" t="n"/>
      <c r="Q491" s="5" t="n"/>
      <c r="R491" s="3" t="inlineStr">
        <is>
          <t>Baik</t>
        </is>
      </c>
      <c r="S491" s="3" t="inlineStr">
        <is>
          <t>Aktif</t>
        </is>
      </c>
      <c r="T491" s="3" t="n"/>
      <c r="U491" s="3" t="inlineStr">
        <is>
          <t>ASSET TKIA-24 2025(1).xlsx | ASET TKIA 24</t>
        </is>
      </c>
    </row>
    <row r="492">
      <c r="A492" s="3" t="n">
        <v>489</v>
      </c>
      <c r="B492" s="3" t="inlineStr">
        <is>
          <t>171 - 03 - 03 - 24</t>
        </is>
      </c>
      <c r="C492" s="3" t="inlineStr">
        <is>
          <t>TKIA 24 JATIKRAMAT</t>
        </is>
      </c>
      <c r="D492" s="3" t="inlineStr">
        <is>
          <t>I / 8 / PLAYGROUND INDOOR</t>
        </is>
      </c>
      <c r="E492" s="3" t="inlineStr">
        <is>
          <t>Mesin pompa air</t>
        </is>
      </c>
      <c r="F492" s="3" t="inlineStr">
        <is>
          <t>Mesin pompa air</t>
        </is>
      </c>
      <c r="G492" s="3" t="inlineStr">
        <is>
          <t>Besi</t>
        </is>
      </c>
      <c r="H492" s="3" t="n"/>
      <c r="I492" s="3" t="n"/>
      <c r="J492" s="4" t="n"/>
      <c r="K492" s="3" t="n"/>
      <c r="L492" s="5" t="n"/>
      <c r="M492" s="5" t="n"/>
      <c r="N492" s="3" t="inlineStr">
        <is>
          <t>171 - 03 - 03 - 24</t>
        </is>
      </c>
      <c r="O492" s="3" t="n">
        <v>4</v>
      </c>
      <c r="P492" s="5" t="n"/>
      <c r="Q492" s="5" t="n"/>
      <c r="R492" s="3" t="inlineStr">
        <is>
          <t>Baik</t>
        </is>
      </c>
      <c r="S492" s="3" t="inlineStr">
        <is>
          <t>Aktif</t>
        </is>
      </c>
      <c r="T492" s="3" t="n"/>
      <c r="U492" s="3" t="inlineStr">
        <is>
          <t>ASSET TKIA-24 2025(1).xlsx | ASET TKIA 24</t>
        </is>
      </c>
    </row>
    <row r="493">
      <c r="A493" s="3" t="n">
        <v>490</v>
      </c>
      <c r="B493" s="3" t="inlineStr">
        <is>
          <t>171 - 03 - 03 - 24</t>
        </is>
      </c>
      <c r="C493" s="3" t="inlineStr">
        <is>
          <t>TKIA 24 JATIKRAMAT</t>
        </is>
      </c>
      <c r="D493" s="3" t="inlineStr">
        <is>
          <t>I / 8 / PLAYGROUND INDOOR</t>
        </is>
      </c>
      <c r="E493" s="3" t="inlineStr">
        <is>
          <t>Rumput sintetis</t>
        </is>
      </c>
      <c r="F493" s="3" t="inlineStr">
        <is>
          <t>Rumput sintetis</t>
        </is>
      </c>
      <c r="G493" s="3" t="inlineStr">
        <is>
          <t>Plastik</t>
        </is>
      </c>
      <c r="H493" s="3" t="inlineStr">
        <is>
          <t>650 x 650 cm</t>
        </is>
      </c>
      <c r="I493" s="3" t="n"/>
      <c r="J493" s="4" t="n"/>
      <c r="K493" s="3" t="n"/>
      <c r="L493" s="5" t="n"/>
      <c r="M493" s="5" t="n"/>
      <c r="N493" s="3" t="inlineStr">
        <is>
          <t>171 - 03 - 03 - 24</t>
        </is>
      </c>
      <c r="O493" s="3" t="n">
        <v>4</v>
      </c>
      <c r="P493" s="5" t="n"/>
      <c r="Q493" s="5" t="n"/>
      <c r="R493" s="3" t="inlineStr">
        <is>
          <t>Baik</t>
        </is>
      </c>
      <c r="S493" s="3" t="inlineStr">
        <is>
          <t>Aktif</t>
        </is>
      </c>
      <c r="T493" s="3" t="n"/>
      <c r="U493" s="3" t="inlineStr">
        <is>
          <t>ASSET TKIA-24 2025(1).xlsx | ASET TKIA 24</t>
        </is>
      </c>
    </row>
    <row r="494">
      <c r="A494" s="3" t="n">
        <v>491</v>
      </c>
      <c r="B494" s="3" t="inlineStr">
        <is>
          <t>171 - 03 - 03 - 24</t>
        </is>
      </c>
      <c r="C494" s="3" t="inlineStr">
        <is>
          <t>TKIA 24 JATIKRAMAT</t>
        </is>
      </c>
      <c r="D494" s="3" t="inlineStr">
        <is>
          <t>I / 8 / PLAYGROUND INDOOR</t>
        </is>
      </c>
      <c r="E494" s="3" t="inlineStr">
        <is>
          <t>Tempat simpan bola</t>
        </is>
      </c>
      <c r="F494" s="3" t="inlineStr">
        <is>
          <t>Tempat simpan bola</t>
        </is>
      </c>
      <c r="G494" s="3" t="inlineStr">
        <is>
          <t>Besi</t>
        </is>
      </c>
      <c r="H494" s="3" t="inlineStr">
        <is>
          <t>100 x 100 x 100 cm</t>
        </is>
      </c>
      <c r="I494" s="3" t="n"/>
      <c r="J494" s="4" t="n"/>
      <c r="K494" s="3" t="n"/>
      <c r="L494" s="5" t="n"/>
      <c r="M494" s="5" t="n"/>
      <c r="N494" s="3" t="inlineStr">
        <is>
          <t>171 - 03 - 03 - 24</t>
        </is>
      </c>
      <c r="O494" s="3" t="n">
        <v>4</v>
      </c>
      <c r="P494" s="5" t="n"/>
      <c r="Q494" s="5" t="n"/>
      <c r="R494" s="3" t="inlineStr">
        <is>
          <t>Baik</t>
        </is>
      </c>
      <c r="S494" s="3" t="inlineStr">
        <is>
          <t>Aktif</t>
        </is>
      </c>
      <c r="T494" s="3" t="n"/>
      <c r="U494" s="3" t="inlineStr">
        <is>
          <t>ASSET TKIA-24 2025(1).xlsx | ASET TKIA 24</t>
        </is>
      </c>
    </row>
    <row r="495">
      <c r="A495" s="3" t="n">
        <v>492</v>
      </c>
      <c r="B495" s="3" t="inlineStr">
        <is>
          <t>171 - 03 - 03 - 24</t>
        </is>
      </c>
      <c r="C495" s="3" t="inlineStr">
        <is>
          <t>TKIA 24 JATIKRAMAT</t>
        </is>
      </c>
      <c r="D495" s="3" t="inlineStr">
        <is>
          <t>I / 9/ GEDUNG EKSKUL - BELAKANG</t>
        </is>
      </c>
      <c r="E495" s="3" t="inlineStr">
        <is>
          <t>Drum Gendong</t>
        </is>
      </c>
      <c r="F495" s="3" t="inlineStr">
        <is>
          <t>Drum Gendong</t>
        </is>
      </c>
      <c r="G495" s="3" t="inlineStr">
        <is>
          <t>Besi/Kulit</t>
        </is>
      </c>
      <c r="H495" s="3" t="inlineStr">
        <is>
          <t>Diameter 50 Cm</t>
        </is>
      </c>
      <c r="I495" s="3" t="n"/>
      <c r="J495" s="4" t="n"/>
      <c r="K495" s="3" t="n"/>
      <c r="L495" s="5" t="n"/>
      <c r="M495" s="5" t="n"/>
      <c r="N495" s="3" t="inlineStr">
        <is>
          <t>171 - 03 - 03 - 24</t>
        </is>
      </c>
      <c r="O495" s="3" t="n">
        <v>4</v>
      </c>
      <c r="P495" s="5" t="n"/>
      <c r="Q495" s="5" t="n"/>
      <c r="R495" s="3" t="inlineStr">
        <is>
          <t>Baik</t>
        </is>
      </c>
      <c r="S495" s="3" t="inlineStr">
        <is>
          <t>Aktif</t>
        </is>
      </c>
      <c r="T495" s="3" t="n"/>
      <c r="U495" s="3" t="inlineStr">
        <is>
          <t>ASSET TKIA-24 2025(1).xlsx | ASET TKIA 24</t>
        </is>
      </c>
    </row>
    <row r="496">
      <c r="A496" s="3" t="n">
        <v>493</v>
      </c>
      <c r="B496" s="3" t="inlineStr">
        <is>
          <t>171 - 03 - 03 - 24</t>
        </is>
      </c>
      <c r="C496" s="3" t="inlineStr">
        <is>
          <t>TKIA 24 JATIKRAMAT</t>
        </is>
      </c>
      <c r="D496" s="3" t="inlineStr">
        <is>
          <t>I / 9/ GEDUNG EKSKUL - BELAKANG</t>
        </is>
      </c>
      <c r="E496" s="3" t="inlineStr">
        <is>
          <t>Simbal</t>
        </is>
      </c>
      <c r="F496" s="3" t="inlineStr">
        <is>
          <t>Simbal</t>
        </is>
      </c>
      <c r="G496" s="3" t="n"/>
      <c r="H496" s="3" t="n"/>
      <c r="I496" s="3" t="n"/>
      <c r="J496" s="4" t="n"/>
      <c r="K496" s="3" t="n"/>
      <c r="L496" s="5" t="n"/>
      <c r="M496" s="5" t="n"/>
      <c r="N496" s="3" t="inlineStr">
        <is>
          <t>171 - 03 - 03 - 24</t>
        </is>
      </c>
      <c r="O496" s="3" t="n">
        <v>4</v>
      </c>
      <c r="P496" s="5" t="n"/>
      <c r="Q496" s="5" t="n"/>
      <c r="R496" s="3" t="inlineStr">
        <is>
          <t>Baik</t>
        </is>
      </c>
      <c r="S496" s="3" t="inlineStr">
        <is>
          <t>Aktif</t>
        </is>
      </c>
      <c r="T496" s="3" t="n"/>
      <c r="U496" s="3" t="inlineStr">
        <is>
          <t>ASSET TKIA-24 2025(1).xlsx | ASET TKIA 24</t>
        </is>
      </c>
    </row>
    <row r="497">
      <c r="A497" s="3" t="n">
        <v>494</v>
      </c>
      <c r="B497" s="3" t="inlineStr">
        <is>
          <t>171 - 03 - 03 - 24</t>
        </is>
      </c>
      <c r="C497" s="3" t="inlineStr">
        <is>
          <t>TKIA 24 JATIKRAMAT</t>
        </is>
      </c>
      <c r="D497" s="3" t="inlineStr">
        <is>
          <t>I / 9/ GEDUNG EKSKUL - BELAKANG</t>
        </is>
      </c>
      <c r="E497" s="3" t="inlineStr">
        <is>
          <t>Quadtom</t>
        </is>
      </c>
      <c r="F497" s="3" t="inlineStr">
        <is>
          <t>Quadtom</t>
        </is>
      </c>
      <c r="G497" s="3" t="n"/>
      <c r="H497" s="3" t="n"/>
      <c r="I497" s="3" t="n"/>
      <c r="J497" s="4" t="n"/>
      <c r="K497" s="3" t="n"/>
      <c r="L497" s="5" t="n"/>
      <c r="M497" s="5" t="n"/>
      <c r="N497" s="3" t="inlineStr">
        <is>
          <t>171 - 03 - 03 - 24</t>
        </is>
      </c>
      <c r="O497" s="3" t="n">
        <v>4</v>
      </c>
      <c r="P497" s="5" t="n"/>
      <c r="Q497" s="5" t="n"/>
      <c r="R497" s="3" t="inlineStr">
        <is>
          <t>Baik</t>
        </is>
      </c>
      <c r="S497" s="3" t="inlineStr">
        <is>
          <t>Aktif</t>
        </is>
      </c>
      <c r="T497" s="3" t="n"/>
      <c r="U497" s="3" t="inlineStr">
        <is>
          <t>ASSET TKIA-24 2025(1).xlsx | ASET TKIA 24</t>
        </is>
      </c>
    </row>
    <row r="498">
      <c r="A498" s="3" t="n">
        <v>495</v>
      </c>
      <c r="B498" s="3" t="inlineStr">
        <is>
          <t>171 - 03 - 03 - 24</t>
        </is>
      </c>
      <c r="C498" s="3" t="inlineStr">
        <is>
          <t>TKIA 24 JATIKRAMAT</t>
        </is>
      </c>
      <c r="D498" s="3" t="inlineStr">
        <is>
          <t>I / 9/ GEDUNG EKSKUL - BELAKANG</t>
        </is>
      </c>
      <c r="E498" s="3" t="inlineStr">
        <is>
          <t>Metalopone</t>
        </is>
      </c>
      <c r="F498" s="3" t="inlineStr">
        <is>
          <t>Metalopone</t>
        </is>
      </c>
      <c r="G498" s="3" t="n"/>
      <c r="H498" s="3" t="n"/>
      <c r="I498" s="3" t="n"/>
      <c r="J498" s="4" t="n"/>
      <c r="K498" s="3" t="n"/>
      <c r="L498" s="5" t="n"/>
      <c r="M498" s="5" t="n"/>
      <c r="N498" s="3" t="inlineStr">
        <is>
          <t>171 - 03 - 03 - 24</t>
        </is>
      </c>
      <c r="O498" s="3" t="n">
        <v>4</v>
      </c>
      <c r="P498" s="5" t="n"/>
      <c r="Q498" s="5" t="n"/>
      <c r="R498" s="3" t="inlineStr">
        <is>
          <t>Baik</t>
        </is>
      </c>
      <c r="S498" s="3" t="inlineStr">
        <is>
          <t>Aktif</t>
        </is>
      </c>
      <c r="T498" s="3" t="n"/>
      <c r="U498" s="3" t="inlineStr">
        <is>
          <t>ASSET TKIA-24 2025(1).xlsx | ASET TKIA 24</t>
        </is>
      </c>
    </row>
    <row r="499">
      <c r="A499" s="3" t="n">
        <v>496</v>
      </c>
      <c r="B499" s="3" t="inlineStr">
        <is>
          <t>171 - 03 - 01 - 24</t>
        </is>
      </c>
      <c r="C499" s="3" t="inlineStr">
        <is>
          <t>TKIA 24 JATIKRAMAT</t>
        </is>
      </c>
      <c r="D499" s="3" t="inlineStr">
        <is>
          <t>I / 9/ GEDUNG EKSKUL - BELAKANG</t>
        </is>
      </c>
      <c r="E499" s="3" t="inlineStr">
        <is>
          <t>Snar</t>
        </is>
      </c>
      <c r="F499" s="3" t="inlineStr">
        <is>
          <t>Snar</t>
        </is>
      </c>
      <c r="G499" s="3" t="n"/>
      <c r="H499" s="3" t="n"/>
      <c r="I499" s="3" t="n"/>
      <c r="J499" s="4" t="n"/>
      <c r="K499" s="3" t="n"/>
      <c r="L499" s="5" t="n"/>
      <c r="M499" s="5" t="n"/>
      <c r="N499" s="3" t="inlineStr">
        <is>
          <t>171 - 03 - 01 - 24</t>
        </is>
      </c>
      <c r="O499" s="3" t="n">
        <v>4</v>
      </c>
      <c r="P499" s="5" t="n"/>
      <c r="Q499" s="5" t="n"/>
      <c r="R499" s="3" t="inlineStr">
        <is>
          <t>Baik</t>
        </is>
      </c>
      <c r="S499" s="3" t="inlineStr">
        <is>
          <t>Aktif</t>
        </is>
      </c>
      <c r="T499" s="3" t="n"/>
      <c r="U499" s="3" t="inlineStr">
        <is>
          <t>ASSET TKIA-24 2025(1).xlsx | ASET TKIA 24</t>
        </is>
      </c>
    </row>
    <row r="500">
      <c r="A500" s="3" t="n">
        <v>497</v>
      </c>
      <c r="B500" s="3" t="inlineStr">
        <is>
          <t>171 - 03 - 01 - 24</t>
        </is>
      </c>
      <c r="C500" s="3" t="inlineStr">
        <is>
          <t>TKIA 24 JATIKRAMAT</t>
        </is>
      </c>
      <c r="D500" s="3" t="inlineStr">
        <is>
          <t>I / 9/ GEDUNG EKSKUL - BELAKANG</t>
        </is>
      </c>
      <c r="E500" s="3" t="inlineStr">
        <is>
          <t>Bas Drum</t>
        </is>
      </c>
      <c r="F500" s="3" t="inlineStr">
        <is>
          <t>Bas Drum</t>
        </is>
      </c>
      <c r="G500" s="3" t="n"/>
      <c r="H500" s="3" t="n"/>
      <c r="I500" s="3" t="n"/>
      <c r="J500" s="4" t="n"/>
      <c r="K500" s="3" t="n"/>
      <c r="L500" s="5" t="n"/>
      <c r="M500" s="5" t="n"/>
      <c r="N500" s="3" t="inlineStr">
        <is>
          <t>171 - 03 - 01 - 24</t>
        </is>
      </c>
      <c r="O500" s="3" t="n">
        <v>4</v>
      </c>
      <c r="P500" s="5" t="n"/>
      <c r="Q500" s="5" t="n"/>
      <c r="R500" s="3" t="inlineStr">
        <is>
          <t>Baik</t>
        </is>
      </c>
      <c r="S500" s="3" t="inlineStr">
        <is>
          <t>Aktif</t>
        </is>
      </c>
      <c r="T500" s="3" t="n"/>
      <c r="U500" s="3" t="inlineStr">
        <is>
          <t>ASSET TKIA-24 2025(1).xlsx | ASET TKIA 24</t>
        </is>
      </c>
    </row>
    <row r="501">
      <c r="A501" s="3" t="n">
        <v>498</v>
      </c>
      <c r="B501" s="3" t="inlineStr">
        <is>
          <t>171 - 03 - 01 - 24</t>
        </is>
      </c>
      <c r="C501" s="3" t="inlineStr">
        <is>
          <t>TKIA 24 JATIKRAMAT</t>
        </is>
      </c>
      <c r="D501" s="3" t="inlineStr">
        <is>
          <t>I / 9/ GEDUNG EKSKUL - BELAKANG</t>
        </is>
      </c>
      <c r="E501" s="3" t="inlineStr">
        <is>
          <t>Anglung</t>
        </is>
      </c>
      <c r="F501" s="3" t="inlineStr">
        <is>
          <t>Anglung</t>
        </is>
      </c>
      <c r="G501" s="3" t="n"/>
      <c r="H501" s="3" t="n"/>
      <c r="I501" s="3" t="n"/>
      <c r="J501" s="4" t="n"/>
      <c r="K501" s="3" t="n"/>
      <c r="L501" s="5" t="n"/>
      <c r="M501" s="5" t="n"/>
      <c r="N501" s="3" t="inlineStr">
        <is>
          <t>171 - 03 - 01 - 24</t>
        </is>
      </c>
      <c r="O501" s="3" t="n">
        <v>4</v>
      </c>
      <c r="P501" s="5" t="n"/>
      <c r="Q501" s="5" t="n"/>
      <c r="R501" s="3" t="inlineStr">
        <is>
          <t>Baik</t>
        </is>
      </c>
      <c r="S501" s="3" t="inlineStr">
        <is>
          <t>Aktif</t>
        </is>
      </c>
      <c r="T501" s="3" t="n"/>
      <c r="U501" s="3" t="inlineStr">
        <is>
          <t>ASSET TKIA-24 2025(1).xlsx | ASET TKIA 24</t>
        </is>
      </c>
    </row>
    <row r="502">
      <c r="A502" s="3" t="n">
        <v>499</v>
      </c>
      <c r="B502" s="3" t="inlineStr">
        <is>
          <t>171 - 03 - 01 - 24</t>
        </is>
      </c>
      <c r="C502" s="3" t="inlineStr">
        <is>
          <t>TKIA 24 JATIKRAMAT</t>
        </is>
      </c>
      <c r="D502" s="3" t="inlineStr">
        <is>
          <t>I / 9/ GEDUNG EKSKUL - BELAKANG</t>
        </is>
      </c>
      <c r="E502" s="3" t="inlineStr">
        <is>
          <t>Bangku Platik</t>
        </is>
      </c>
      <c r="F502" s="3" t="inlineStr">
        <is>
          <t>Bangku Platik</t>
        </is>
      </c>
      <c r="G502" s="3" t="n"/>
      <c r="H502" s="3" t="n"/>
      <c r="I502" s="3" t="n"/>
      <c r="J502" s="4" t="n"/>
      <c r="K502" s="3" t="n"/>
      <c r="L502" s="5" t="n"/>
      <c r="M502" s="5" t="n"/>
      <c r="N502" s="3" t="inlineStr">
        <is>
          <t>171 - 03 - 01 - 24</t>
        </is>
      </c>
      <c r="O502" s="3" t="n">
        <v>4</v>
      </c>
      <c r="P502" s="5" t="n"/>
      <c r="Q502" s="5" t="n"/>
      <c r="R502" s="3" t="inlineStr">
        <is>
          <t>Baik</t>
        </is>
      </c>
      <c r="S502" s="3" t="inlineStr">
        <is>
          <t>Aktif</t>
        </is>
      </c>
      <c r="T502" s="3" t="n"/>
      <c r="U502" s="3" t="inlineStr">
        <is>
          <t>ASSET TKIA-24 2025(1).xlsx | ASET TKIA 24</t>
        </is>
      </c>
    </row>
    <row r="503">
      <c r="A503" s="3" t="n">
        <v>500</v>
      </c>
      <c r="B503" s="3" t="inlineStr">
        <is>
          <t>171 - 03 - 01 - 24</t>
        </is>
      </c>
      <c r="C503" s="3" t="inlineStr">
        <is>
          <t>TKIA 24 JATIKRAMAT</t>
        </is>
      </c>
      <c r="D503" s="3" t="inlineStr">
        <is>
          <t>I / 9/ GEDUNG EKSKUL - BELAKANG</t>
        </is>
      </c>
      <c r="E503" s="3" t="inlineStr">
        <is>
          <t>APAR</t>
        </is>
      </c>
      <c r="F503" s="3" t="inlineStr">
        <is>
          <t>APAR</t>
        </is>
      </c>
      <c r="G503" s="3" t="n"/>
      <c r="H503" s="3" t="n"/>
      <c r="I503" s="3" t="n"/>
      <c r="J503" s="4" t="n"/>
      <c r="K503" s="3" t="n"/>
      <c r="L503" s="5" t="n"/>
      <c r="M503" s="5" t="n"/>
      <c r="N503" s="3" t="inlineStr">
        <is>
          <t>171 - 03 - 01 - 24</t>
        </is>
      </c>
      <c r="O503" s="3" t="n">
        <v>4</v>
      </c>
      <c r="P503" s="5" t="n"/>
      <c r="Q503" s="5" t="n"/>
      <c r="R503" s="3" t="inlineStr">
        <is>
          <t>Baik</t>
        </is>
      </c>
      <c r="S503" s="3" t="inlineStr">
        <is>
          <t>Aktif</t>
        </is>
      </c>
      <c r="T503" s="3" t="n"/>
      <c r="U503" s="3" t="inlineStr">
        <is>
          <t>ASSET TKIA-24 2025(1).xlsx | ASET TKIA 24</t>
        </is>
      </c>
    </row>
    <row r="504">
      <c r="A504" s="3" t="n">
        <v>501</v>
      </c>
      <c r="B504" s="3" t="inlineStr">
        <is>
          <t>171 - 03 - 01 - 24</t>
        </is>
      </c>
      <c r="C504" s="3" t="inlineStr">
        <is>
          <t>TKIA 24 JATIKRAMAT</t>
        </is>
      </c>
      <c r="D504" s="3" t="inlineStr">
        <is>
          <t>I / 9/ GEDUNG EKSKUL - BELAKANG</t>
        </is>
      </c>
      <c r="E504" s="3" t="inlineStr">
        <is>
          <t>Papan Standing Lukis</t>
        </is>
      </c>
      <c r="F504" s="3" t="inlineStr">
        <is>
          <t>Papan Standing Lukis</t>
        </is>
      </c>
      <c r="G504" s="3" t="n"/>
      <c r="H504" s="3" t="n"/>
      <c r="I504" s="3" t="n"/>
      <c r="J504" s="4" t="n"/>
      <c r="K504" s="3" t="n"/>
      <c r="L504" s="5" t="n"/>
      <c r="M504" s="5" t="n"/>
      <c r="N504" s="3" t="inlineStr">
        <is>
          <t>171 - 03 - 01 - 24</t>
        </is>
      </c>
      <c r="O504" s="3" t="n">
        <v>4</v>
      </c>
      <c r="P504" s="5" t="n"/>
      <c r="Q504" s="5" t="n"/>
      <c r="R504" s="3" t="inlineStr">
        <is>
          <t>Baik</t>
        </is>
      </c>
      <c r="S504" s="3" t="inlineStr">
        <is>
          <t>Aktif</t>
        </is>
      </c>
      <c r="T504" s="3" t="n"/>
      <c r="U504" s="3" t="inlineStr">
        <is>
          <t>ASSET TKIA-24 2025(1).xlsx | ASET TKIA 24</t>
        </is>
      </c>
    </row>
    <row r="505">
      <c r="A505" s="3" t="n">
        <v>502</v>
      </c>
      <c r="B505" s="3" t="inlineStr">
        <is>
          <t>171 - 03 - 01 - 24</t>
        </is>
      </c>
      <c r="C505" s="3" t="inlineStr">
        <is>
          <t>TKIA 24 JATIKRAMAT</t>
        </is>
      </c>
      <c r="D505" s="3" t="inlineStr">
        <is>
          <t>I / 9/ GEDUNG EKSKUL - BELAKANG</t>
        </is>
      </c>
      <c r="E505" s="3" t="inlineStr">
        <is>
          <t>Rak Buku</t>
        </is>
      </c>
      <c r="F505" s="3" t="inlineStr">
        <is>
          <t>Rak Buku</t>
        </is>
      </c>
      <c r="G505" s="3" t="n"/>
      <c r="H505" s="3" t="inlineStr">
        <is>
          <t>150 Cm X 110 Cm</t>
        </is>
      </c>
      <c r="I505" s="3" t="n"/>
      <c r="J505" s="4" t="n"/>
      <c r="K505" s="3" t="n"/>
      <c r="L505" s="5" t="n"/>
      <c r="M505" s="5" t="n"/>
      <c r="N505" s="3" t="inlineStr">
        <is>
          <t>171 - 03 - 01 - 24</t>
        </is>
      </c>
      <c r="O505" s="3" t="n">
        <v>4</v>
      </c>
      <c r="P505" s="5" t="n"/>
      <c r="Q505" s="5" t="n"/>
      <c r="R505" s="3" t="inlineStr">
        <is>
          <t>Baik</t>
        </is>
      </c>
      <c r="S505" s="3" t="inlineStr">
        <is>
          <t>Aktif</t>
        </is>
      </c>
      <c r="T505" s="3" t="n"/>
      <c r="U505" s="3" t="inlineStr">
        <is>
          <t>ASSET TKIA-24 2025(1).xlsx | ASET TKIA 24</t>
        </is>
      </c>
    </row>
    <row r="506">
      <c r="A506" s="3" t="n">
        <v>503</v>
      </c>
      <c r="B506" s="3" t="inlineStr">
        <is>
          <t>171 - 03 - 01 - 24</t>
        </is>
      </c>
      <c r="C506" s="3" t="inlineStr">
        <is>
          <t>TKIA 24 JATIKRAMAT</t>
        </is>
      </c>
      <c r="D506" s="3" t="inlineStr">
        <is>
          <t>I / 9/ GEDUNG EKSKUL - BELAKANG</t>
        </is>
      </c>
      <c r="E506" s="3" t="inlineStr">
        <is>
          <t>Jam Dinding</t>
        </is>
      </c>
      <c r="F506" s="3" t="inlineStr">
        <is>
          <t>Jam Dinding</t>
        </is>
      </c>
      <c r="G506" s="3" t="n"/>
      <c r="H506" s="3" t="n"/>
      <c r="I506" s="3" t="n"/>
      <c r="J506" s="4" t="n"/>
      <c r="K506" s="3" t="n"/>
      <c r="L506" s="5" t="n"/>
      <c r="M506" s="5" t="n"/>
      <c r="N506" s="3" t="inlineStr">
        <is>
          <t>171 - 03 - 01 - 24</t>
        </is>
      </c>
      <c r="O506" s="3" t="n">
        <v>4</v>
      </c>
      <c r="P506" s="5" t="n"/>
      <c r="Q506" s="5" t="n"/>
      <c r="R506" s="3" t="inlineStr">
        <is>
          <t>Baik</t>
        </is>
      </c>
      <c r="S506" s="3" t="inlineStr">
        <is>
          <t>Aktif</t>
        </is>
      </c>
      <c r="T506" s="3" t="n"/>
      <c r="U506" s="3" t="inlineStr">
        <is>
          <t>ASSET TKIA-24 2025(1).xlsx | ASET TKIA 24</t>
        </is>
      </c>
    </row>
    <row r="507">
      <c r="A507" s="3" t="n">
        <v>504</v>
      </c>
      <c r="B507" s="3" t="inlineStr">
        <is>
          <t>171 - 03 - 01 - 24</t>
        </is>
      </c>
      <c r="C507" s="3" t="inlineStr">
        <is>
          <t>TKIA 24 JATIKRAMAT</t>
        </is>
      </c>
      <c r="D507" s="3" t="inlineStr">
        <is>
          <t>I / 9/ GEDUNG EKSKUL - BELAKANG</t>
        </is>
      </c>
      <c r="E507" s="3" t="inlineStr">
        <is>
          <t>Kaligrafi</t>
        </is>
      </c>
      <c r="F507" s="3" t="inlineStr">
        <is>
          <t>Kaligrafi</t>
        </is>
      </c>
      <c r="G507" s="3" t="n"/>
      <c r="H507" s="3" t="n"/>
      <c r="I507" s="3" t="n"/>
      <c r="J507" s="4" t="n"/>
      <c r="K507" s="3" t="n"/>
      <c r="L507" s="5" t="n"/>
      <c r="M507" s="5" t="n"/>
      <c r="N507" s="3" t="inlineStr">
        <is>
          <t>171 - 03 - 01 - 24</t>
        </is>
      </c>
      <c r="O507" s="3" t="n">
        <v>4</v>
      </c>
      <c r="P507" s="5" t="n"/>
      <c r="Q507" s="5" t="n"/>
      <c r="R507" s="3" t="inlineStr">
        <is>
          <t>Baik</t>
        </is>
      </c>
      <c r="S507" s="3" t="inlineStr">
        <is>
          <t>Aktif</t>
        </is>
      </c>
      <c r="T507" s="3" t="n"/>
      <c r="U507" s="3" t="inlineStr">
        <is>
          <t>ASSET TKIA-24 2025(1).xlsx | ASET TKIA 24</t>
        </is>
      </c>
    </row>
    <row r="508">
      <c r="A508" s="3" t="n">
        <v>505</v>
      </c>
      <c r="B508" s="3" t="inlineStr">
        <is>
          <t>171 - 03 - 01 - 24</t>
        </is>
      </c>
      <c r="C508" s="3" t="inlineStr">
        <is>
          <t>TKIA 24 JATIKRAMAT</t>
        </is>
      </c>
      <c r="D508" s="3" t="inlineStr">
        <is>
          <t>I / 9/ GEDUNG EKSKUL - BELAKANG</t>
        </is>
      </c>
      <c r="E508" s="3" t="inlineStr">
        <is>
          <t>Lemari Pajangan</t>
        </is>
      </c>
      <c r="F508" s="3" t="inlineStr">
        <is>
          <t>Lemari Pajangan</t>
        </is>
      </c>
      <c r="G508" s="3" t="n"/>
      <c r="H508" s="3" t="inlineStr">
        <is>
          <t>240 Cm X 250 Cm</t>
        </is>
      </c>
      <c r="I508" s="3" t="n"/>
      <c r="J508" s="4" t="n"/>
      <c r="K508" s="3" t="n"/>
      <c r="L508" s="5" t="n"/>
      <c r="M508" s="5" t="n"/>
      <c r="N508" s="3" t="inlineStr">
        <is>
          <t>171 - 03 - 01 - 24</t>
        </is>
      </c>
      <c r="O508" s="3" t="n">
        <v>4</v>
      </c>
      <c r="P508" s="5" t="n"/>
      <c r="Q508" s="5" t="n"/>
      <c r="R508" s="3" t="inlineStr">
        <is>
          <t>Baik</t>
        </is>
      </c>
      <c r="S508" s="3" t="inlineStr">
        <is>
          <t>Aktif</t>
        </is>
      </c>
      <c r="T508" s="3" t="n"/>
      <c r="U508" s="3" t="inlineStr">
        <is>
          <t>ASSET TKIA-24 2025(1).xlsx | ASET TKIA 24</t>
        </is>
      </c>
    </row>
    <row r="509">
      <c r="A509" s="3" t="n">
        <v>506</v>
      </c>
      <c r="B509" s="3" t="inlineStr">
        <is>
          <t>171 - 03 - 01 - 24</t>
        </is>
      </c>
      <c r="C509" s="3" t="inlineStr">
        <is>
          <t>TKIA 24 JATIKRAMAT</t>
        </is>
      </c>
      <c r="D509" s="3" t="inlineStr">
        <is>
          <t>I / 9/ GEDUNG EKSKUL - BELAKANG</t>
        </is>
      </c>
      <c r="E509" s="3" t="inlineStr">
        <is>
          <t>Rak Gantung</t>
        </is>
      </c>
      <c r="F509" s="3" t="inlineStr">
        <is>
          <t>Rak Gantung</t>
        </is>
      </c>
      <c r="G509" s="3" t="n"/>
      <c r="H509" s="3" t="inlineStr">
        <is>
          <t>260 Cm X 50 Cm</t>
        </is>
      </c>
      <c r="I509" s="3" t="n"/>
      <c r="J509" s="4" t="n"/>
      <c r="K509" s="3" t="n"/>
      <c r="L509" s="5" t="n"/>
      <c r="M509" s="5" t="n"/>
      <c r="N509" s="3" t="inlineStr">
        <is>
          <t>171 - 03 - 01 - 24</t>
        </is>
      </c>
      <c r="O509" s="3" t="n">
        <v>4</v>
      </c>
      <c r="P509" s="5" t="n"/>
      <c r="Q509" s="5" t="n"/>
      <c r="R509" s="3" t="inlineStr">
        <is>
          <t>Baik</t>
        </is>
      </c>
      <c r="S509" s="3" t="inlineStr">
        <is>
          <t>Aktif</t>
        </is>
      </c>
      <c r="T509" s="3" t="n"/>
      <c r="U509" s="3" t="inlineStr">
        <is>
          <t>ASSET TKIA-24 2025(1).xlsx | ASET TKIA 24</t>
        </is>
      </c>
    </row>
    <row r="510">
      <c r="A510" s="3" t="n">
        <v>507</v>
      </c>
      <c r="B510" s="3" t="inlineStr">
        <is>
          <t>171 - 03 - 01 - 24</t>
        </is>
      </c>
      <c r="C510" s="3" t="inlineStr">
        <is>
          <t>TKIA 24 JATIKRAMAT</t>
        </is>
      </c>
      <c r="D510" s="3" t="inlineStr">
        <is>
          <t>I / 9/ GEDUNG EKSKUL - BELAKANG</t>
        </is>
      </c>
      <c r="E510" s="3" t="inlineStr">
        <is>
          <t>Standing Bas Drum</t>
        </is>
      </c>
      <c r="F510" s="3" t="inlineStr">
        <is>
          <t>Standing Bas Drum</t>
        </is>
      </c>
      <c r="G510" s="3" t="n"/>
      <c r="H510" s="3" t="n"/>
      <c r="I510" s="3" t="n"/>
      <c r="J510" s="4" t="n"/>
      <c r="K510" s="3" t="n"/>
      <c r="L510" s="5" t="n"/>
      <c r="M510" s="5" t="n"/>
      <c r="N510" s="3" t="inlineStr">
        <is>
          <t>171 - 03 - 01 - 24</t>
        </is>
      </c>
      <c r="O510" s="3" t="n">
        <v>4</v>
      </c>
      <c r="P510" s="5" t="n"/>
      <c r="Q510" s="5" t="n"/>
      <c r="R510" s="3" t="inlineStr">
        <is>
          <t>Baik</t>
        </is>
      </c>
      <c r="S510" s="3" t="inlineStr">
        <is>
          <t>Aktif</t>
        </is>
      </c>
      <c r="T510" s="3" t="n"/>
      <c r="U510" s="3" t="inlineStr">
        <is>
          <t>ASSET TKIA-24 2025(1).xlsx | ASET TKIA 24</t>
        </is>
      </c>
    </row>
    <row r="511">
      <c r="A511" s="3" t="n">
        <v>508</v>
      </c>
      <c r="B511" s="3" t="inlineStr">
        <is>
          <t>171 - 03 - 01 - 24</t>
        </is>
      </c>
      <c r="C511" s="3" t="inlineStr">
        <is>
          <t>TKIA 24 JATIKRAMAT</t>
        </is>
      </c>
      <c r="D511" s="3" t="inlineStr">
        <is>
          <t>I / 9/ GEDUNG EKSKUL - BELAKANG</t>
        </is>
      </c>
      <c r="E511" s="3" t="inlineStr">
        <is>
          <t>Standing Maching Belt</t>
        </is>
      </c>
      <c r="F511" s="3" t="inlineStr">
        <is>
          <t>Standing Maching Belt</t>
        </is>
      </c>
      <c r="G511" s="3" t="n"/>
      <c r="H511" s="3" t="n"/>
      <c r="I511" s="3" t="n"/>
      <c r="J511" s="4" t="n"/>
      <c r="K511" s="3" t="n"/>
      <c r="L511" s="5" t="n"/>
      <c r="M511" s="5" t="n"/>
      <c r="N511" s="3" t="inlineStr">
        <is>
          <t>171 - 03 - 01 - 24</t>
        </is>
      </c>
      <c r="O511" s="3" t="n">
        <v>4</v>
      </c>
      <c r="P511" s="5" t="n"/>
      <c r="Q511" s="5" t="n"/>
      <c r="R511" s="3" t="inlineStr">
        <is>
          <t>Baik</t>
        </is>
      </c>
      <c r="S511" s="3" t="inlineStr">
        <is>
          <t>Aktif</t>
        </is>
      </c>
      <c r="T511" s="3" t="n"/>
      <c r="U511" s="3" t="inlineStr">
        <is>
          <t>ASSET TKIA-24 2025(1).xlsx | ASET TKIA 24</t>
        </is>
      </c>
    </row>
    <row r="512">
      <c r="A512" s="3" t="n">
        <v>509</v>
      </c>
      <c r="B512" s="3" t="inlineStr">
        <is>
          <t>171 - 03 - 01 - 24</t>
        </is>
      </c>
      <c r="C512" s="3" t="inlineStr">
        <is>
          <t>TKIA 24 JATIKRAMAT</t>
        </is>
      </c>
      <c r="D512" s="3" t="inlineStr">
        <is>
          <t>I / 9/ GEDUNG EKSKUL - BELAKANG</t>
        </is>
      </c>
      <c r="E512" s="3" t="inlineStr">
        <is>
          <t>Standing Quadtom</t>
        </is>
      </c>
      <c r="F512" s="3" t="inlineStr">
        <is>
          <t>Standing Quadtom</t>
        </is>
      </c>
      <c r="G512" s="3" t="n"/>
      <c r="H512" s="3" t="n"/>
      <c r="I512" s="3" t="n"/>
      <c r="J512" s="4" t="n"/>
      <c r="K512" s="3" t="n"/>
      <c r="L512" s="5" t="n"/>
      <c r="M512" s="5" t="n"/>
      <c r="N512" s="3" t="inlineStr">
        <is>
          <t>171 - 03 - 01 - 24</t>
        </is>
      </c>
      <c r="O512" s="3" t="n">
        <v>4</v>
      </c>
      <c r="P512" s="5" t="n"/>
      <c r="Q512" s="5" t="n"/>
      <c r="R512" s="3" t="inlineStr">
        <is>
          <t>Baik</t>
        </is>
      </c>
      <c r="S512" s="3" t="inlineStr">
        <is>
          <t>Aktif</t>
        </is>
      </c>
      <c r="T512" s="3" t="n"/>
      <c r="U512" s="3" t="inlineStr">
        <is>
          <t>ASSET TKIA-24 2025(1).xlsx | ASET TKIA 24</t>
        </is>
      </c>
    </row>
    <row r="513">
      <c r="A513" s="3" t="n">
        <v>510</v>
      </c>
      <c r="B513" s="3" t="inlineStr">
        <is>
          <t>171 - 03 - 01 - 24</t>
        </is>
      </c>
      <c r="C513" s="3" t="inlineStr">
        <is>
          <t>TKIA 24 JATIKRAMAT</t>
        </is>
      </c>
      <c r="D513" s="3" t="inlineStr">
        <is>
          <t>I / 9/ GEDUNG EKSKUL - BELAKANG</t>
        </is>
      </c>
      <c r="E513" s="3" t="inlineStr">
        <is>
          <t>Vinnil</t>
        </is>
      </c>
      <c r="F513" s="3" t="inlineStr">
        <is>
          <t>Vinnil</t>
        </is>
      </c>
      <c r="G513" s="3" t="n"/>
      <c r="H513" s="3" t="inlineStr">
        <is>
          <t>580 Cm X 630 Cm</t>
        </is>
      </c>
      <c r="I513" s="3" t="n"/>
      <c r="J513" s="4" t="n"/>
      <c r="K513" s="3" t="n"/>
      <c r="L513" s="5" t="n"/>
      <c r="M513" s="5" t="n"/>
      <c r="N513" s="3" t="inlineStr">
        <is>
          <t>171 - 03 - 01 - 24</t>
        </is>
      </c>
      <c r="O513" s="3" t="n">
        <v>4</v>
      </c>
      <c r="P513" s="5" t="n"/>
      <c r="Q513" s="5" t="n"/>
      <c r="R513" s="3" t="inlineStr">
        <is>
          <t>Baik</t>
        </is>
      </c>
      <c r="S513" s="3" t="inlineStr">
        <is>
          <t>Aktif</t>
        </is>
      </c>
      <c r="T513" s="3" t="n"/>
      <c r="U513" s="3" t="inlineStr">
        <is>
          <t>ASSET TKIA-24 2025(1).xlsx | ASET TKIA 24</t>
        </is>
      </c>
    </row>
    <row r="514">
      <c r="A514" s="3" t="n">
        <v>511</v>
      </c>
      <c r="B514" s="3" t="inlineStr">
        <is>
          <t>171 - 03 - 03 - 24</t>
        </is>
      </c>
      <c r="C514" s="3" t="inlineStr">
        <is>
          <t>TKIA 24 JATIKRAMAT</t>
        </is>
      </c>
      <c r="D514" s="3" t="inlineStr">
        <is>
          <t>I / 9/ GEDUNG EKSKUL - BELAKANG</t>
        </is>
      </c>
      <c r="E514" s="3" t="inlineStr">
        <is>
          <t>Tenda Manasik</t>
        </is>
      </c>
      <c r="F514" s="3" t="inlineStr">
        <is>
          <t>Tenda Manasik</t>
        </is>
      </c>
      <c r="G514" s="3" t="n"/>
      <c r="H514" s="3" t="n"/>
      <c r="I514" s="3" t="n"/>
      <c r="J514" s="4" t="n"/>
      <c r="K514" s="3" t="n"/>
      <c r="L514" s="5" t="n"/>
      <c r="M514" s="5" t="n"/>
      <c r="N514" s="3" t="inlineStr">
        <is>
          <t>171 - 03 - 03 - 24</t>
        </is>
      </c>
      <c r="O514" s="3" t="n">
        <v>4</v>
      </c>
      <c r="P514" s="5" t="n"/>
      <c r="Q514" s="5" t="n"/>
      <c r="R514" s="3" t="inlineStr">
        <is>
          <t>Baik</t>
        </is>
      </c>
      <c r="S514" s="3" t="inlineStr">
        <is>
          <t>Aktif</t>
        </is>
      </c>
      <c r="T514" s="3" t="n"/>
      <c r="U514" s="3" t="inlineStr">
        <is>
          <t>ASSET TKIA-24 2025(1).xlsx | ASET TKIA 24</t>
        </is>
      </c>
    </row>
    <row r="515">
      <c r="A515" s="3" t="n">
        <v>512</v>
      </c>
      <c r="B515" s="3" t="inlineStr">
        <is>
          <t>171 - 03 - 01 - 24</t>
        </is>
      </c>
      <c r="C515" s="3" t="inlineStr">
        <is>
          <t>TKIA 24 JATIKRAMAT</t>
        </is>
      </c>
      <c r="D515" s="3" t="inlineStr">
        <is>
          <t>I / 9/ GEDUNG EKSKUL - BELAKANG</t>
        </is>
      </c>
      <c r="E515" s="3" t="inlineStr">
        <is>
          <t>Cekar</t>
        </is>
      </c>
      <c r="F515" s="3" t="inlineStr">
        <is>
          <t>Cekar</t>
        </is>
      </c>
      <c r="G515" s="3" t="n"/>
      <c r="H515" s="3" t="n"/>
      <c r="I515" s="3" t="n"/>
      <c r="J515" s="4" t="n"/>
      <c r="K515" s="3" t="n"/>
      <c r="L515" s="5" t="n"/>
      <c r="M515" s="5" t="n"/>
      <c r="N515" s="3" t="inlineStr">
        <is>
          <t>171 - 03 - 01 - 24</t>
        </is>
      </c>
      <c r="O515" s="3" t="n">
        <v>4</v>
      </c>
      <c r="P515" s="5" t="n"/>
      <c r="Q515" s="5" t="n"/>
      <c r="R515" s="3" t="inlineStr">
        <is>
          <t>Baik</t>
        </is>
      </c>
      <c r="S515" s="3" t="inlineStr">
        <is>
          <t>Aktif</t>
        </is>
      </c>
      <c r="T515" s="3" t="n"/>
      <c r="U515" s="3" t="inlineStr">
        <is>
          <t>ASSET TKIA-24 2025(1).xlsx | ASET TKIA 24</t>
        </is>
      </c>
    </row>
    <row r="516">
      <c r="A516" s="3" t="n">
        <v>513</v>
      </c>
      <c r="B516" s="3" t="inlineStr">
        <is>
          <t>171 - 03 - 03 - 24</t>
        </is>
      </c>
      <c r="C516" s="3" t="inlineStr">
        <is>
          <t>TKIA 24 JATIKRAMAT</t>
        </is>
      </c>
      <c r="D516" s="3" t="inlineStr">
        <is>
          <t>I / 10/ UKS</t>
        </is>
      </c>
      <c r="E516" s="3" t="inlineStr">
        <is>
          <t>Locker</t>
        </is>
      </c>
      <c r="F516" s="3" t="inlineStr">
        <is>
          <t>Locker</t>
        </is>
      </c>
      <c r="G516" s="3" t="inlineStr">
        <is>
          <t>Kayu</t>
        </is>
      </c>
      <c r="H516" s="3" t="inlineStr">
        <is>
          <t>120 Cm X90 cm</t>
        </is>
      </c>
      <c r="I516" s="3" t="inlineStr">
        <is>
          <t>1 Unit</t>
        </is>
      </c>
      <c r="J516" s="4" t="n"/>
      <c r="K516" s="3" t="n">
        <v>2018</v>
      </c>
      <c r="L516" s="5" t="n"/>
      <c r="M516" s="5" t="n"/>
      <c r="N516" s="3" t="inlineStr">
        <is>
          <t>171 - 03 - 03 - 24</t>
        </is>
      </c>
      <c r="O516" s="3" t="n">
        <v>4</v>
      </c>
      <c r="P516" s="5" t="n"/>
      <c r="Q516" s="5" t="n"/>
      <c r="R516" s="3" t="inlineStr">
        <is>
          <t>Baik</t>
        </is>
      </c>
      <c r="S516" s="3" t="inlineStr">
        <is>
          <t>Aktif</t>
        </is>
      </c>
      <c r="T516" s="3" t="n"/>
      <c r="U516" s="3" t="inlineStr">
        <is>
          <t>ASSET TKIA-24 2025(1).xlsx | ASET TKIA 24</t>
        </is>
      </c>
    </row>
    <row r="517">
      <c r="A517" s="3" t="n">
        <v>514</v>
      </c>
      <c r="B517" s="3" t="inlineStr">
        <is>
          <t>171 - 03 - 03 - 24</t>
        </is>
      </c>
      <c r="C517" s="3" t="inlineStr">
        <is>
          <t>TKIA 24 JATIKRAMAT</t>
        </is>
      </c>
      <c r="D517" s="3" t="inlineStr">
        <is>
          <t>I / 10/ UKS</t>
        </is>
      </c>
      <c r="E517" s="3" t="inlineStr">
        <is>
          <t>Tempat Tidur Periksa</t>
        </is>
      </c>
      <c r="F517" s="3" t="inlineStr">
        <is>
          <t>Tempat Tidur Periksa</t>
        </is>
      </c>
      <c r="G517" s="3" t="inlineStr">
        <is>
          <t>Besi / Kulit</t>
        </is>
      </c>
      <c r="H517" s="3" t="inlineStr">
        <is>
          <t>L 70 Cm X T 100 CM X P 200 Cm</t>
        </is>
      </c>
      <c r="I517" s="3" t="inlineStr">
        <is>
          <t>1 Unit</t>
        </is>
      </c>
      <c r="J517" s="4" t="n"/>
      <c r="K517" s="3" t="n">
        <v>2018</v>
      </c>
      <c r="L517" s="5" t="n"/>
      <c r="M517" s="5" t="n"/>
      <c r="N517" s="3" t="inlineStr">
        <is>
          <t>171 - 03 - 03 - 24</t>
        </is>
      </c>
      <c r="O517" s="3" t="n">
        <v>4</v>
      </c>
      <c r="P517" s="5" t="n"/>
      <c r="Q517" s="5" t="n"/>
      <c r="R517" s="3" t="inlineStr">
        <is>
          <t>Baik</t>
        </is>
      </c>
      <c r="S517" s="3" t="inlineStr">
        <is>
          <t>Aktif</t>
        </is>
      </c>
      <c r="T517" s="3" t="n"/>
      <c r="U517" s="3" t="inlineStr">
        <is>
          <t>ASSET TKIA-24 2025(1).xlsx | ASET TKIA 24</t>
        </is>
      </c>
    </row>
    <row r="518">
      <c r="A518" s="3" t="n">
        <v>515</v>
      </c>
      <c r="B518" s="3" t="inlineStr">
        <is>
          <t>171 - 03 - 03 - 24</t>
        </is>
      </c>
      <c r="C518" s="3" t="inlineStr">
        <is>
          <t>TKIA 24 JATIKRAMAT</t>
        </is>
      </c>
      <c r="D518" s="3" t="inlineStr">
        <is>
          <t>I / 10/ UKS</t>
        </is>
      </c>
      <c r="E518" s="3" t="inlineStr">
        <is>
          <t>Meja</t>
        </is>
      </c>
      <c r="F518" s="3" t="inlineStr">
        <is>
          <t>Meja</t>
        </is>
      </c>
      <c r="G518" s="3" t="inlineStr">
        <is>
          <t>Kayu</t>
        </is>
      </c>
      <c r="H518" s="3" t="inlineStr">
        <is>
          <t>60 x 110 cm</t>
        </is>
      </c>
      <c r="I518" s="3" t="inlineStr">
        <is>
          <t>1 Unit</t>
        </is>
      </c>
      <c r="J518" s="4" t="n"/>
      <c r="K518" s="3" t="n">
        <v>2018</v>
      </c>
      <c r="L518" s="5" t="n"/>
      <c r="M518" s="5" t="n"/>
      <c r="N518" s="3" t="inlineStr">
        <is>
          <t>171 - 03 - 03 - 24</t>
        </is>
      </c>
      <c r="O518" s="3" t="n">
        <v>4</v>
      </c>
      <c r="P518" s="5" t="n"/>
      <c r="Q518" s="5" t="n"/>
      <c r="R518" s="3" t="inlineStr">
        <is>
          <t>Baik</t>
        </is>
      </c>
      <c r="S518" s="3" t="inlineStr">
        <is>
          <t>Aktif</t>
        </is>
      </c>
      <c r="T518" s="3" t="n"/>
      <c r="U518" s="3" t="inlineStr">
        <is>
          <t>ASSET TKIA-24 2025(1).xlsx | ASET TKIA 24</t>
        </is>
      </c>
    </row>
    <row r="519">
      <c r="A519" s="3" t="n">
        <v>516</v>
      </c>
      <c r="B519" s="3" t="inlineStr">
        <is>
          <t>171 - 03 - 03 - 24</t>
        </is>
      </c>
      <c r="C519" s="3" t="inlineStr">
        <is>
          <t>TKIA 24 JATIKRAMAT</t>
        </is>
      </c>
      <c r="D519" s="3" t="inlineStr">
        <is>
          <t>I / 10/ UKS</t>
        </is>
      </c>
      <c r="E519" s="3" t="inlineStr">
        <is>
          <t>Kotak P3K</t>
        </is>
      </c>
      <c r="F519" s="3" t="inlineStr">
        <is>
          <t>Kotak P3K</t>
        </is>
      </c>
      <c r="G519" s="3" t="inlineStr">
        <is>
          <t>Kaca</t>
        </is>
      </c>
      <c r="H519" s="3" t="inlineStr">
        <is>
          <t>30 Cm X 50 Cm</t>
        </is>
      </c>
      <c r="I519" s="3" t="inlineStr">
        <is>
          <t>1 Unit</t>
        </is>
      </c>
      <c r="J519" s="4" t="n"/>
      <c r="K519" s="3" t="n">
        <v>2018</v>
      </c>
      <c r="L519" s="5" t="n"/>
      <c r="M519" s="5" t="n"/>
      <c r="N519" s="3" t="inlineStr">
        <is>
          <t>171 - 03 - 03 - 24</t>
        </is>
      </c>
      <c r="O519" s="3" t="n">
        <v>4</v>
      </c>
      <c r="P519" s="5" t="n"/>
      <c r="Q519" s="5" t="n"/>
      <c r="R519" s="3" t="inlineStr">
        <is>
          <t>Baik</t>
        </is>
      </c>
      <c r="S519" s="3" t="inlineStr">
        <is>
          <t>Aktif</t>
        </is>
      </c>
      <c r="T519" s="3" t="n"/>
      <c r="U519" s="3" t="inlineStr">
        <is>
          <t>ASSET TKIA-24 2025(1).xlsx | ASET TKIA 24</t>
        </is>
      </c>
    </row>
    <row r="520">
      <c r="A520" s="3" t="n">
        <v>517</v>
      </c>
      <c r="B520" s="3" t="inlineStr">
        <is>
          <t>171 - 03 - 03 - 24</t>
        </is>
      </c>
      <c r="C520" s="3" t="inlineStr">
        <is>
          <t>TKIA 24 JATIKRAMAT</t>
        </is>
      </c>
      <c r="D520" s="3" t="inlineStr">
        <is>
          <t>I / 10/ UKS</t>
        </is>
      </c>
      <c r="E520" s="3" t="inlineStr">
        <is>
          <t>Karpet</t>
        </is>
      </c>
      <c r="F520" s="3" t="inlineStr">
        <is>
          <t>Karpet</t>
        </is>
      </c>
      <c r="G520" s="3" t="inlineStr">
        <is>
          <t>Benang</t>
        </is>
      </c>
      <c r="H520" s="3" t="inlineStr">
        <is>
          <t>150 Cm X 110 Cm</t>
        </is>
      </c>
      <c r="I520" s="3" t="inlineStr">
        <is>
          <t>1 Unit</t>
        </is>
      </c>
      <c r="J520" s="4" t="n"/>
      <c r="K520" s="3" t="n">
        <v>2018</v>
      </c>
      <c r="L520" s="5" t="n"/>
      <c r="M520" s="5" t="n"/>
      <c r="N520" s="3" t="inlineStr">
        <is>
          <t>171 - 03 - 03 - 24</t>
        </is>
      </c>
      <c r="O520" s="3" t="n">
        <v>4</v>
      </c>
      <c r="P520" s="5" t="n"/>
      <c r="Q520" s="5" t="n"/>
      <c r="R520" s="3" t="inlineStr">
        <is>
          <t>Baik</t>
        </is>
      </c>
      <c r="S520" s="3" t="inlineStr">
        <is>
          <t>Aktif</t>
        </is>
      </c>
      <c r="T520" s="3" t="n"/>
      <c r="U520" s="3" t="inlineStr">
        <is>
          <t>ASSET TKIA-24 2025(1).xlsx | ASET TKIA 24</t>
        </is>
      </c>
    </row>
    <row r="521">
      <c r="A521" s="3" t="n">
        <v>518</v>
      </c>
      <c r="B521" s="3" t="inlineStr">
        <is>
          <t>171 - 03 - 03 - 24</t>
        </is>
      </c>
      <c r="C521" s="3" t="inlineStr">
        <is>
          <t>TKIA 24 JATIKRAMAT</t>
        </is>
      </c>
      <c r="D521" s="3" t="inlineStr">
        <is>
          <t>I / 10/ UKS</t>
        </is>
      </c>
      <c r="E521" s="3" t="inlineStr">
        <is>
          <t>Karpet</t>
        </is>
      </c>
      <c r="F521" s="3" t="inlineStr">
        <is>
          <t>Karpet</t>
        </is>
      </c>
      <c r="G521" s="3" t="inlineStr">
        <is>
          <t>Benang</t>
        </is>
      </c>
      <c r="H521" s="3" t="inlineStr">
        <is>
          <t>220 Cm X 150 Cm</t>
        </is>
      </c>
      <c r="I521" s="3" t="inlineStr">
        <is>
          <t>1 Unit</t>
        </is>
      </c>
      <c r="J521" s="4" t="n"/>
      <c r="K521" s="3" t="n">
        <v>2018</v>
      </c>
      <c r="L521" s="5" t="n"/>
      <c r="M521" s="5" t="n"/>
      <c r="N521" s="3" t="inlineStr">
        <is>
          <t>171 - 03 - 03 - 24</t>
        </is>
      </c>
      <c r="O521" s="3" t="n">
        <v>4</v>
      </c>
      <c r="P521" s="5" t="n"/>
      <c r="Q521" s="5" t="n"/>
      <c r="R521" s="3" t="inlineStr">
        <is>
          <t>Baik</t>
        </is>
      </c>
      <c r="S521" s="3" t="inlineStr">
        <is>
          <t>Aktif</t>
        </is>
      </c>
      <c r="T521" s="3" t="n"/>
      <c r="U521" s="3" t="inlineStr">
        <is>
          <t>ASSET TKIA-24 2025(1).xlsx | ASET TKIA 24</t>
        </is>
      </c>
    </row>
    <row r="522">
      <c r="A522" s="3" t="n">
        <v>519</v>
      </c>
      <c r="B522" s="3" t="inlineStr">
        <is>
          <t>171 - 03 - 03 - 24</t>
        </is>
      </c>
      <c r="C522" s="3" t="inlineStr">
        <is>
          <t>TKIA 24 JATIKRAMAT</t>
        </is>
      </c>
      <c r="D522" s="3" t="inlineStr">
        <is>
          <t>I / 10/ UKS</t>
        </is>
      </c>
      <c r="E522" s="3" t="inlineStr">
        <is>
          <t>Alat cuci tangan</t>
        </is>
      </c>
      <c r="F522" s="3" t="inlineStr">
        <is>
          <t>Alat cuci tangan</t>
        </is>
      </c>
      <c r="G522" s="3" t="inlineStr">
        <is>
          <t>Besi</t>
        </is>
      </c>
      <c r="H522" s="3" t="inlineStr">
        <is>
          <t>100 x 30 x 40 cm</t>
        </is>
      </c>
      <c r="I522" s="3" t="inlineStr">
        <is>
          <t>1 Unit</t>
        </is>
      </c>
      <c r="J522" s="4" t="n"/>
      <c r="K522" s="3" t="n">
        <v>2018</v>
      </c>
      <c r="L522" s="5" t="n"/>
      <c r="M522" s="5" t="n"/>
      <c r="N522" s="3" t="inlineStr">
        <is>
          <t>171 - 03 - 03 - 24</t>
        </is>
      </c>
      <c r="O522" s="3" t="n">
        <v>4</v>
      </c>
      <c r="P522" s="5" t="n"/>
      <c r="Q522" s="5" t="n"/>
      <c r="R522" s="3" t="inlineStr">
        <is>
          <t>Baik</t>
        </is>
      </c>
      <c r="S522" s="3" t="inlineStr">
        <is>
          <t>Aktif</t>
        </is>
      </c>
      <c r="T522" s="3" t="n"/>
      <c r="U522" s="3" t="inlineStr">
        <is>
          <t>ASSET TKIA-24 2025(1).xlsx | ASET TKIA 24</t>
        </is>
      </c>
    </row>
    <row r="523">
      <c r="A523" s="3" t="n">
        <v>520</v>
      </c>
      <c r="B523" s="3" t="inlineStr">
        <is>
          <t>171 - 03 - 03 - 24</t>
        </is>
      </c>
      <c r="C523" s="3" t="inlineStr">
        <is>
          <t>TKIA 24 JATIKRAMAT</t>
        </is>
      </c>
      <c r="D523" s="3" t="inlineStr">
        <is>
          <t>I / 11/ GUDANG - KORIDOR DEKAT TANGGA</t>
        </is>
      </c>
      <c r="E523" s="3" t="inlineStr">
        <is>
          <t>Set Tenda Manasik</t>
        </is>
      </c>
      <c r="F523" s="3" t="inlineStr">
        <is>
          <t>Set Tenda Manasik</t>
        </is>
      </c>
      <c r="G523" s="3" t="inlineStr">
        <is>
          <t>Besi</t>
        </is>
      </c>
      <c r="H523" s="3" t="inlineStr">
        <is>
          <t>2 1/2 x 2 1/2</t>
        </is>
      </c>
      <c r="I523" s="3" t="n"/>
      <c r="J523" s="4" t="n"/>
      <c r="K523" s="3" t="n"/>
      <c r="L523" s="5" t="n"/>
      <c r="M523" s="5" t="n"/>
      <c r="N523" s="3" t="inlineStr">
        <is>
          <t>171 - 03 - 03 - 24</t>
        </is>
      </c>
      <c r="O523" s="3" t="n">
        <v>4</v>
      </c>
      <c r="P523" s="5" t="n"/>
      <c r="Q523" s="5" t="n"/>
      <c r="R523" s="3" t="inlineStr">
        <is>
          <t>Baik</t>
        </is>
      </c>
      <c r="S523" s="3" t="inlineStr">
        <is>
          <t>Aktif</t>
        </is>
      </c>
      <c r="T523" s="3" t="n"/>
      <c r="U523" s="3" t="inlineStr">
        <is>
          <t>ASSET TKIA-24 2025(1).xlsx | ASET TKIA 24</t>
        </is>
      </c>
    </row>
    <row r="524">
      <c r="A524" s="3" t="n">
        <v>521</v>
      </c>
      <c r="B524" s="3" t="inlineStr">
        <is>
          <t>171 - 03 - 03 - 24</t>
        </is>
      </c>
      <c r="C524" s="3" t="inlineStr">
        <is>
          <t>TKIA 24 JATIKRAMAT</t>
        </is>
      </c>
      <c r="D524" s="3" t="inlineStr">
        <is>
          <t>I / 11/ GUDANG - KORIDOR DEKAT TANGGA</t>
        </is>
      </c>
      <c r="E524" s="3" t="inlineStr">
        <is>
          <t>Box Kontainer</t>
        </is>
      </c>
      <c r="F524" s="3" t="inlineStr">
        <is>
          <t>Box Kontainer</t>
        </is>
      </c>
      <c r="G524" s="3" t="inlineStr">
        <is>
          <t>Plastik</t>
        </is>
      </c>
      <c r="H524" s="3" t="inlineStr">
        <is>
          <t>78 cm x 60 cm</t>
        </is>
      </c>
      <c r="I524" s="3" t="n"/>
      <c r="J524" s="4" t="n"/>
      <c r="K524" s="3" t="n"/>
      <c r="L524" s="5" t="n"/>
      <c r="M524" s="5" t="n"/>
      <c r="N524" s="3" t="inlineStr">
        <is>
          <t>171 - 03 - 03 - 24</t>
        </is>
      </c>
      <c r="O524" s="3" t="n">
        <v>4</v>
      </c>
      <c r="P524" s="5" t="n"/>
      <c r="Q524" s="5" t="n"/>
      <c r="R524" s="3" t="inlineStr">
        <is>
          <t>Baik</t>
        </is>
      </c>
      <c r="S524" s="3" t="inlineStr">
        <is>
          <t>Aktif</t>
        </is>
      </c>
      <c r="T524" s="3" t="n"/>
      <c r="U524" s="3" t="inlineStr">
        <is>
          <t>ASSET TKIA-24 2025(1).xlsx | ASET TKIA 24</t>
        </is>
      </c>
    </row>
    <row r="525">
      <c r="A525" s="3" t="n">
        <v>522</v>
      </c>
      <c r="B525" s="3" t="inlineStr">
        <is>
          <t>171 - 03 - 03 - 24</t>
        </is>
      </c>
      <c r="C525" s="3" t="inlineStr">
        <is>
          <t>TKIA 24 JATIKRAMAT</t>
        </is>
      </c>
      <c r="D525" s="3" t="inlineStr">
        <is>
          <t>I / 11/ GUDANG - KORIDOR DEKAT TANGGA</t>
        </is>
      </c>
      <c r="E525" s="3" t="inlineStr">
        <is>
          <t>Karpet</t>
        </is>
      </c>
      <c r="F525" s="3" t="inlineStr">
        <is>
          <t>Karpet</t>
        </is>
      </c>
      <c r="G525" s="3" t="inlineStr">
        <is>
          <t>Benang</t>
        </is>
      </c>
      <c r="H525" s="3" t="inlineStr">
        <is>
          <t>330 cm x 247 cm</t>
        </is>
      </c>
      <c r="I525" s="3" t="n"/>
      <c r="J525" s="4" t="n"/>
      <c r="K525" s="3" t="n"/>
      <c r="L525" s="5" t="n"/>
      <c r="M525" s="5" t="n"/>
      <c r="N525" s="3" t="inlineStr">
        <is>
          <t>171 - 03 - 03 - 24</t>
        </is>
      </c>
      <c r="O525" s="3" t="n">
        <v>4</v>
      </c>
      <c r="P525" s="5" t="n"/>
      <c r="Q525" s="5" t="n"/>
      <c r="R525" s="3" t="n"/>
      <c r="S525" s="3" t="inlineStr">
        <is>
          <t>Aktif</t>
        </is>
      </c>
      <c r="T525" s="3" t="n"/>
      <c r="U525" s="3" t="inlineStr">
        <is>
          <t>ASSET TKIA-24 2025(1).xlsx | ASET TKIA 24</t>
        </is>
      </c>
    </row>
    <row r="526">
      <c r="A526" s="3" t="n">
        <v>523</v>
      </c>
      <c r="B526" s="3" t="inlineStr">
        <is>
          <t>171 - 03 - 03 - 24</t>
        </is>
      </c>
      <c r="C526" s="3" t="inlineStr">
        <is>
          <t>TKIA 24 JATIKRAMAT</t>
        </is>
      </c>
      <c r="D526" s="3" t="inlineStr">
        <is>
          <t>I / 11/ GUDANG - KORIDOR DEKAT TANGGA</t>
        </is>
      </c>
      <c r="E526" s="3" t="inlineStr">
        <is>
          <t>Terpal</t>
        </is>
      </c>
      <c r="F526" s="3" t="inlineStr">
        <is>
          <t>Terpal</t>
        </is>
      </c>
      <c r="G526" s="3" t="inlineStr">
        <is>
          <t>Plastik</t>
        </is>
      </c>
      <c r="H526" s="3" t="inlineStr">
        <is>
          <t>400 cm x 200 cm</t>
        </is>
      </c>
      <c r="I526" s="3" t="n"/>
      <c r="J526" s="4" t="n"/>
      <c r="K526" s="3" t="n"/>
      <c r="L526" s="5" t="n"/>
      <c r="M526" s="5" t="n"/>
      <c r="N526" s="3" t="inlineStr">
        <is>
          <t>171 - 03 - 03 - 24</t>
        </is>
      </c>
      <c r="O526" s="3" t="n">
        <v>4</v>
      </c>
      <c r="P526" s="5" t="n"/>
      <c r="Q526" s="5" t="n"/>
      <c r="R526" s="3" t="inlineStr">
        <is>
          <t>Baik</t>
        </is>
      </c>
      <c r="S526" s="3" t="inlineStr">
        <is>
          <t>Aktif</t>
        </is>
      </c>
      <c r="T526" s="3" t="n"/>
      <c r="U526" s="3" t="inlineStr">
        <is>
          <t>ASSET TKIA-24 2025(1).xlsx | ASET TKIA 24</t>
        </is>
      </c>
    </row>
    <row r="527">
      <c r="A527" s="3" t="n">
        <v>524</v>
      </c>
      <c r="B527" s="3" t="inlineStr">
        <is>
          <t>171 - 03 - 03 - 24</t>
        </is>
      </c>
      <c r="C527" s="3" t="inlineStr">
        <is>
          <t>TKIA 24 JATIKRAMAT</t>
        </is>
      </c>
      <c r="D527" s="3" t="inlineStr">
        <is>
          <t>I / 11/ GUDANG - KORIDOR DEKAT TANGGA</t>
        </is>
      </c>
      <c r="E527" s="3" t="inlineStr">
        <is>
          <t>Tikar</t>
        </is>
      </c>
      <c r="F527" s="3" t="inlineStr">
        <is>
          <t>Tikar</t>
        </is>
      </c>
      <c r="G527" s="3" t="inlineStr">
        <is>
          <t>Daun</t>
        </is>
      </c>
      <c r="H527" s="3" t="inlineStr">
        <is>
          <t>300 cm x 200 cm</t>
        </is>
      </c>
      <c r="I527" s="3" t="n"/>
      <c r="J527" s="4" t="n"/>
      <c r="K527" s="3" t="n"/>
      <c r="L527" s="5" t="n"/>
      <c r="M527" s="5" t="n"/>
      <c r="N527" s="3" t="inlineStr">
        <is>
          <t>171 - 03 - 03 - 24</t>
        </is>
      </c>
      <c r="O527" s="3" t="n">
        <v>4</v>
      </c>
      <c r="P527" s="5" t="n"/>
      <c r="Q527" s="5" t="n"/>
      <c r="R527" s="3" t="inlineStr">
        <is>
          <t>Baik</t>
        </is>
      </c>
      <c r="S527" s="3" t="inlineStr">
        <is>
          <t>Aktif</t>
        </is>
      </c>
      <c r="T527" s="3" t="n"/>
      <c r="U527" s="3" t="inlineStr">
        <is>
          <t>ASSET TKIA-24 2025(1).xlsx | ASET TKIA 24</t>
        </is>
      </c>
    </row>
    <row r="528">
      <c r="A528" s="3" t="n">
        <v>525</v>
      </c>
      <c r="B528" s="3" t="inlineStr">
        <is>
          <t>171 - 03 - 03 - 24</t>
        </is>
      </c>
      <c r="C528" s="3" t="inlineStr">
        <is>
          <t>TKIA 24 JATIKRAMAT</t>
        </is>
      </c>
      <c r="D528" s="3" t="inlineStr">
        <is>
          <t>I / 12/ GUDANG - KORIDOR DEKAT TANGGA</t>
        </is>
      </c>
      <c r="E528" s="3" t="inlineStr">
        <is>
          <t>Mainan Bola Dunia</t>
        </is>
      </c>
      <c r="F528" s="3" t="inlineStr">
        <is>
          <t>Mainan Bola Dunia</t>
        </is>
      </c>
      <c r="G528" s="3" t="inlineStr">
        <is>
          <t>Besi</t>
        </is>
      </c>
      <c r="H528" s="3" t="n"/>
      <c r="I528" s="3" t="n"/>
      <c r="J528" s="4" t="n"/>
      <c r="K528" s="3" t="n"/>
      <c r="L528" s="5" t="n"/>
      <c r="M528" s="5" t="n"/>
      <c r="N528" s="3" t="inlineStr">
        <is>
          <t>171 - 03 - 03 - 24</t>
        </is>
      </c>
      <c r="O528" s="3" t="n">
        <v>4</v>
      </c>
      <c r="P528" s="5" t="n"/>
      <c r="Q528" s="5" t="n"/>
      <c r="R528" s="3" t="inlineStr">
        <is>
          <t>Baik</t>
        </is>
      </c>
      <c r="S528" s="3" t="inlineStr">
        <is>
          <t>Aktif</t>
        </is>
      </c>
      <c r="T528" s="3" t="n"/>
      <c r="U528" s="3" t="inlineStr">
        <is>
          <t>ASSET TKIA-24 2025(1).xlsx | ASET TKIA 24</t>
        </is>
      </c>
    </row>
    <row r="529">
      <c r="A529" s="3" t="n">
        <v>526</v>
      </c>
      <c r="B529" s="3" t="inlineStr">
        <is>
          <t>171 - 03 - 03 - 24</t>
        </is>
      </c>
      <c r="C529" s="3" t="inlineStr">
        <is>
          <t>TKIA 24 JATIKRAMAT</t>
        </is>
      </c>
      <c r="D529" s="3" t="inlineStr">
        <is>
          <t>I / 12/ GUDANG - KORIDOR DEKAT TANGGA</t>
        </is>
      </c>
      <c r="E529" s="3" t="inlineStr">
        <is>
          <t>Mainan Jungkit</t>
        </is>
      </c>
      <c r="F529" s="3" t="inlineStr">
        <is>
          <t>Mainan Jungkit</t>
        </is>
      </c>
      <c r="G529" s="3" t="inlineStr">
        <is>
          <t>Besi</t>
        </is>
      </c>
      <c r="H529" s="3" t="n"/>
      <c r="I529" s="3" t="n"/>
      <c r="J529" s="4" t="n"/>
      <c r="K529" s="3" t="n"/>
      <c r="L529" s="5" t="n"/>
      <c r="M529" s="5" t="n"/>
      <c r="N529" s="3" t="inlineStr">
        <is>
          <t>171 - 03 - 03 - 24</t>
        </is>
      </c>
      <c r="O529" s="3" t="n">
        <v>4</v>
      </c>
      <c r="P529" s="5" t="n"/>
      <c r="Q529" s="5" t="n"/>
      <c r="R529" s="3" t="inlineStr">
        <is>
          <t>Baik</t>
        </is>
      </c>
      <c r="S529" s="3" t="inlineStr">
        <is>
          <t>Aktif</t>
        </is>
      </c>
      <c r="T529" s="3" t="n"/>
      <c r="U529" s="3" t="inlineStr">
        <is>
          <t>ASSET TKIA-24 2025(1).xlsx | ASET TKIA 24</t>
        </is>
      </c>
    </row>
    <row r="530">
      <c r="A530" s="3" t="n">
        <v>527</v>
      </c>
      <c r="B530" s="3" t="inlineStr">
        <is>
          <t>171 - 03 - 03 - 24</t>
        </is>
      </c>
      <c r="C530" s="3" t="inlineStr">
        <is>
          <t>TKIA 24 JATIKRAMAT</t>
        </is>
      </c>
      <c r="D530" s="3" t="inlineStr">
        <is>
          <t>I / 12/ GUDANG - KORIDOR DEKAT TANGGA</t>
        </is>
      </c>
      <c r="E530" s="3" t="inlineStr">
        <is>
          <t>Mainan Prosotan</t>
        </is>
      </c>
      <c r="F530" s="3" t="inlineStr">
        <is>
          <t>Mainan Prosotan</t>
        </is>
      </c>
      <c r="G530" s="3" t="inlineStr">
        <is>
          <t>Besi</t>
        </is>
      </c>
      <c r="H530" s="3" t="n"/>
      <c r="I530" s="3" t="n"/>
      <c r="J530" s="4" t="n"/>
      <c r="K530" s="3" t="n"/>
      <c r="L530" s="5" t="n"/>
      <c r="M530" s="5" t="n"/>
      <c r="N530" s="3" t="inlineStr">
        <is>
          <t>171 - 03 - 03 - 24</t>
        </is>
      </c>
      <c r="O530" s="3" t="n">
        <v>4</v>
      </c>
      <c r="P530" s="5" t="n"/>
      <c r="Q530" s="5" t="n"/>
      <c r="R530" s="3" t="inlineStr">
        <is>
          <t>Baik</t>
        </is>
      </c>
      <c r="S530" s="3" t="inlineStr">
        <is>
          <t>Aktif</t>
        </is>
      </c>
      <c r="T530" s="3" t="n"/>
      <c r="U530" s="3" t="inlineStr">
        <is>
          <t>ASSET TKIA-24 2025(1).xlsx | ASET TKIA 24</t>
        </is>
      </c>
    </row>
    <row r="531">
      <c r="A531" s="3" t="n">
        <v>528</v>
      </c>
      <c r="B531" s="3" t="inlineStr">
        <is>
          <t>171 - 03 - 03 - 24</t>
        </is>
      </c>
      <c r="C531" s="3" t="inlineStr">
        <is>
          <t>TKIA 24 JATIKRAMAT</t>
        </is>
      </c>
      <c r="D531" s="3" t="inlineStr">
        <is>
          <t>I / 12/ GUDANG - KORIDOR DEKAT TANGGA</t>
        </is>
      </c>
      <c r="E531" s="3" t="inlineStr">
        <is>
          <t>Mainan Ayunan Double</t>
        </is>
      </c>
      <c r="F531" s="3" t="inlineStr">
        <is>
          <t>Mainan Ayunan Double</t>
        </is>
      </c>
      <c r="G531" s="3" t="inlineStr">
        <is>
          <t>Besi</t>
        </is>
      </c>
      <c r="H531" s="3" t="n"/>
      <c r="I531" s="3" t="n"/>
      <c r="J531" s="4" t="n"/>
      <c r="K531" s="3" t="n"/>
      <c r="L531" s="5" t="n"/>
      <c r="M531" s="5" t="n"/>
      <c r="N531" s="3" t="inlineStr">
        <is>
          <t>171 - 03 - 03 - 24</t>
        </is>
      </c>
      <c r="O531" s="3" t="n">
        <v>4</v>
      </c>
      <c r="P531" s="5" t="n"/>
      <c r="Q531" s="5" t="n"/>
      <c r="R531" s="3" t="inlineStr">
        <is>
          <t>Baik</t>
        </is>
      </c>
      <c r="S531" s="3" t="inlineStr">
        <is>
          <t>Aktif</t>
        </is>
      </c>
      <c r="T531" s="3" t="n"/>
      <c r="U531" s="3" t="inlineStr">
        <is>
          <t>ASSET TKIA-24 2025(1).xlsx | ASET TKIA 24</t>
        </is>
      </c>
    </row>
    <row r="532">
      <c r="A532" s="3" t="n">
        <v>529</v>
      </c>
      <c r="B532" s="3" t="inlineStr">
        <is>
          <t>171 - 03 - 03 - 24</t>
        </is>
      </c>
      <c r="C532" s="3" t="inlineStr">
        <is>
          <t>TKIA 24 JATIKRAMAT</t>
        </is>
      </c>
      <c r="D532" s="3" t="inlineStr">
        <is>
          <t>I / 12/ GUDANG - KORIDOR DEKAT TANGGA</t>
        </is>
      </c>
      <c r="E532" s="3" t="inlineStr">
        <is>
          <t>Standing Tanaman Hidriponic</t>
        </is>
      </c>
      <c r="F532" s="3" t="inlineStr">
        <is>
          <t>Standing Tanaman Hidriponic</t>
        </is>
      </c>
      <c r="G532" s="3" t="inlineStr">
        <is>
          <t>Paralon</t>
        </is>
      </c>
      <c r="H532" s="3" t="n"/>
      <c r="I532" s="3" t="n"/>
      <c r="J532" s="4" t="n"/>
      <c r="K532" s="3" t="n"/>
      <c r="L532" s="5" t="n"/>
      <c r="M532" s="5" t="n"/>
      <c r="N532" s="3" t="inlineStr">
        <is>
          <t>171 - 03 - 03 - 24</t>
        </is>
      </c>
      <c r="O532" s="3" t="n">
        <v>4</v>
      </c>
      <c r="P532" s="5" t="n"/>
      <c r="Q532" s="5" t="n"/>
      <c r="R532" s="3" t="inlineStr">
        <is>
          <t>Baik</t>
        </is>
      </c>
      <c r="S532" s="3" t="inlineStr">
        <is>
          <t>Aktif</t>
        </is>
      </c>
      <c r="T532" s="3" t="n"/>
      <c r="U532" s="3" t="inlineStr">
        <is>
          <t>ASSET TKIA-24 2025(1).xlsx | ASET TKIA 24</t>
        </is>
      </c>
    </row>
    <row r="533">
      <c r="A533" s="3" t="n">
        <v>530</v>
      </c>
      <c r="B533" s="3" t="inlineStr">
        <is>
          <t>171 - 03 - 03 - 24</t>
        </is>
      </c>
      <c r="C533" s="3" t="inlineStr">
        <is>
          <t>TKIA 24 JATIKRAMAT</t>
        </is>
      </c>
      <c r="D533" s="3" t="inlineStr">
        <is>
          <t>I / 12/ GUDANG - KORIDOR DEKAT TANGGA</t>
        </is>
      </c>
      <c r="E533" s="3" t="inlineStr">
        <is>
          <t>Rumput Sintetis</t>
        </is>
      </c>
      <c r="F533" s="3" t="inlineStr">
        <is>
          <t>Rumput Sintetis</t>
        </is>
      </c>
      <c r="G533" s="3" t="inlineStr">
        <is>
          <t>Plastik</t>
        </is>
      </c>
      <c r="H533" s="3" t="inlineStr">
        <is>
          <t>650 cm x 700 cm</t>
        </is>
      </c>
      <c r="I533" s="3" t="n"/>
      <c r="J533" s="4" t="n"/>
      <c r="K533" s="3" t="n"/>
      <c r="L533" s="5" t="n"/>
      <c r="M533" s="5" t="n"/>
      <c r="N533" s="3" t="inlineStr">
        <is>
          <t>171 - 03 - 03 - 24</t>
        </is>
      </c>
      <c r="O533" s="3" t="n">
        <v>4</v>
      </c>
      <c r="P533" s="5" t="n"/>
      <c r="Q533" s="5" t="n"/>
      <c r="R533" s="3" t="inlineStr">
        <is>
          <t>Baik</t>
        </is>
      </c>
      <c r="S533" s="3" t="inlineStr">
        <is>
          <t>Aktif</t>
        </is>
      </c>
      <c r="T533" s="3" t="n"/>
      <c r="U533" s="3" t="inlineStr">
        <is>
          <t>ASSET TKIA-24 2025(1).xlsx | ASET TKIA 24</t>
        </is>
      </c>
    </row>
    <row r="534">
      <c r="A534" s="3" t="n">
        <v>531</v>
      </c>
      <c r="B534" s="3" t="inlineStr">
        <is>
          <t>171 - 03 - 03 - 24</t>
        </is>
      </c>
      <c r="C534" s="3" t="inlineStr">
        <is>
          <t>TKIA 24 JATIKRAMAT</t>
        </is>
      </c>
      <c r="D534" s="3" t="inlineStr">
        <is>
          <t>II / 13/ SULAIMAN / B</t>
        </is>
      </c>
      <c r="E534" s="3" t="inlineStr">
        <is>
          <t>Infokus</t>
        </is>
      </c>
      <c r="F534" s="3" t="inlineStr">
        <is>
          <t>Infokus</t>
        </is>
      </c>
      <c r="G534" s="3" t="inlineStr">
        <is>
          <t>Elektro</t>
        </is>
      </c>
      <c r="H534" s="3" t="n"/>
      <c r="I534" s="3" t="n"/>
      <c r="J534" s="4" t="n"/>
      <c r="K534" s="3" t="n"/>
      <c r="L534" s="5" t="n"/>
      <c r="M534" s="5" t="n"/>
      <c r="N534" s="3" t="inlineStr">
        <is>
          <t>171 - 03 - 03 - 24</t>
        </is>
      </c>
      <c r="O534" s="3" t="n">
        <v>4</v>
      </c>
      <c r="P534" s="5" t="n"/>
      <c r="Q534" s="5" t="n"/>
      <c r="R534" s="3" t="inlineStr">
        <is>
          <t>Baik</t>
        </is>
      </c>
      <c r="S534" s="3" t="inlineStr">
        <is>
          <t>Aktif</t>
        </is>
      </c>
      <c r="T534" s="3" t="n"/>
      <c r="U534" s="3" t="inlineStr">
        <is>
          <t>ASSET TKIA-24 2025(1).xlsx | ASET TKIA 24</t>
        </is>
      </c>
    </row>
    <row r="535">
      <c r="A535" s="3" t="n">
        <v>532</v>
      </c>
      <c r="B535" s="3" t="inlineStr">
        <is>
          <t>171 - 03 - 03 - 24</t>
        </is>
      </c>
      <c r="C535" s="3" t="inlineStr">
        <is>
          <t>TKIA 24 JATIKRAMAT</t>
        </is>
      </c>
      <c r="D535" s="3" t="inlineStr">
        <is>
          <t>II / 13/ SULAIMAN / B</t>
        </is>
      </c>
      <c r="E535" s="3" t="inlineStr">
        <is>
          <t>Screen Shoot</t>
        </is>
      </c>
      <c r="F535" s="3" t="inlineStr">
        <is>
          <t>Screen Shoot</t>
        </is>
      </c>
      <c r="G535" s="3" t="inlineStr">
        <is>
          <t>Plastik</t>
        </is>
      </c>
      <c r="H535" s="3" t="inlineStr">
        <is>
          <t>175 cm x 180 cm</t>
        </is>
      </c>
      <c r="I535" s="3" t="n"/>
      <c r="J535" s="4" t="n"/>
      <c r="K535" s="3" t="n"/>
      <c r="L535" s="5" t="n"/>
      <c r="M535" s="5" t="n"/>
      <c r="N535" s="3" t="inlineStr">
        <is>
          <t>171 - 03 - 03 - 24</t>
        </is>
      </c>
      <c r="O535" s="3" t="n">
        <v>4</v>
      </c>
      <c r="P535" s="5" t="n"/>
      <c r="Q535" s="5" t="n"/>
      <c r="R535" s="3" t="inlineStr">
        <is>
          <t>Baik</t>
        </is>
      </c>
      <c r="S535" s="3" t="inlineStr">
        <is>
          <t>Aktif</t>
        </is>
      </c>
      <c r="T535" s="3" t="n"/>
      <c r="U535" s="3" t="inlineStr">
        <is>
          <t>ASSET TKIA-24 2025(1).xlsx | ASET TKIA 24</t>
        </is>
      </c>
    </row>
    <row r="536">
      <c r="A536" s="3" t="n">
        <v>533</v>
      </c>
      <c r="B536" s="3" t="inlineStr">
        <is>
          <t>172 - 03 - 03 - 24</t>
        </is>
      </c>
      <c r="C536" s="3" t="inlineStr">
        <is>
          <t>TKIA 24 JATIKRAMAT</t>
        </is>
      </c>
      <c r="D536" s="3" t="inlineStr">
        <is>
          <t>II / 13/ SULAIMAN / B</t>
        </is>
      </c>
      <c r="E536" s="3" t="inlineStr">
        <is>
          <t>Pengeras Suara</t>
        </is>
      </c>
      <c r="F536" s="3" t="inlineStr">
        <is>
          <t>Pengeras Suara</t>
        </is>
      </c>
      <c r="G536" s="3" t="inlineStr">
        <is>
          <t>Elektro China</t>
        </is>
      </c>
      <c r="H536" s="3" t="n"/>
      <c r="I536" s="3" t="n"/>
      <c r="J536" s="4" t="n"/>
      <c r="K536" s="3" t="n"/>
      <c r="L536" s="5" t="n"/>
      <c r="M536" s="5" t="n"/>
      <c r="N536" s="3" t="inlineStr">
        <is>
          <t>172 - 03 - 03 - 24</t>
        </is>
      </c>
      <c r="O536" s="3" t="n">
        <v>4</v>
      </c>
      <c r="P536" s="5" t="n"/>
      <c r="Q536" s="5" t="n"/>
      <c r="R536" s="3" t="inlineStr">
        <is>
          <t>Baik</t>
        </is>
      </c>
      <c r="S536" s="3" t="inlineStr">
        <is>
          <t>Aktif</t>
        </is>
      </c>
      <c r="T536" s="3" t="n"/>
      <c r="U536" s="3" t="inlineStr">
        <is>
          <t>ASSET TKIA-24 2025(1).xlsx | ASET TKIA 24</t>
        </is>
      </c>
    </row>
    <row r="537">
      <c r="A537" s="3" t="n">
        <v>534</v>
      </c>
      <c r="B537" s="3" t="inlineStr">
        <is>
          <t>171 - 03 - 01 - 24</t>
        </is>
      </c>
      <c r="C537" s="3" t="inlineStr">
        <is>
          <t>TKIA 24 JATIKRAMAT</t>
        </is>
      </c>
      <c r="D537" s="3" t="inlineStr">
        <is>
          <t>II / 13/ SULAIMAN / B</t>
        </is>
      </c>
      <c r="E537" s="3" t="inlineStr">
        <is>
          <t>Locker</t>
        </is>
      </c>
      <c r="F537" s="3" t="inlineStr">
        <is>
          <t>Locker</t>
        </is>
      </c>
      <c r="G537" s="3" t="inlineStr">
        <is>
          <t>Kayu Lokal</t>
        </is>
      </c>
      <c r="H537" s="3" t="inlineStr">
        <is>
          <t>85 cm x 150 cm</t>
        </is>
      </c>
      <c r="I537" s="3" t="n"/>
      <c r="J537" s="4" t="n"/>
      <c r="K537" s="3" t="n"/>
      <c r="L537" s="5" t="n"/>
      <c r="M537" s="5" t="n"/>
      <c r="N537" s="3" t="inlineStr">
        <is>
          <t>171 - 03 - 01 - 24</t>
        </is>
      </c>
      <c r="O537" s="3" t="n">
        <v>4</v>
      </c>
      <c r="P537" s="5" t="n"/>
      <c r="Q537" s="5" t="n"/>
      <c r="R537" s="3" t="inlineStr">
        <is>
          <t>Baik</t>
        </is>
      </c>
      <c r="S537" s="3" t="inlineStr">
        <is>
          <t>Aktif</t>
        </is>
      </c>
      <c r="T537" s="3" t="n"/>
      <c r="U537" s="3" t="inlineStr">
        <is>
          <t>ASSET TKIA-24 2025(1).xlsx | ASET TKIA 24</t>
        </is>
      </c>
    </row>
    <row r="538">
      <c r="A538" s="3" t="n">
        <v>535</v>
      </c>
      <c r="B538" s="3" t="inlineStr">
        <is>
          <t>171 - 03 - 01 - 24</t>
        </is>
      </c>
      <c r="C538" s="3" t="inlineStr">
        <is>
          <t>TKIA 24 JATIKRAMAT</t>
        </is>
      </c>
      <c r="D538" s="3" t="inlineStr">
        <is>
          <t>II / 13/ SULAIMAN / B</t>
        </is>
      </c>
      <c r="E538" s="3" t="inlineStr">
        <is>
          <t>Rak Buku</t>
        </is>
      </c>
      <c r="F538" s="3" t="inlineStr">
        <is>
          <t>Rak Buku</t>
        </is>
      </c>
      <c r="G538" s="3" t="inlineStr">
        <is>
          <t>Lokal</t>
        </is>
      </c>
      <c r="H538" s="3" t="inlineStr">
        <is>
          <t>83 cm x 131 cm</t>
        </is>
      </c>
      <c r="I538" s="3" t="n"/>
      <c r="J538" s="4" t="n"/>
      <c r="K538" s="3" t="n"/>
      <c r="L538" s="5" t="n"/>
      <c r="M538" s="5" t="n"/>
      <c r="N538" s="3" t="inlineStr">
        <is>
          <t>171 - 03 - 01 - 24</t>
        </is>
      </c>
      <c r="O538" s="3" t="n">
        <v>4</v>
      </c>
      <c r="P538" s="5" t="n"/>
      <c r="Q538" s="5" t="n"/>
      <c r="R538" s="3" t="inlineStr">
        <is>
          <t>Baik</t>
        </is>
      </c>
      <c r="S538" s="3" t="inlineStr">
        <is>
          <t>Aktif</t>
        </is>
      </c>
      <c r="T538" s="3" t="n"/>
      <c r="U538" s="3" t="inlineStr">
        <is>
          <t>ASSET TKIA-24 2025(1).xlsx | ASET TKIA 24</t>
        </is>
      </c>
    </row>
    <row r="539">
      <c r="A539" s="3" t="n">
        <v>536</v>
      </c>
      <c r="B539" s="3" t="inlineStr">
        <is>
          <t>171 - 03 - 01 - 24</t>
        </is>
      </c>
      <c r="C539" s="3" t="inlineStr">
        <is>
          <t>TKIA 24 JATIKRAMAT</t>
        </is>
      </c>
      <c r="D539" s="3" t="inlineStr">
        <is>
          <t>II / 13/ SULAIMAN / B</t>
        </is>
      </c>
      <c r="E539" s="3" t="inlineStr">
        <is>
          <t>Kichen Set Anak</t>
        </is>
      </c>
      <c r="F539" s="3" t="inlineStr">
        <is>
          <t>Kichen Set Anak</t>
        </is>
      </c>
      <c r="G539" s="3" t="inlineStr">
        <is>
          <t>Taiwan</t>
        </is>
      </c>
      <c r="H539" s="3" t="n"/>
      <c r="I539" s="3" t="n"/>
      <c r="J539" s="4" t="n"/>
      <c r="K539" s="3" t="n"/>
      <c r="L539" s="5" t="n"/>
      <c r="M539" s="5" t="n"/>
      <c r="N539" s="3" t="inlineStr">
        <is>
          <t>171 - 03 - 01 - 24</t>
        </is>
      </c>
      <c r="O539" s="3" t="n">
        <v>4</v>
      </c>
      <c r="P539" s="5" t="n"/>
      <c r="Q539" s="5" t="n"/>
      <c r="R539" s="3" t="inlineStr">
        <is>
          <t>Baik</t>
        </is>
      </c>
      <c r="S539" s="3" t="inlineStr">
        <is>
          <t>Aktif</t>
        </is>
      </c>
      <c r="T539" s="3" t="n"/>
      <c r="U539" s="3" t="inlineStr">
        <is>
          <t>ASSET TKIA-24 2025(1).xlsx | ASET TKIA 24</t>
        </is>
      </c>
    </row>
    <row r="540">
      <c r="A540" s="3" t="n">
        <v>537</v>
      </c>
      <c r="B540" s="3" t="inlineStr">
        <is>
          <t>171 - 03 - 01 - 24</t>
        </is>
      </c>
      <c r="C540" s="3" t="inlineStr">
        <is>
          <t>TKIA 24 JATIKRAMAT</t>
        </is>
      </c>
      <c r="D540" s="3" t="inlineStr">
        <is>
          <t>II / 13/ SULAIMAN / B</t>
        </is>
      </c>
      <c r="E540" s="3" t="inlineStr">
        <is>
          <t>With Board</t>
        </is>
      </c>
      <c r="F540" s="3" t="inlineStr">
        <is>
          <t>With Board</t>
        </is>
      </c>
      <c r="G540" s="3" t="inlineStr">
        <is>
          <t>Lokal</t>
        </is>
      </c>
      <c r="H540" s="3" t="inlineStr">
        <is>
          <t>120 cm x 240 cm</t>
        </is>
      </c>
      <c r="I540" s="3" t="n"/>
      <c r="J540" s="4" t="n"/>
      <c r="K540" s="3" t="n"/>
      <c r="L540" s="5" t="n"/>
      <c r="M540" s="5" t="n"/>
      <c r="N540" s="3" t="inlineStr">
        <is>
          <t>171 - 03 - 01 - 24</t>
        </is>
      </c>
      <c r="O540" s="3" t="n">
        <v>4</v>
      </c>
      <c r="P540" s="5" t="n"/>
      <c r="Q540" s="5" t="n"/>
      <c r="R540" s="3" t="inlineStr">
        <is>
          <t>Baik</t>
        </is>
      </c>
      <c r="S540" s="3" t="inlineStr">
        <is>
          <t>Aktif</t>
        </is>
      </c>
      <c r="T540" s="3" t="n"/>
      <c r="U540" s="3" t="inlineStr">
        <is>
          <t>ASSET TKIA-24 2025(1).xlsx | ASET TKIA 24</t>
        </is>
      </c>
    </row>
    <row r="541">
      <c r="A541" s="3" t="n">
        <v>538</v>
      </c>
      <c r="B541" s="3" t="inlineStr">
        <is>
          <t>171 - 03 - 01 - 24</t>
        </is>
      </c>
      <c r="C541" s="3" t="inlineStr">
        <is>
          <t>TKIA 24 JATIKRAMAT</t>
        </is>
      </c>
      <c r="D541" s="3" t="inlineStr">
        <is>
          <t>II / 13/ SULAIMAN / B</t>
        </is>
      </c>
      <c r="E541" s="3" t="inlineStr">
        <is>
          <t>Meja Bundar</t>
        </is>
      </c>
      <c r="F541" s="3" t="inlineStr">
        <is>
          <t>Meja Bundar</t>
        </is>
      </c>
      <c r="G541" s="3" t="inlineStr">
        <is>
          <t>Plastik Taiwan</t>
        </is>
      </c>
      <c r="H541" s="3" t="inlineStr">
        <is>
          <t>Diameter 114</t>
        </is>
      </c>
      <c r="I541" s="3" t="n"/>
      <c r="J541" s="4" t="n"/>
      <c r="K541" s="3" t="n"/>
      <c r="L541" s="5" t="n"/>
      <c r="M541" s="5" t="n"/>
      <c r="N541" s="3" t="inlineStr">
        <is>
          <t>171 - 03 - 01 - 24</t>
        </is>
      </c>
      <c r="O541" s="3" t="n">
        <v>4</v>
      </c>
      <c r="P541" s="5" t="n"/>
      <c r="Q541" s="5" t="n"/>
      <c r="R541" s="3" t="inlineStr">
        <is>
          <t>Baik</t>
        </is>
      </c>
      <c r="S541" s="3" t="inlineStr">
        <is>
          <t>Aktif</t>
        </is>
      </c>
      <c r="T541" s="3" t="n"/>
      <c r="U541" s="3" t="inlineStr">
        <is>
          <t>ASSET TKIA-24 2025(1).xlsx | ASET TKIA 24</t>
        </is>
      </c>
    </row>
    <row r="542">
      <c r="A542" s="3" t="n">
        <v>539</v>
      </c>
      <c r="B542" s="3" t="inlineStr">
        <is>
          <t>171 - 03 - 01 - 24</t>
        </is>
      </c>
      <c r="C542" s="3" t="inlineStr">
        <is>
          <t>TKIA 24 JATIKRAMAT</t>
        </is>
      </c>
      <c r="D542" s="3" t="inlineStr">
        <is>
          <t>II / 13/ SULAIMAN / B</t>
        </is>
      </c>
      <c r="E542" s="3" t="inlineStr">
        <is>
          <t>Meja Bundar</t>
        </is>
      </c>
      <c r="F542" s="3" t="inlineStr">
        <is>
          <t>Meja Bundar</t>
        </is>
      </c>
      <c r="G542" s="3" t="inlineStr">
        <is>
          <t>Kayu Lokal</t>
        </is>
      </c>
      <c r="H542" s="3" t="inlineStr">
        <is>
          <t>Diameter 120</t>
        </is>
      </c>
      <c r="I542" s="3" t="n"/>
      <c r="J542" s="4" t="n"/>
      <c r="K542" s="3" t="n"/>
      <c r="L542" s="5" t="n"/>
      <c r="M542" s="5" t="n"/>
      <c r="N542" s="3" t="inlineStr">
        <is>
          <t>171 - 03 - 01 - 24</t>
        </is>
      </c>
      <c r="O542" s="3" t="n">
        <v>4</v>
      </c>
      <c r="P542" s="5" t="n"/>
      <c r="Q542" s="5" t="n"/>
      <c r="R542" s="3" t="inlineStr">
        <is>
          <t>Baik</t>
        </is>
      </c>
      <c r="S542" s="3" t="inlineStr">
        <is>
          <t>Aktif</t>
        </is>
      </c>
      <c r="T542" s="3" t="n"/>
      <c r="U542" s="3" t="inlineStr">
        <is>
          <t>ASSET TKIA-24 2025(1).xlsx | ASET TKIA 24</t>
        </is>
      </c>
    </row>
    <row r="543">
      <c r="A543" s="3" t="n">
        <v>540</v>
      </c>
      <c r="B543" s="3" t="inlineStr">
        <is>
          <t>171 - 03 - 01 - 24</t>
        </is>
      </c>
      <c r="C543" s="3" t="inlineStr">
        <is>
          <t>TKIA 24 JATIKRAMAT</t>
        </is>
      </c>
      <c r="D543" s="3" t="inlineStr">
        <is>
          <t>II / 13/ SULAIMAN / B</t>
        </is>
      </c>
      <c r="E543" s="3" t="inlineStr">
        <is>
          <t>Kursi</t>
        </is>
      </c>
      <c r="F543" s="3" t="inlineStr">
        <is>
          <t>Kursi</t>
        </is>
      </c>
      <c r="G543" s="3" t="inlineStr">
        <is>
          <t>Plastik</t>
        </is>
      </c>
      <c r="H543" s="3" t="inlineStr">
        <is>
          <t>31 cm x 26 cm x 26 cm</t>
        </is>
      </c>
      <c r="I543" s="3" t="n"/>
      <c r="J543" s="4" t="n"/>
      <c r="K543" s="3" t="n"/>
      <c r="L543" s="5" t="n"/>
      <c r="M543" s="5" t="n"/>
      <c r="N543" s="3" t="inlineStr">
        <is>
          <t>171 - 03 - 01 - 24</t>
        </is>
      </c>
      <c r="O543" s="3" t="n">
        <v>4</v>
      </c>
      <c r="P543" s="5" t="n"/>
      <c r="Q543" s="5" t="n"/>
      <c r="R543" s="3" t="inlineStr">
        <is>
          <t>Baik</t>
        </is>
      </c>
      <c r="S543" s="3" t="inlineStr">
        <is>
          <t>Aktif</t>
        </is>
      </c>
      <c r="T543" s="3" t="n"/>
      <c r="U543" s="3" t="inlineStr">
        <is>
          <t>ASSET TKIA-24 2025(1).xlsx | ASET TKIA 24</t>
        </is>
      </c>
    </row>
    <row r="544">
      <c r="A544" s="3" t="n">
        <v>541</v>
      </c>
      <c r="B544" s="3" t="inlineStr">
        <is>
          <t>171 - 03 - 01 - 24</t>
        </is>
      </c>
      <c r="C544" s="3" t="inlineStr">
        <is>
          <t>TKIA 24 JATIKRAMAT</t>
        </is>
      </c>
      <c r="D544" s="3" t="inlineStr">
        <is>
          <t>II / 13/ SULAIMAN / B</t>
        </is>
      </c>
      <c r="E544" s="3" t="inlineStr">
        <is>
          <t>Kursi</t>
        </is>
      </c>
      <c r="F544" s="3" t="inlineStr">
        <is>
          <t>Kursi</t>
        </is>
      </c>
      <c r="G544" s="3" t="inlineStr">
        <is>
          <t>Kayu</t>
        </is>
      </c>
      <c r="H544" s="3" t="inlineStr">
        <is>
          <t>30 cm x 30 cm x 30 cm</t>
        </is>
      </c>
      <c r="I544" s="3" t="n"/>
      <c r="J544" s="4" t="n"/>
      <c r="K544" s="3" t="n"/>
      <c r="L544" s="5" t="n"/>
      <c r="M544" s="5" t="n"/>
      <c r="N544" s="3" t="inlineStr">
        <is>
          <t>171 - 03 - 01 - 24</t>
        </is>
      </c>
      <c r="O544" s="3" t="n">
        <v>4</v>
      </c>
      <c r="P544" s="5" t="n"/>
      <c r="Q544" s="5" t="n"/>
      <c r="R544" s="3" t="inlineStr">
        <is>
          <t>Baik</t>
        </is>
      </c>
      <c r="S544" s="3" t="inlineStr">
        <is>
          <t>Aktif</t>
        </is>
      </c>
      <c r="T544" s="3" t="n"/>
      <c r="U544" s="3" t="inlineStr">
        <is>
          <t>ASSET TKIA-24 2025(1).xlsx | ASET TKIA 24</t>
        </is>
      </c>
    </row>
    <row r="545">
      <c r="A545" s="3" t="n">
        <v>542</v>
      </c>
      <c r="B545" s="3" t="inlineStr">
        <is>
          <t>171 - 03 - 01 - 24</t>
        </is>
      </c>
      <c r="C545" s="3" t="inlineStr">
        <is>
          <t>TKIA 24 JATIKRAMAT</t>
        </is>
      </c>
      <c r="D545" s="3" t="inlineStr">
        <is>
          <t>II / 13/ SULAIMAN / B</t>
        </is>
      </c>
      <c r="E545" s="3" t="inlineStr">
        <is>
          <t>White Board</t>
        </is>
      </c>
      <c r="F545" s="3" t="inlineStr">
        <is>
          <t>White Board</t>
        </is>
      </c>
      <c r="G545" s="3" t="inlineStr">
        <is>
          <t>Mika</t>
        </is>
      </c>
      <c r="H545" s="3" t="inlineStr">
        <is>
          <t>60 cm x 40 cm</t>
        </is>
      </c>
      <c r="I545" s="3" t="n"/>
      <c r="J545" s="4" t="n"/>
      <c r="K545" s="3" t="n"/>
      <c r="L545" s="5" t="n"/>
      <c r="M545" s="5" t="n"/>
      <c r="N545" s="3" t="inlineStr">
        <is>
          <t>171 - 03 - 01 - 24</t>
        </is>
      </c>
      <c r="O545" s="3" t="n">
        <v>4</v>
      </c>
      <c r="P545" s="5" t="n"/>
      <c r="Q545" s="5" t="n"/>
      <c r="R545" s="3" t="inlineStr">
        <is>
          <t>Baik</t>
        </is>
      </c>
      <c r="S545" s="3" t="inlineStr">
        <is>
          <t>Aktif</t>
        </is>
      </c>
      <c r="T545" s="3" t="n"/>
      <c r="U545" s="3" t="inlineStr">
        <is>
          <t>ASSET TKIA-24 2025(1).xlsx | ASET TKIA 24</t>
        </is>
      </c>
    </row>
    <row r="546">
      <c r="A546" s="3" t="n">
        <v>543</v>
      </c>
      <c r="B546" s="3" t="inlineStr">
        <is>
          <t>171 - 03 - 01 - 24</t>
        </is>
      </c>
      <c r="C546" s="3" t="inlineStr">
        <is>
          <t>TKIA 24 JATIKRAMAT</t>
        </is>
      </c>
      <c r="D546" s="3" t="inlineStr">
        <is>
          <t>II / 13/ SULAIMAN / B</t>
        </is>
      </c>
      <c r="E546" s="3" t="inlineStr">
        <is>
          <t>Karpet Besar</t>
        </is>
      </c>
      <c r="F546" s="3" t="inlineStr">
        <is>
          <t>Karpet Besar</t>
        </is>
      </c>
      <c r="G546" s="3" t="inlineStr">
        <is>
          <t>Kain</t>
        </is>
      </c>
      <c r="H546" s="3" t="inlineStr">
        <is>
          <t>330 x 245 cm</t>
        </is>
      </c>
      <c r="I546" s="3" t="n"/>
      <c r="J546" s="4" t="n"/>
      <c r="K546" s="3" t="n"/>
      <c r="L546" s="5" t="n"/>
      <c r="M546" s="5" t="n"/>
      <c r="N546" s="3" t="inlineStr">
        <is>
          <t>171 - 03 - 01 - 24</t>
        </is>
      </c>
      <c r="O546" s="3" t="n">
        <v>4</v>
      </c>
      <c r="P546" s="5" t="n"/>
      <c r="Q546" s="5" t="n"/>
      <c r="R546" s="3" t="inlineStr">
        <is>
          <t>Baik</t>
        </is>
      </c>
      <c r="S546" s="3" t="inlineStr">
        <is>
          <t>Aktif</t>
        </is>
      </c>
      <c r="T546" s="3" t="n"/>
      <c r="U546" s="3" t="inlineStr">
        <is>
          <t>ASSET TKIA-24 2025(1).xlsx | ASET TKIA 24</t>
        </is>
      </c>
    </row>
    <row r="547">
      <c r="A547" s="3" t="n">
        <v>544</v>
      </c>
      <c r="B547" s="3" t="inlineStr">
        <is>
          <t>171 - 03 - 01 - 24</t>
        </is>
      </c>
      <c r="C547" s="3" t="inlineStr">
        <is>
          <t>TKIA 24 JATIKRAMAT</t>
        </is>
      </c>
      <c r="D547" s="3" t="inlineStr">
        <is>
          <t>II / 13/ SULAIMAN / B</t>
        </is>
      </c>
      <c r="E547" s="3" t="inlineStr">
        <is>
          <t>Karpet Bulat</t>
        </is>
      </c>
      <c r="F547" s="3" t="inlineStr">
        <is>
          <t>Karpet Bulat</t>
        </is>
      </c>
      <c r="G547" s="3" t="inlineStr">
        <is>
          <t>Kain</t>
        </is>
      </c>
      <c r="H547" s="3" t="n"/>
      <c r="I547" s="3" t="n"/>
      <c r="J547" s="4" t="n"/>
      <c r="K547" s="3" t="n"/>
      <c r="L547" s="5" t="n"/>
      <c r="M547" s="5" t="n"/>
      <c r="N547" s="3" t="inlineStr">
        <is>
          <t>171 - 03 - 01 - 24</t>
        </is>
      </c>
      <c r="O547" s="3" t="n">
        <v>4</v>
      </c>
      <c r="P547" s="5" t="n"/>
      <c r="Q547" s="5" t="n"/>
      <c r="R547" s="3" t="inlineStr">
        <is>
          <t>Baik</t>
        </is>
      </c>
      <c r="S547" s="3" t="inlineStr">
        <is>
          <t>Aktif</t>
        </is>
      </c>
      <c r="T547" s="3" t="n"/>
      <c r="U547" s="3" t="inlineStr">
        <is>
          <t>ASSET TKIA-24 2025(1).xlsx | ASET TKIA 24</t>
        </is>
      </c>
    </row>
    <row r="548">
      <c r="A548" s="3" t="n">
        <v>545</v>
      </c>
      <c r="B548" s="3" t="inlineStr">
        <is>
          <t>171 - 03 - 01 - 24</t>
        </is>
      </c>
      <c r="C548" s="3" t="inlineStr">
        <is>
          <t>TKIA 24 JATIKRAMAT</t>
        </is>
      </c>
      <c r="D548" s="3" t="inlineStr">
        <is>
          <t>II / 13/ SULAIMAN / B</t>
        </is>
      </c>
      <c r="E548" s="3" t="inlineStr">
        <is>
          <t>Karpet Kecil</t>
        </is>
      </c>
      <c r="F548" s="3" t="inlineStr">
        <is>
          <t>Karpet Kecil</t>
        </is>
      </c>
      <c r="G548" s="3" t="inlineStr">
        <is>
          <t>Kain</t>
        </is>
      </c>
      <c r="H548" s="3" t="n"/>
      <c r="I548" s="3" t="n"/>
      <c r="J548" s="4" t="n"/>
      <c r="K548" s="3" t="n"/>
      <c r="L548" s="5" t="n"/>
      <c r="M548" s="5" t="n"/>
      <c r="N548" s="3" t="inlineStr">
        <is>
          <t>171 - 03 - 01 - 24</t>
        </is>
      </c>
      <c r="O548" s="3" t="n">
        <v>4</v>
      </c>
      <c r="P548" s="5" t="n"/>
      <c r="Q548" s="5" t="n"/>
      <c r="R548" s="3" t="inlineStr">
        <is>
          <t>Baik</t>
        </is>
      </c>
      <c r="S548" s="3" t="inlineStr">
        <is>
          <t>Aktif</t>
        </is>
      </c>
      <c r="T548" s="3" t="n"/>
      <c r="U548" s="3" t="inlineStr">
        <is>
          <t>ASSET TKIA-24 2025(1).xlsx | ASET TKIA 24</t>
        </is>
      </c>
    </row>
    <row r="549">
      <c r="A549" s="3" t="n">
        <v>546</v>
      </c>
      <c r="B549" s="3" t="inlineStr">
        <is>
          <t>171 - 03 - 03 - 24</t>
        </is>
      </c>
      <c r="C549" s="3" t="inlineStr">
        <is>
          <t>TKIA 24 JATIKRAMAT</t>
        </is>
      </c>
      <c r="D549" s="3" t="inlineStr">
        <is>
          <t>II / 14/ ISMAIL / A</t>
        </is>
      </c>
      <c r="E549" s="3" t="inlineStr">
        <is>
          <t>Pengferas Suara</t>
        </is>
      </c>
      <c r="F549" s="3" t="inlineStr">
        <is>
          <t>Pengferas Suara</t>
        </is>
      </c>
      <c r="G549" s="3" t="inlineStr">
        <is>
          <t>Besi</t>
        </is>
      </c>
      <c r="H549" s="3" t="n"/>
      <c r="I549" s="3" t="inlineStr">
        <is>
          <t>1 Unit</t>
        </is>
      </c>
      <c r="J549" s="4" t="n"/>
      <c r="K549" s="3" t="n">
        <v>2018</v>
      </c>
      <c r="L549" s="5" t="n"/>
      <c r="M549" s="5" t="n"/>
      <c r="N549" s="3" t="inlineStr">
        <is>
          <t>171 - 03 - 03 - 24</t>
        </is>
      </c>
      <c r="O549" s="3" t="n">
        <v>4</v>
      </c>
      <c r="P549" s="5" t="n"/>
      <c r="Q549" s="5" t="n"/>
      <c r="R549" s="3" t="inlineStr">
        <is>
          <t>Baik</t>
        </is>
      </c>
      <c r="S549" s="3" t="inlineStr">
        <is>
          <t>Aktif</t>
        </is>
      </c>
      <c r="T549" s="3" t="n"/>
      <c r="U549" s="3" t="inlineStr">
        <is>
          <t>ASSET TKIA-24 2025(1).xlsx | ASET TKIA 24</t>
        </is>
      </c>
    </row>
    <row r="550">
      <c r="A550" s="3" t="n">
        <v>547</v>
      </c>
      <c r="B550" s="3" t="inlineStr">
        <is>
          <t>171 - 03 - 03 - 24</t>
        </is>
      </c>
      <c r="C550" s="3" t="inlineStr">
        <is>
          <t>TKIA 24 JATIKRAMAT</t>
        </is>
      </c>
      <c r="D550" s="3" t="inlineStr">
        <is>
          <t>II / 14/ ISMAIL / A</t>
        </is>
      </c>
      <c r="E550" s="3" t="inlineStr">
        <is>
          <t>Locker</t>
        </is>
      </c>
      <c r="F550" s="3" t="inlineStr">
        <is>
          <t>Locker</t>
        </is>
      </c>
      <c r="G550" s="3" t="inlineStr">
        <is>
          <t>Kayu</t>
        </is>
      </c>
      <c r="H550" s="3" t="inlineStr">
        <is>
          <t>100 cm x 150 cm</t>
        </is>
      </c>
      <c r="I550" s="3" t="inlineStr">
        <is>
          <t>3 Unit</t>
        </is>
      </c>
      <c r="J550" s="4" t="n"/>
      <c r="K550" s="3" t="n">
        <v>2018</v>
      </c>
      <c r="L550" s="5" t="n"/>
      <c r="M550" s="5" t="n"/>
      <c r="N550" s="3" t="inlineStr">
        <is>
          <t>171 - 03 - 03 - 24</t>
        </is>
      </c>
      <c r="O550" s="3" t="n">
        <v>4</v>
      </c>
      <c r="P550" s="5" t="n"/>
      <c r="Q550" s="5" t="n"/>
      <c r="R550" s="3" t="inlineStr">
        <is>
          <t>Baik</t>
        </is>
      </c>
      <c r="S550" s="3" t="inlineStr">
        <is>
          <t>Aktif</t>
        </is>
      </c>
      <c r="T550" s="3" t="n"/>
      <c r="U550" s="3" t="inlineStr">
        <is>
          <t>ASSET TKIA-24 2025(1).xlsx | ASET TKIA 24</t>
        </is>
      </c>
    </row>
    <row r="551">
      <c r="A551" s="3" t="n">
        <v>548</v>
      </c>
      <c r="B551" s="3" t="inlineStr">
        <is>
          <t>171 - 03 - 03 - 24</t>
        </is>
      </c>
      <c r="C551" s="3" t="inlineStr">
        <is>
          <t>TKIA 24 JATIKRAMAT</t>
        </is>
      </c>
      <c r="D551" s="3" t="inlineStr">
        <is>
          <t>II / 14/ ISMAIL / A</t>
        </is>
      </c>
      <c r="E551" s="3" t="inlineStr">
        <is>
          <t>Rak Buku Anak</t>
        </is>
      </c>
      <c r="F551" s="3" t="inlineStr">
        <is>
          <t>Rak Buku Anak</t>
        </is>
      </c>
      <c r="G551" s="3" t="inlineStr">
        <is>
          <t>Kayu</t>
        </is>
      </c>
      <c r="H551" s="3" t="inlineStr">
        <is>
          <t>120 cm x 80 cm</t>
        </is>
      </c>
      <c r="I551" s="3" t="inlineStr">
        <is>
          <t>3 Unit</t>
        </is>
      </c>
      <c r="J551" s="4" t="n"/>
      <c r="K551" s="3" t="n">
        <v>2018</v>
      </c>
      <c r="L551" s="5" t="n"/>
      <c r="M551" s="5" t="n"/>
      <c r="N551" s="3" t="inlineStr">
        <is>
          <t>171 - 03 - 03 - 24</t>
        </is>
      </c>
      <c r="O551" s="3" t="n">
        <v>4</v>
      </c>
      <c r="P551" s="5" t="n"/>
      <c r="Q551" s="5" t="n"/>
      <c r="R551" s="3" t="inlineStr">
        <is>
          <t>Baik</t>
        </is>
      </c>
      <c r="S551" s="3" t="inlineStr">
        <is>
          <t>Aktif</t>
        </is>
      </c>
      <c r="T551" s="3" t="n"/>
      <c r="U551" s="3" t="inlineStr">
        <is>
          <t>ASSET TKIA-24 2025(1).xlsx | ASET TKIA 24</t>
        </is>
      </c>
    </row>
    <row r="552">
      <c r="A552" s="3" t="n">
        <v>549</v>
      </c>
      <c r="B552" s="3" t="inlineStr">
        <is>
          <t>171 - 03 - 03 - 24</t>
        </is>
      </c>
      <c r="C552" s="3" t="inlineStr">
        <is>
          <t>TKIA 24 JATIKRAMAT</t>
        </is>
      </c>
      <c r="D552" s="3" t="inlineStr">
        <is>
          <t>II / 14/ ISMAIL / A</t>
        </is>
      </c>
      <c r="E552" s="3" t="inlineStr">
        <is>
          <t>Kitchenset Anak</t>
        </is>
      </c>
      <c r="F552" s="3" t="inlineStr">
        <is>
          <t>Kitchenset Anak</t>
        </is>
      </c>
      <c r="G552" s="3" t="inlineStr">
        <is>
          <t>Plastik</t>
        </is>
      </c>
      <c r="H552" s="3" t="n"/>
      <c r="I552" s="3" t="inlineStr">
        <is>
          <t>1 Unit</t>
        </is>
      </c>
      <c r="J552" s="4" t="n"/>
      <c r="K552" s="3" t="n">
        <v>2018</v>
      </c>
      <c r="L552" s="5" t="n"/>
      <c r="M552" s="5" t="n"/>
      <c r="N552" s="3" t="inlineStr">
        <is>
          <t>171 - 03 - 03 - 24</t>
        </is>
      </c>
      <c r="O552" s="3" t="n">
        <v>4</v>
      </c>
      <c r="P552" s="5" t="n"/>
      <c r="Q552" s="5" t="n"/>
      <c r="R552" s="3" t="inlineStr">
        <is>
          <t>Baik</t>
        </is>
      </c>
      <c r="S552" s="3" t="inlineStr">
        <is>
          <t>Aktif</t>
        </is>
      </c>
      <c r="T552" s="3" t="n"/>
      <c r="U552" s="3" t="inlineStr">
        <is>
          <t>ASSET TKIA-24 2025(1).xlsx | ASET TKIA 24</t>
        </is>
      </c>
    </row>
    <row r="553">
      <c r="A553" s="3" t="n">
        <v>550</v>
      </c>
      <c r="B553" s="3" t="inlineStr">
        <is>
          <t>171 - 03 - 03 - 24</t>
        </is>
      </c>
      <c r="C553" s="3" t="inlineStr">
        <is>
          <t>TKIA 24 JATIKRAMAT</t>
        </is>
      </c>
      <c r="D553" s="3" t="inlineStr">
        <is>
          <t>II / 14/ ISMAIL / A</t>
        </is>
      </c>
      <c r="E553" s="3" t="inlineStr">
        <is>
          <t>Meja Bundar</t>
        </is>
      </c>
      <c r="F553" s="3" t="inlineStr">
        <is>
          <t>Meja Bundar</t>
        </is>
      </c>
      <c r="G553" s="3" t="inlineStr">
        <is>
          <t>Kayu</t>
        </is>
      </c>
      <c r="H553" s="3" t="n"/>
      <c r="I553" s="3" t="inlineStr">
        <is>
          <t>2 Unit</t>
        </is>
      </c>
      <c r="J553" s="4" t="n"/>
      <c r="K553" s="3" t="n">
        <v>2018</v>
      </c>
      <c r="L553" s="5" t="n"/>
      <c r="M553" s="5" t="n"/>
      <c r="N553" s="3" t="inlineStr">
        <is>
          <t>171 - 03 - 03 - 24</t>
        </is>
      </c>
      <c r="O553" s="3" t="n">
        <v>4</v>
      </c>
      <c r="P553" s="5" t="n"/>
      <c r="Q553" s="5" t="n"/>
      <c r="R553" s="3" t="inlineStr">
        <is>
          <t>Baik</t>
        </is>
      </c>
      <c r="S553" s="3" t="inlineStr">
        <is>
          <t>Aktif</t>
        </is>
      </c>
      <c r="T553" s="3" t="n"/>
      <c r="U553" s="3" t="inlineStr">
        <is>
          <t>ASSET TKIA-24 2025(1).xlsx | ASET TKIA 24</t>
        </is>
      </c>
    </row>
    <row r="554">
      <c r="A554" s="3" t="n">
        <v>551</v>
      </c>
      <c r="B554" s="3" t="inlineStr">
        <is>
          <t>171 - 03 - 03 - 24</t>
        </is>
      </c>
      <c r="C554" s="3" t="inlineStr">
        <is>
          <t>TKIA 24 JATIKRAMAT</t>
        </is>
      </c>
      <c r="D554" s="3" t="inlineStr">
        <is>
          <t>II / 14/ ISMAIL / A</t>
        </is>
      </c>
      <c r="E554" s="3" t="inlineStr">
        <is>
          <t>Meja Bundar</t>
        </is>
      </c>
      <c r="F554" s="3" t="inlineStr">
        <is>
          <t>Meja Bundar</t>
        </is>
      </c>
      <c r="G554" s="3" t="inlineStr">
        <is>
          <t>Plastik</t>
        </is>
      </c>
      <c r="H554" s="3" t="n"/>
      <c r="I554" s="3" t="inlineStr">
        <is>
          <t>1 Unit</t>
        </is>
      </c>
      <c r="J554" s="4" t="n"/>
      <c r="K554" s="3" t="n">
        <v>2018</v>
      </c>
      <c r="L554" s="5" t="n"/>
      <c r="M554" s="5" t="n"/>
      <c r="N554" s="3" t="inlineStr">
        <is>
          <t>171 - 03 - 03 - 24</t>
        </is>
      </c>
      <c r="O554" s="3" t="n">
        <v>4</v>
      </c>
      <c r="P554" s="5" t="n"/>
      <c r="Q554" s="5" t="n"/>
      <c r="R554" s="3" t="inlineStr">
        <is>
          <t>Baik</t>
        </is>
      </c>
      <c r="S554" s="3" t="inlineStr">
        <is>
          <t>Aktif</t>
        </is>
      </c>
      <c r="T554" s="3" t="n"/>
      <c r="U554" s="3" t="inlineStr">
        <is>
          <t>ASSET TKIA-24 2025(1).xlsx | ASET TKIA 24</t>
        </is>
      </c>
    </row>
    <row r="555">
      <c r="A555" s="3" t="n">
        <v>552</v>
      </c>
      <c r="B555" s="3" t="inlineStr">
        <is>
          <t>171 - 03 - 03 - 24</t>
        </is>
      </c>
      <c r="C555" s="3" t="inlineStr">
        <is>
          <t>TKIA 24 JATIKRAMAT</t>
        </is>
      </c>
      <c r="D555" s="3" t="inlineStr">
        <is>
          <t>II / 14/ ISMAIL / A</t>
        </is>
      </c>
      <c r="E555" s="3" t="inlineStr">
        <is>
          <t>Kursi</t>
        </is>
      </c>
      <c r="F555" s="3" t="inlineStr">
        <is>
          <t>Kursi</t>
        </is>
      </c>
      <c r="G555" s="3" t="inlineStr">
        <is>
          <t>Plastik</t>
        </is>
      </c>
      <c r="H555" s="3" t="inlineStr">
        <is>
          <t>30 cm x 25 cm x 25 cm</t>
        </is>
      </c>
      <c r="I555" s="3" t="inlineStr">
        <is>
          <t>3 Unit</t>
        </is>
      </c>
      <c r="J555" s="4" t="n"/>
      <c r="K555" s="3" t="n">
        <v>2018</v>
      </c>
      <c r="L555" s="5" t="n"/>
      <c r="M555" s="5" t="n"/>
      <c r="N555" s="3" t="inlineStr">
        <is>
          <t>171 - 03 - 03 - 24</t>
        </is>
      </c>
      <c r="O555" s="3" t="n">
        <v>4</v>
      </c>
      <c r="P555" s="5" t="n"/>
      <c r="Q555" s="5" t="n"/>
      <c r="R555" s="3" t="inlineStr">
        <is>
          <t>Baik</t>
        </is>
      </c>
      <c r="S555" s="3" t="inlineStr">
        <is>
          <t>Aktif</t>
        </is>
      </c>
      <c r="T555" s="3" t="n"/>
      <c r="U555" s="3" t="inlineStr">
        <is>
          <t>ASSET TKIA-24 2025(1).xlsx | ASET TKIA 24</t>
        </is>
      </c>
    </row>
    <row r="556">
      <c r="A556" s="3" t="n">
        <v>553</v>
      </c>
      <c r="B556" s="3" t="inlineStr">
        <is>
          <t>171 - 03 - 03 - 24</t>
        </is>
      </c>
      <c r="C556" s="3" t="inlineStr">
        <is>
          <t>TKIA 24 JATIKRAMAT</t>
        </is>
      </c>
      <c r="D556" s="3" t="inlineStr">
        <is>
          <t>II / 14/ ISMAIL / A</t>
        </is>
      </c>
      <c r="E556" s="3" t="inlineStr">
        <is>
          <t>Meja Persegi</t>
        </is>
      </c>
      <c r="F556" s="3" t="inlineStr">
        <is>
          <t>Meja Persegi</t>
        </is>
      </c>
      <c r="G556" s="3" t="inlineStr">
        <is>
          <t>Kayu</t>
        </is>
      </c>
      <c r="H556" s="3" t="inlineStr">
        <is>
          <t>80 cm x 42 cm</t>
        </is>
      </c>
      <c r="I556" s="3" t="inlineStr">
        <is>
          <t>1 Unit</t>
        </is>
      </c>
      <c r="J556" s="4" t="n"/>
      <c r="K556" s="3" t="n">
        <v>2018</v>
      </c>
      <c r="L556" s="5" t="n"/>
      <c r="M556" s="5" t="n"/>
      <c r="N556" s="3" t="inlineStr">
        <is>
          <t>171 - 03 - 03 - 24</t>
        </is>
      </c>
      <c r="O556" s="3" t="n">
        <v>4</v>
      </c>
      <c r="P556" s="5" t="n"/>
      <c r="Q556" s="5" t="n"/>
      <c r="R556" s="3" t="inlineStr">
        <is>
          <t>Baik</t>
        </is>
      </c>
      <c r="S556" s="3" t="inlineStr">
        <is>
          <t>Aktif</t>
        </is>
      </c>
      <c r="T556" s="3" t="n"/>
      <c r="U556" s="3" t="inlineStr">
        <is>
          <t>ASSET TKIA-24 2025(1).xlsx | ASET TKIA 24</t>
        </is>
      </c>
    </row>
    <row r="557">
      <c r="A557" s="3" t="n">
        <v>554</v>
      </c>
      <c r="B557" s="3" t="inlineStr">
        <is>
          <t>171 - 03 - 03 - 24</t>
        </is>
      </c>
      <c r="C557" s="3" t="inlineStr">
        <is>
          <t>TKIA 24 JATIKRAMAT</t>
        </is>
      </c>
      <c r="D557" s="3" t="inlineStr">
        <is>
          <t>II / 14/ ISMAIL / A</t>
        </is>
      </c>
      <c r="E557" s="3" t="inlineStr">
        <is>
          <t>WhiteBoard</t>
        </is>
      </c>
      <c r="F557" s="3" t="inlineStr">
        <is>
          <t>WhiteBoard</t>
        </is>
      </c>
      <c r="G557" s="3" t="inlineStr">
        <is>
          <t>Kayu</t>
        </is>
      </c>
      <c r="H557" s="3" t="inlineStr">
        <is>
          <t>240 cm x 120 cm</t>
        </is>
      </c>
      <c r="I557" s="3" t="inlineStr">
        <is>
          <t>1 Unit</t>
        </is>
      </c>
      <c r="J557" s="4" t="n"/>
      <c r="K557" s="3" t="n">
        <v>2018</v>
      </c>
      <c r="L557" s="5" t="n"/>
      <c r="M557" s="5" t="n"/>
      <c r="N557" s="3" t="inlineStr">
        <is>
          <t>171 - 03 - 03 - 24</t>
        </is>
      </c>
      <c r="O557" s="3" t="n">
        <v>4</v>
      </c>
      <c r="P557" s="5" t="n"/>
      <c r="Q557" s="5" t="n"/>
      <c r="R557" s="3" t="inlineStr">
        <is>
          <t>Baik</t>
        </is>
      </c>
      <c r="S557" s="3" t="inlineStr">
        <is>
          <t>Aktif</t>
        </is>
      </c>
      <c r="T557" s="3" t="n"/>
      <c r="U557" s="3" t="inlineStr">
        <is>
          <t>ASSET TKIA-24 2025(1).xlsx | ASET TKIA 24</t>
        </is>
      </c>
    </row>
    <row r="558">
      <c r="A558" s="3" t="n">
        <v>555</v>
      </c>
      <c r="B558" s="3" t="inlineStr">
        <is>
          <t>171 - 03 - 03 - 24</t>
        </is>
      </c>
      <c r="C558" s="3" t="inlineStr">
        <is>
          <t>TKIA 24 JATIKRAMAT</t>
        </is>
      </c>
      <c r="D558" s="3" t="inlineStr">
        <is>
          <t>II / 14/ ISMAIL / A</t>
        </is>
      </c>
      <c r="E558" s="3" t="inlineStr">
        <is>
          <t>Cermin</t>
        </is>
      </c>
      <c r="F558" s="3" t="inlineStr">
        <is>
          <t>Cermin</t>
        </is>
      </c>
      <c r="G558" s="3" t="inlineStr">
        <is>
          <t>Kaca/ Kayu</t>
        </is>
      </c>
      <c r="H558" s="3" t="inlineStr">
        <is>
          <t>80 cm x 40 cm</t>
        </is>
      </c>
      <c r="I558" s="3" t="inlineStr">
        <is>
          <t>1 Unit</t>
        </is>
      </c>
      <c r="J558" s="4" t="n"/>
      <c r="K558" s="3" t="n">
        <v>2018</v>
      </c>
      <c r="L558" s="5" t="n"/>
      <c r="M558" s="5" t="n"/>
      <c r="N558" s="3" t="inlineStr">
        <is>
          <t>171 - 03 - 03 - 24</t>
        </is>
      </c>
      <c r="O558" s="3" t="n">
        <v>4</v>
      </c>
      <c r="P558" s="5" t="n"/>
      <c r="Q558" s="5" t="n"/>
      <c r="R558" s="3" t="inlineStr">
        <is>
          <t>Baik</t>
        </is>
      </c>
      <c r="S558" s="3" t="inlineStr">
        <is>
          <t>Aktif</t>
        </is>
      </c>
      <c r="T558" s="3" t="n"/>
      <c r="U558" s="3" t="inlineStr">
        <is>
          <t>ASSET TKIA-24 2025(1).xlsx | ASET TKIA 24</t>
        </is>
      </c>
    </row>
    <row r="559">
      <c r="A559" s="3" t="n">
        <v>556</v>
      </c>
      <c r="B559" s="3" t="inlineStr">
        <is>
          <t>171 - 03 - 03 - 24</t>
        </is>
      </c>
      <c r="C559" s="3" t="inlineStr">
        <is>
          <t>TKIA 24 JATIKRAMAT</t>
        </is>
      </c>
      <c r="D559" s="3" t="inlineStr">
        <is>
          <t>II / 14/ ISMAIL / A</t>
        </is>
      </c>
      <c r="E559" s="3" t="inlineStr">
        <is>
          <t>Karpet Besar</t>
        </is>
      </c>
      <c r="F559" s="3" t="inlineStr">
        <is>
          <t>Karpet Besar</t>
        </is>
      </c>
      <c r="G559" s="3" t="inlineStr">
        <is>
          <t>Kain</t>
        </is>
      </c>
      <c r="H559" s="3" t="inlineStr">
        <is>
          <t>330 x 245 cm</t>
        </is>
      </c>
      <c r="I559" s="3" t="inlineStr">
        <is>
          <t>1 Unit</t>
        </is>
      </c>
      <c r="J559" s="4" t="n"/>
      <c r="K559" s="3" t="n">
        <v>2018</v>
      </c>
      <c r="L559" s="5" t="n"/>
      <c r="M559" s="5" t="n"/>
      <c r="N559" s="3" t="inlineStr">
        <is>
          <t>171 - 03 - 03 - 24</t>
        </is>
      </c>
      <c r="O559" s="3" t="n">
        <v>4</v>
      </c>
      <c r="P559" s="5" t="n"/>
      <c r="Q559" s="5" t="n"/>
      <c r="R559" s="3" t="inlineStr">
        <is>
          <t>Baik</t>
        </is>
      </c>
      <c r="S559" s="3" t="inlineStr">
        <is>
          <t>Aktif</t>
        </is>
      </c>
      <c r="T559" s="3" t="n"/>
      <c r="U559" s="3" t="inlineStr">
        <is>
          <t>ASSET TKIA-24 2025(1).xlsx | ASET TKIA 24</t>
        </is>
      </c>
    </row>
    <row r="560">
      <c r="A560" s="3" t="n">
        <v>557</v>
      </c>
      <c r="B560" s="3" t="inlineStr">
        <is>
          <t>171 - 03 - 03 - 24</t>
        </is>
      </c>
      <c r="C560" s="3" t="inlineStr">
        <is>
          <t>TKIA 24 JATIKRAMAT</t>
        </is>
      </c>
      <c r="D560" s="3" t="inlineStr">
        <is>
          <t>II / 14/ ISMAIL / A</t>
        </is>
      </c>
      <c r="E560" s="3" t="inlineStr">
        <is>
          <t>Karpet Bulat</t>
        </is>
      </c>
      <c r="F560" s="3" t="inlineStr">
        <is>
          <t>Karpet Bulat</t>
        </is>
      </c>
      <c r="G560" s="3" t="inlineStr">
        <is>
          <t>Kain</t>
        </is>
      </c>
      <c r="H560" s="3" t="n"/>
      <c r="I560" s="3" t="inlineStr">
        <is>
          <t>1 Unit</t>
        </is>
      </c>
      <c r="J560" s="4" t="n"/>
      <c r="K560" s="3" t="n">
        <v>2018</v>
      </c>
      <c r="L560" s="5" t="n"/>
      <c r="M560" s="5" t="n"/>
      <c r="N560" s="3" t="inlineStr">
        <is>
          <t>171 - 03 - 03 - 24</t>
        </is>
      </c>
      <c r="O560" s="3" t="n">
        <v>4</v>
      </c>
      <c r="P560" s="5" t="n"/>
      <c r="Q560" s="5" t="n"/>
      <c r="R560" s="3" t="inlineStr">
        <is>
          <t>Baik</t>
        </is>
      </c>
      <c r="S560" s="3" t="inlineStr">
        <is>
          <t>Aktif</t>
        </is>
      </c>
      <c r="T560" s="3" t="n"/>
      <c r="U560" s="3" t="inlineStr">
        <is>
          <t>ASSET TKIA-24 2025(1).xlsx | ASET TKIA 24</t>
        </is>
      </c>
    </row>
    <row r="561">
      <c r="A561" s="3" t="n">
        <v>558</v>
      </c>
      <c r="B561" s="3" t="n"/>
      <c r="C561" s="3" t="inlineStr">
        <is>
          <t>TKIA 24 JATIKRAMAT</t>
        </is>
      </c>
      <c r="D561" s="3" t="inlineStr">
        <is>
          <t>II / 14/ ISMAIL / A</t>
        </is>
      </c>
      <c r="E561" s="3" t="inlineStr">
        <is>
          <t>Air Purifier</t>
        </is>
      </c>
      <c r="F561" s="3" t="inlineStr">
        <is>
          <t>Air Purifier</t>
        </is>
      </c>
      <c r="G561" s="3" t="n"/>
      <c r="H561" s="3" t="n"/>
      <c r="I561" s="3" t="n"/>
      <c r="J561" s="4" t="n"/>
      <c r="K561" s="3" t="n"/>
      <c r="L561" s="5" t="n"/>
      <c r="M561" s="5" t="n"/>
      <c r="N561" s="3" t="n"/>
      <c r="O561" s="3" t="n">
        <v>4</v>
      </c>
      <c r="P561" s="5" t="n"/>
      <c r="Q561" s="5" t="n"/>
      <c r="R561" s="3" t="inlineStr">
        <is>
          <t>Baik</t>
        </is>
      </c>
      <c r="S561" s="3" t="inlineStr">
        <is>
          <t>Aktif</t>
        </is>
      </c>
      <c r="T561" s="3" t="n"/>
      <c r="U561" s="3" t="inlineStr">
        <is>
          <t>ASSET TKIA-24 2025(1).xlsx | ASET TKIA 24</t>
        </is>
      </c>
    </row>
    <row r="562">
      <c r="A562" s="3" t="n">
        <v>559</v>
      </c>
      <c r="B562" s="3" t="inlineStr">
        <is>
          <t>171 - 03 - 03 - 24</t>
        </is>
      </c>
      <c r="C562" s="3" t="inlineStr">
        <is>
          <t>TKIA 24 JATIKRAMAT</t>
        </is>
      </c>
      <c r="D562" s="3" t="inlineStr">
        <is>
          <t>II / 14/ ISMAIL / A</t>
        </is>
      </c>
      <c r="E562" s="3" t="inlineStr">
        <is>
          <t>Karpet Kecil</t>
        </is>
      </c>
      <c r="F562" s="3" t="inlineStr">
        <is>
          <t>Karpet Kecil</t>
        </is>
      </c>
      <c r="G562" s="3" t="inlineStr">
        <is>
          <t>Kain</t>
        </is>
      </c>
      <c r="H562" s="3" t="n"/>
      <c r="I562" s="3" t="inlineStr">
        <is>
          <t>1 Unit</t>
        </is>
      </c>
      <c r="J562" s="4" t="n"/>
      <c r="K562" s="3" t="n">
        <v>2018</v>
      </c>
      <c r="L562" s="5" t="n"/>
      <c r="M562" s="5" t="n"/>
      <c r="N562" s="3" t="inlineStr">
        <is>
          <t>171 - 03 - 03 - 24</t>
        </is>
      </c>
      <c r="O562" s="3" t="n">
        <v>4</v>
      </c>
      <c r="P562" s="5" t="n"/>
      <c r="Q562" s="5" t="n"/>
      <c r="R562" s="3" t="inlineStr">
        <is>
          <t>Baik</t>
        </is>
      </c>
      <c r="S562" s="3" t="inlineStr">
        <is>
          <t>Aktif</t>
        </is>
      </c>
      <c r="T562" s="3" t="n"/>
      <c r="U562" s="3" t="inlineStr">
        <is>
          <t>ASSET TKIA-24 2025(1).xlsx | ASET TKIA 24</t>
        </is>
      </c>
    </row>
    <row r="563">
      <c r="A563" s="3" t="n">
        <v>560</v>
      </c>
      <c r="B563" s="3" t="inlineStr">
        <is>
          <t>171 - 03 - 03 - 24</t>
        </is>
      </c>
      <c r="C563" s="3" t="inlineStr">
        <is>
          <t>TKIA 24 JATIKRAMAT</t>
        </is>
      </c>
      <c r="D563" s="3" t="inlineStr">
        <is>
          <t>II / 15/ IBRAHIM / A</t>
        </is>
      </c>
      <c r="E563" s="3" t="inlineStr">
        <is>
          <t>Locker</t>
        </is>
      </c>
      <c r="F563" s="3" t="inlineStr">
        <is>
          <t>Locker</t>
        </is>
      </c>
      <c r="G563" s="3" t="inlineStr">
        <is>
          <t>Kayu</t>
        </is>
      </c>
      <c r="H563" s="3" t="inlineStr">
        <is>
          <t>150 cm x 100 cm</t>
        </is>
      </c>
      <c r="I563" s="3" t="n"/>
      <c r="J563" s="4" t="n"/>
      <c r="K563" s="3" t="n"/>
      <c r="L563" s="5" t="n"/>
      <c r="M563" s="5" t="n"/>
      <c r="N563" s="3" t="inlineStr">
        <is>
          <t>171 - 03 - 03 - 24</t>
        </is>
      </c>
      <c r="O563" s="3" t="n">
        <v>4</v>
      </c>
      <c r="P563" s="5" t="n"/>
      <c r="Q563" s="5" t="n"/>
      <c r="R563" s="3" t="inlineStr">
        <is>
          <t>Baik</t>
        </is>
      </c>
      <c r="S563" s="3" t="inlineStr">
        <is>
          <t>Aktif</t>
        </is>
      </c>
      <c r="T563" s="3" t="n"/>
      <c r="U563" s="3" t="inlineStr">
        <is>
          <t>ASSET TKIA-24 2025(1).xlsx | ASET TKIA 24</t>
        </is>
      </c>
    </row>
    <row r="564">
      <c r="A564" s="3" t="n">
        <v>561</v>
      </c>
      <c r="B564" s="3" t="inlineStr">
        <is>
          <t>171 - 03 - 03 - 24</t>
        </is>
      </c>
      <c r="C564" s="3" t="inlineStr">
        <is>
          <t>TKIA 24 JATIKRAMAT</t>
        </is>
      </c>
      <c r="D564" s="3" t="inlineStr">
        <is>
          <t>II / 15/ IBRAHIM / A</t>
        </is>
      </c>
      <c r="E564" s="3" t="inlineStr">
        <is>
          <t>Rak</t>
        </is>
      </c>
      <c r="F564" s="3" t="inlineStr">
        <is>
          <t>Rak</t>
        </is>
      </c>
      <c r="G564" s="3" t="inlineStr">
        <is>
          <t>Kayu</t>
        </is>
      </c>
      <c r="H564" s="3" t="inlineStr">
        <is>
          <t>120 cm x 105 cm</t>
        </is>
      </c>
      <c r="I564" s="3" t="n"/>
      <c r="J564" s="4" t="n"/>
      <c r="K564" s="3" t="n"/>
      <c r="L564" s="5" t="n"/>
      <c r="M564" s="5" t="n"/>
      <c r="N564" s="3" t="inlineStr">
        <is>
          <t>171 - 03 - 03 - 24</t>
        </is>
      </c>
      <c r="O564" s="3" t="n">
        <v>4</v>
      </c>
      <c r="P564" s="5" t="n"/>
      <c r="Q564" s="5" t="n"/>
      <c r="R564" s="3" t="inlineStr">
        <is>
          <t>Baik</t>
        </is>
      </c>
      <c r="S564" s="3" t="inlineStr">
        <is>
          <t>Aktif</t>
        </is>
      </c>
      <c r="T564" s="3" t="n"/>
      <c r="U564" s="3" t="inlineStr">
        <is>
          <t>ASSET TKIA-24 2025(1).xlsx | ASET TKIA 24</t>
        </is>
      </c>
    </row>
    <row r="565">
      <c r="A565" s="3" t="n">
        <v>562</v>
      </c>
      <c r="B565" s="3" t="inlineStr">
        <is>
          <t>171 - 03 - 03 - 24</t>
        </is>
      </c>
      <c r="C565" s="3" t="inlineStr">
        <is>
          <t>TKIA 24 JATIKRAMAT</t>
        </is>
      </c>
      <c r="D565" s="3" t="inlineStr">
        <is>
          <t>II / 15/ IBRAHIM / A</t>
        </is>
      </c>
      <c r="E565" s="3" t="inlineStr">
        <is>
          <t>Lemari</t>
        </is>
      </c>
      <c r="F565" s="3" t="inlineStr">
        <is>
          <t>Lemari</t>
        </is>
      </c>
      <c r="G565" s="3" t="inlineStr">
        <is>
          <t>Kayu</t>
        </is>
      </c>
      <c r="H565" s="3" t="inlineStr">
        <is>
          <t>135 cm x 130 cm</t>
        </is>
      </c>
      <c r="I565" s="3" t="n"/>
      <c r="J565" s="4" t="n"/>
      <c r="K565" s="3" t="n"/>
      <c r="L565" s="5" t="n"/>
      <c r="M565" s="5" t="n"/>
      <c r="N565" s="3" t="inlineStr">
        <is>
          <t>171 - 03 - 03 - 24</t>
        </is>
      </c>
      <c r="O565" s="3" t="n">
        <v>4</v>
      </c>
      <c r="P565" s="5" t="n"/>
      <c r="Q565" s="5" t="n"/>
      <c r="R565" s="3" t="inlineStr">
        <is>
          <t>Baik</t>
        </is>
      </c>
      <c r="S565" s="3" t="inlineStr">
        <is>
          <t>Aktif</t>
        </is>
      </c>
      <c r="T565" s="3" t="n"/>
      <c r="U565" s="3" t="inlineStr">
        <is>
          <t>ASSET TKIA-24 2025(1).xlsx | ASET TKIA 24</t>
        </is>
      </c>
    </row>
    <row r="566">
      <c r="A566" s="3" t="n">
        <v>563</v>
      </c>
      <c r="B566" s="3" t="inlineStr">
        <is>
          <t>171 - 03 - 03 - 24</t>
        </is>
      </c>
      <c r="C566" s="3" t="inlineStr">
        <is>
          <t>TKIA 24 JATIKRAMAT</t>
        </is>
      </c>
      <c r="D566" s="3" t="inlineStr">
        <is>
          <t>II / 15/ IBRAHIM / A</t>
        </is>
      </c>
      <c r="E566" s="3" t="inlineStr">
        <is>
          <t>Lemari Plastik</t>
        </is>
      </c>
      <c r="F566" s="3" t="inlineStr">
        <is>
          <t>Lemari Plastik</t>
        </is>
      </c>
      <c r="G566" s="3" t="inlineStr">
        <is>
          <t>Plastik</t>
        </is>
      </c>
      <c r="H566" s="3" t="inlineStr">
        <is>
          <t>1 08 cm x 43 cm</t>
        </is>
      </c>
      <c r="I566" s="3" t="n"/>
      <c r="J566" s="4" t="n"/>
      <c r="K566" s="3" t="n"/>
      <c r="L566" s="5" t="n"/>
      <c r="M566" s="5" t="n"/>
      <c r="N566" s="3" t="inlineStr">
        <is>
          <t>171 - 03 - 03 - 24</t>
        </is>
      </c>
      <c r="O566" s="3" t="n">
        <v>4</v>
      </c>
      <c r="P566" s="5" t="n"/>
      <c r="Q566" s="5" t="n"/>
      <c r="R566" s="3" t="inlineStr">
        <is>
          <t>Baik</t>
        </is>
      </c>
      <c r="S566" s="3" t="inlineStr">
        <is>
          <t>Aktif</t>
        </is>
      </c>
      <c r="T566" s="3" t="n"/>
      <c r="U566" s="3" t="inlineStr">
        <is>
          <t>ASSET TKIA-24 2025(1).xlsx | ASET TKIA 24</t>
        </is>
      </c>
    </row>
    <row r="567">
      <c r="A567" s="3" t="n">
        <v>564</v>
      </c>
      <c r="B567" s="3" t="inlineStr">
        <is>
          <t>171 - 03 - 03 - 24</t>
        </is>
      </c>
      <c r="C567" s="3" t="inlineStr">
        <is>
          <t>TKIA 24 JATIKRAMAT</t>
        </is>
      </c>
      <c r="D567" s="3" t="inlineStr">
        <is>
          <t>II / 15/ IBRAHIM / A</t>
        </is>
      </c>
      <c r="E567" s="3" t="inlineStr">
        <is>
          <t>Meja Bundar</t>
        </is>
      </c>
      <c r="F567" s="3" t="inlineStr">
        <is>
          <t>Meja Bundar</t>
        </is>
      </c>
      <c r="G567" s="3" t="inlineStr">
        <is>
          <t>Plastik</t>
        </is>
      </c>
      <c r="H567" s="3" t="n"/>
      <c r="I567" s="3" t="n"/>
      <c r="J567" s="4" t="n"/>
      <c r="K567" s="3" t="n"/>
      <c r="L567" s="5" t="n"/>
      <c r="M567" s="5" t="n"/>
      <c r="N567" s="3" t="inlineStr">
        <is>
          <t>171 - 03 - 03 - 24</t>
        </is>
      </c>
      <c r="O567" s="3" t="n">
        <v>4</v>
      </c>
      <c r="P567" s="5" t="n"/>
      <c r="Q567" s="5" t="n"/>
      <c r="R567" s="3" t="inlineStr">
        <is>
          <t>Baik</t>
        </is>
      </c>
      <c r="S567" s="3" t="inlineStr">
        <is>
          <t>Aktif</t>
        </is>
      </c>
      <c r="T567" s="3" t="n"/>
      <c r="U567" s="3" t="inlineStr">
        <is>
          <t>ASSET TKIA-24 2025(1).xlsx | ASET TKIA 24</t>
        </is>
      </c>
    </row>
    <row r="568">
      <c r="A568" s="3" t="n">
        <v>565</v>
      </c>
      <c r="B568" s="3" t="inlineStr">
        <is>
          <t>171 - 03 - 03 - 24</t>
        </is>
      </c>
      <c r="C568" s="3" t="inlineStr">
        <is>
          <t>TKIA 24 JATIKRAMAT</t>
        </is>
      </c>
      <c r="D568" s="3" t="inlineStr">
        <is>
          <t>II / 15/ IBRAHIM / A</t>
        </is>
      </c>
      <c r="E568" s="3" t="inlineStr">
        <is>
          <t>Meja Bundar</t>
        </is>
      </c>
      <c r="F568" s="3" t="inlineStr">
        <is>
          <t>Meja Bundar</t>
        </is>
      </c>
      <c r="G568" s="3" t="inlineStr">
        <is>
          <t>Kayu</t>
        </is>
      </c>
      <c r="H568" s="3" t="n"/>
      <c r="I568" s="3" t="n"/>
      <c r="J568" s="4" t="n"/>
      <c r="K568" s="3" t="n"/>
      <c r="L568" s="5" t="n"/>
      <c r="M568" s="5" t="n"/>
      <c r="N568" s="3" t="inlineStr">
        <is>
          <t>171 - 03 - 03 - 24</t>
        </is>
      </c>
      <c r="O568" s="3" t="n">
        <v>4</v>
      </c>
      <c r="P568" s="5" t="n"/>
      <c r="Q568" s="5" t="n"/>
      <c r="R568" s="3" t="inlineStr">
        <is>
          <t>Baik</t>
        </is>
      </c>
      <c r="S568" s="3" t="inlineStr">
        <is>
          <t>Aktif</t>
        </is>
      </c>
      <c r="T568" s="3" t="n"/>
      <c r="U568" s="3" t="inlineStr">
        <is>
          <t>ASSET TKIA-24 2025(1).xlsx | ASET TKIA 24</t>
        </is>
      </c>
    </row>
    <row r="569">
      <c r="A569" s="3" t="n">
        <v>566</v>
      </c>
      <c r="B569" s="3" t="inlineStr">
        <is>
          <t>171 - 03 - 03 - 24</t>
        </is>
      </c>
      <c r="C569" s="3" t="inlineStr">
        <is>
          <t>TKIA 24 JATIKRAMAT</t>
        </is>
      </c>
      <c r="D569" s="3" t="inlineStr">
        <is>
          <t>II / 15/ IBRAHIM / A</t>
        </is>
      </c>
      <c r="E569" s="3" t="inlineStr">
        <is>
          <t>Meja Persegi</t>
        </is>
      </c>
      <c r="F569" s="3" t="inlineStr">
        <is>
          <t>Meja Persegi</t>
        </is>
      </c>
      <c r="G569" s="3" t="inlineStr">
        <is>
          <t>Plastik</t>
        </is>
      </c>
      <c r="H569" s="3" t="inlineStr">
        <is>
          <t>120 cm x 60 cm</t>
        </is>
      </c>
      <c r="I569" s="3" t="n"/>
      <c r="J569" s="4" t="n"/>
      <c r="K569" s="3" t="n"/>
      <c r="L569" s="5" t="n"/>
      <c r="M569" s="5" t="n"/>
      <c r="N569" s="3" t="inlineStr">
        <is>
          <t>171 - 03 - 03 - 24</t>
        </is>
      </c>
      <c r="O569" s="3" t="n">
        <v>4</v>
      </c>
      <c r="P569" s="5" t="n"/>
      <c r="Q569" s="5" t="n"/>
      <c r="R569" s="3" t="inlineStr">
        <is>
          <t>Baik</t>
        </is>
      </c>
      <c r="S569" s="3" t="inlineStr">
        <is>
          <t>Aktif</t>
        </is>
      </c>
      <c r="T569" s="3" t="n"/>
      <c r="U569" s="3" t="inlineStr">
        <is>
          <t>ASSET TKIA-24 2025(1).xlsx | ASET TKIA 24</t>
        </is>
      </c>
    </row>
    <row r="570">
      <c r="A570" s="3" t="n">
        <v>567</v>
      </c>
      <c r="B570" s="3" t="inlineStr">
        <is>
          <t>171 - 03 - 03 - 24</t>
        </is>
      </c>
      <c r="C570" s="3" t="inlineStr">
        <is>
          <t>TKIA 24 JATIKRAMAT</t>
        </is>
      </c>
      <c r="D570" s="3" t="inlineStr">
        <is>
          <t>II / 15/ IBRAHIM / A</t>
        </is>
      </c>
      <c r="E570" s="3" t="inlineStr">
        <is>
          <t>Kitchenset Anak</t>
        </is>
      </c>
      <c r="F570" s="3" t="inlineStr">
        <is>
          <t>Kitchenset Anak</t>
        </is>
      </c>
      <c r="G570" s="3" t="inlineStr">
        <is>
          <t>Plastik</t>
        </is>
      </c>
      <c r="H570" s="3" t="n"/>
      <c r="I570" s="3" t="n"/>
      <c r="J570" s="4" t="n"/>
      <c r="K570" s="3" t="n"/>
      <c r="L570" s="5" t="n"/>
      <c r="M570" s="5" t="n"/>
      <c r="N570" s="3" t="inlineStr">
        <is>
          <t>171 - 03 - 03 - 24</t>
        </is>
      </c>
      <c r="O570" s="3" t="n">
        <v>4</v>
      </c>
      <c r="P570" s="5" t="n"/>
      <c r="Q570" s="5" t="n"/>
      <c r="R570" s="3" t="inlineStr">
        <is>
          <t>Baik</t>
        </is>
      </c>
      <c r="S570" s="3" t="inlineStr">
        <is>
          <t>Aktif</t>
        </is>
      </c>
      <c r="T570" s="3" t="n"/>
      <c r="U570" s="3" t="inlineStr">
        <is>
          <t>ASSET TKIA-24 2025(1).xlsx | ASET TKIA 24</t>
        </is>
      </c>
    </row>
    <row r="571">
      <c r="A571" s="3" t="n">
        <v>568</v>
      </c>
      <c r="B571" s="3" t="inlineStr">
        <is>
          <t>171 - 03 - 03 - 24</t>
        </is>
      </c>
      <c r="C571" s="3" t="inlineStr">
        <is>
          <t>TKIA 24 JATIKRAMAT</t>
        </is>
      </c>
      <c r="D571" s="3" t="inlineStr">
        <is>
          <t>II / 15/ IBRAHIM / A</t>
        </is>
      </c>
      <c r="E571" s="3" t="inlineStr">
        <is>
          <t>Meja Persegi</t>
        </is>
      </c>
      <c r="F571" s="3" t="inlineStr">
        <is>
          <t>Meja Persegi</t>
        </is>
      </c>
      <c r="G571" s="3" t="inlineStr">
        <is>
          <t>Kayu</t>
        </is>
      </c>
      <c r="H571" s="3" t="inlineStr">
        <is>
          <t>80 cm x 43 cm</t>
        </is>
      </c>
      <c r="I571" s="3" t="n"/>
      <c r="J571" s="4" t="n"/>
      <c r="K571" s="3" t="n"/>
      <c r="L571" s="5" t="n"/>
      <c r="M571" s="5" t="n"/>
      <c r="N571" s="3" t="inlineStr">
        <is>
          <t>171 - 03 - 03 - 24</t>
        </is>
      </c>
      <c r="O571" s="3" t="n">
        <v>4</v>
      </c>
      <c r="P571" s="5" t="n"/>
      <c r="Q571" s="5" t="n"/>
      <c r="R571" s="3" t="inlineStr">
        <is>
          <t>Baik</t>
        </is>
      </c>
      <c r="S571" s="3" t="inlineStr">
        <is>
          <t>Aktif</t>
        </is>
      </c>
      <c r="T571" s="3" t="n"/>
      <c r="U571" s="3" t="inlineStr">
        <is>
          <t>ASSET TKIA-24 2025(1).xlsx | ASET TKIA 24</t>
        </is>
      </c>
    </row>
    <row r="572">
      <c r="A572" s="3" t="n">
        <v>569</v>
      </c>
      <c r="B572" s="3" t="inlineStr">
        <is>
          <t>171 - 03 - 03 - 24</t>
        </is>
      </c>
      <c r="C572" s="3" t="inlineStr">
        <is>
          <t>TKIA 24 JATIKRAMAT</t>
        </is>
      </c>
      <c r="D572" s="3" t="inlineStr">
        <is>
          <t>II / 15/ IBRAHIM / A</t>
        </is>
      </c>
      <c r="E572" s="3" t="inlineStr">
        <is>
          <t>WhiteBoard</t>
        </is>
      </c>
      <c r="F572" s="3" t="inlineStr">
        <is>
          <t>WhiteBoard</t>
        </is>
      </c>
      <c r="G572" s="3" t="inlineStr">
        <is>
          <t>Kayu</t>
        </is>
      </c>
      <c r="H572" s="3" t="inlineStr">
        <is>
          <t>240 cm x 120 cm</t>
        </is>
      </c>
      <c r="I572" s="3" t="n"/>
      <c r="J572" s="4" t="n"/>
      <c r="K572" s="3" t="n"/>
      <c r="L572" s="5" t="n"/>
      <c r="M572" s="5" t="n"/>
      <c r="N572" s="3" t="inlineStr">
        <is>
          <t>171 - 03 - 03 - 24</t>
        </is>
      </c>
      <c r="O572" s="3" t="n">
        <v>4</v>
      </c>
      <c r="P572" s="5" t="n"/>
      <c r="Q572" s="5" t="n"/>
      <c r="R572" s="3" t="inlineStr">
        <is>
          <t>Baik</t>
        </is>
      </c>
      <c r="S572" s="3" t="inlineStr">
        <is>
          <t>Aktif</t>
        </is>
      </c>
      <c r="T572" s="3" t="n"/>
      <c r="U572" s="3" t="inlineStr">
        <is>
          <t>ASSET TKIA-24 2025(1).xlsx | ASET TKIA 24</t>
        </is>
      </c>
    </row>
    <row r="573">
      <c r="A573" s="3" t="n">
        <v>570</v>
      </c>
      <c r="B573" s="3" t="inlineStr">
        <is>
          <t>171 - 03 - 03 - 24</t>
        </is>
      </c>
      <c r="C573" s="3" t="inlineStr">
        <is>
          <t>TKIA 24 JATIKRAMAT</t>
        </is>
      </c>
      <c r="D573" s="3" t="inlineStr">
        <is>
          <t>II / 15/ IBRAHIM / A</t>
        </is>
      </c>
      <c r="E573" s="3" t="inlineStr">
        <is>
          <t>Karpet Besar</t>
        </is>
      </c>
      <c r="F573" s="3" t="inlineStr">
        <is>
          <t>Karpet Besar</t>
        </is>
      </c>
      <c r="G573" s="3" t="inlineStr">
        <is>
          <t>Kain</t>
        </is>
      </c>
      <c r="H573" s="3" t="inlineStr">
        <is>
          <t>330 x 245 cm</t>
        </is>
      </c>
      <c r="I573" s="3" t="n"/>
      <c r="J573" s="4" t="n"/>
      <c r="K573" s="3" t="n"/>
      <c r="L573" s="5" t="n"/>
      <c r="M573" s="5" t="n"/>
      <c r="N573" s="3" t="inlineStr">
        <is>
          <t>171 - 03 - 03 - 24</t>
        </is>
      </c>
      <c r="O573" s="3" t="n">
        <v>4</v>
      </c>
      <c r="P573" s="5" t="n"/>
      <c r="Q573" s="5" t="n"/>
      <c r="R573" s="3" t="inlineStr">
        <is>
          <t>Baik</t>
        </is>
      </c>
      <c r="S573" s="3" t="inlineStr">
        <is>
          <t>Aktif</t>
        </is>
      </c>
      <c r="T573" s="3" t="n"/>
      <c r="U573" s="3" t="inlineStr">
        <is>
          <t>ASSET TKIA-24 2025(1).xlsx | ASET TKIA 24</t>
        </is>
      </c>
    </row>
    <row r="574">
      <c r="A574" s="3" t="n">
        <v>571</v>
      </c>
      <c r="B574" s="3" t="inlineStr">
        <is>
          <t>171 - 03 - 03 - 24</t>
        </is>
      </c>
      <c r="C574" s="3" t="inlineStr">
        <is>
          <t>TKIA 24 JATIKRAMAT</t>
        </is>
      </c>
      <c r="D574" s="3" t="inlineStr">
        <is>
          <t>II / 15/ IBRAHIM / A</t>
        </is>
      </c>
      <c r="E574" s="3" t="inlineStr">
        <is>
          <t>Karpet Bulat</t>
        </is>
      </c>
      <c r="F574" s="3" t="inlineStr">
        <is>
          <t>Karpet Bulat</t>
        </is>
      </c>
      <c r="G574" s="3" t="inlineStr">
        <is>
          <t>Kain</t>
        </is>
      </c>
      <c r="H574" s="3" t="n"/>
      <c r="I574" s="3" t="n"/>
      <c r="J574" s="4" t="n"/>
      <c r="K574" s="3" t="n"/>
      <c r="L574" s="5" t="n"/>
      <c r="M574" s="5" t="n"/>
      <c r="N574" s="3" t="inlineStr">
        <is>
          <t>171 - 03 - 03 - 24</t>
        </is>
      </c>
      <c r="O574" s="3" t="n">
        <v>4</v>
      </c>
      <c r="P574" s="5" t="n"/>
      <c r="Q574" s="5" t="n"/>
      <c r="R574" s="3" t="inlineStr">
        <is>
          <t>Baik</t>
        </is>
      </c>
      <c r="S574" s="3" t="inlineStr">
        <is>
          <t>Aktif</t>
        </is>
      </c>
      <c r="T574" s="3" t="n"/>
      <c r="U574" s="3" t="inlineStr">
        <is>
          <t>ASSET TKIA-24 2025(1).xlsx | ASET TKIA 24</t>
        </is>
      </c>
    </row>
    <row r="575">
      <c r="A575" s="3" t="n">
        <v>572</v>
      </c>
      <c r="B575" s="3" t="inlineStr">
        <is>
          <t>171 - 03 - 03 - 24</t>
        </is>
      </c>
      <c r="C575" s="3" t="inlineStr">
        <is>
          <t>TKIA 24 JATIKRAMAT</t>
        </is>
      </c>
      <c r="D575" s="3" t="inlineStr">
        <is>
          <t>II / 15/ IBRAHIM / A</t>
        </is>
      </c>
      <c r="E575" s="3" t="inlineStr">
        <is>
          <t>Karpet Kecil</t>
        </is>
      </c>
      <c r="F575" s="3" t="inlineStr">
        <is>
          <t>Karpet Kecil</t>
        </is>
      </c>
      <c r="G575" s="3" t="inlineStr">
        <is>
          <t>Kain</t>
        </is>
      </c>
      <c r="H575" s="3" t="n"/>
      <c r="I575" s="3" t="n"/>
      <c r="J575" s="4" t="n"/>
      <c r="K575" s="3" t="n"/>
      <c r="L575" s="5" t="n"/>
      <c r="M575" s="5" t="n"/>
      <c r="N575" s="3" t="inlineStr">
        <is>
          <t>171 - 03 - 03 - 24</t>
        </is>
      </c>
      <c r="O575" s="3" t="n">
        <v>4</v>
      </c>
      <c r="P575" s="5" t="n"/>
      <c r="Q575" s="5" t="n"/>
      <c r="R575" s="3" t="inlineStr">
        <is>
          <t>Baik</t>
        </is>
      </c>
      <c r="S575" s="3" t="inlineStr">
        <is>
          <t>Aktif</t>
        </is>
      </c>
      <c r="T575" s="3" t="n"/>
      <c r="U575" s="3" t="inlineStr">
        <is>
          <t>ASSET TKIA-24 2025(1).xlsx | ASET TKIA 24</t>
        </is>
      </c>
    </row>
    <row r="576">
      <c r="A576" s="3" t="n">
        <v>573</v>
      </c>
      <c r="B576" s="3" t="inlineStr">
        <is>
          <t>171 - 03 - 03 - 24</t>
        </is>
      </c>
      <c r="C576" s="3" t="inlineStr">
        <is>
          <t>TKIA 24 JATIKRAMAT</t>
        </is>
      </c>
      <c r="D576" s="3" t="inlineStr">
        <is>
          <t>II / 16/ TOILET</t>
        </is>
      </c>
      <c r="E576" s="3" t="inlineStr">
        <is>
          <t>Closed Duduk</t>
        </is>
      </c>
      <c r="F576" s="3" t="inlineStr">
        <is>
          <t>Closed Duduk</t>
        </is>
      </c>
      <c r="G576" s="3" t="inlineStr">
        <is>
          <t>Keramik</t>
        </is>
      </c>
      <c r="H576" s="3" t="n"/>
      <c r="I576" s="3" t="inlineStr">
        <is>
          <t>2 Unit</t>
        </is>
      </c>
      <c r="J576" s="4" t="n"/>
      <c r="K576" s="3" t="n">
        <v>2018</v>
      </c>
      <c r="L576" s="5" t="n"/>
      <c r="M576" s="5" t="n"/>
      <c r="N576" s="3" t="inlineStr">
        <is>
          <t>171 - 03 - 03 - 24</t>
        </is>
      </c>
      <c r="O576" s="3" t="n">
        <v>4</v>
      </c>
      <c r="P576" s="5" t="n"/>
      <c r="Q576" s="5" t="n"/>
      <c r="R576" s="3" t="inlineStr">
        <is>
          <t>Baik</t>
        </is>
      </c>
      <c r="S576" s="3" t="inlineStr">
        <is>
          <t>Aktif</t>
        </is>
      </c>
      <c r="T576" s="3" t="n"/>
      <c r="U576" s="3" t="inlineStr">
        <is>
          <t>ASSET TKIA-24 2025(1).xlsx | ASET TKIA 24</t>
        </is>
      </c>
    </row>
    <row r="577">
      <c r="A577" s="3" t="n">
        <v>574</v>
      </c>
      <c r="B577" s="3" t="inlineStr">
        <is>
          <t>171 - 03 - 03 - 24</t>
        </is>
      </c>
      <c r="C577" s="3" t="inlineStr">
        <is>
          <t>TKIA 24 JATIKRAMAT</t>
        </is>
      </c>
      <c r="D577" s="3" t="inlineStr">
        <is>
          <t>II / 16/ TOILET</t>
        </is>
      </c>
      <c r="E577" s="3" t="inlineStr">
        <is>
          <t>Ember Plastik</t>
        </is>
      </c>
      <c r="F577" s="3" t="inlineStr">
        <is>
          <t>Ember Plastik</t>
        </is>
      </c>
      <c r="G577" s="3" t="inlineStr">
        <is>
          <t>Plastik</t>
        </is>
      </c>
      <c r="H577" s="3" t="inlineStr">
        <is>
          <t>SEDANG</t>
        </is>
      </c>
      <c r="I577" s="3" t="inlineStr">
        <is>
          <t>2 Unit</t>
        </is>
      </c>
      <c r="J577" s="4" t="n"/>
      <c r="K577" s="3" t="n">
        <v>2018</v>
      </c>
      <c r="L577" s="5" t="n"/>
      <c r="M577" s="5" t="n"/>
      <c r="N577" s="3" t="inlineStr">
        <is>
          <t>171 - 03 - 03 - 24</t>
        </is>
      </c>
      <c r="O577" s="3" t="n">
        <v>4</v>
      </c>
      <c r="P577" s="5" t="n"/>
      <c r="Q577" s="5" t="n"/>
      <c r="R577" s="3" t="inlineStr">
        <is>
          <t>Baik</t>
        </is>
      </c>
      <c r="S577" s="3" t="inlineStr">
        <is>
          <t>Aktif</t>
        </is>
      </c>
      <c r="T577" s="3" t="n"/>
      <c r="U577" s="3" t="inlineStr">
        <is>
          <t>ASSET TKIA-24 2025(1).xlsx | ASET TKIA 24</t>
        </is>
      </c>
    </row>
    <row r="578">
      <c r="A578" s="3" t="n">
        <v>575</v>
      </c>
      <c r="B578" s="3" t="inlineStr">
        <is>
          <t>171 - 03 - 03 - 24</t>
        </is>
      </c>
      <c r="C578" s="3" t="inlineStr">
        <is>
          <t>TKIA 24 JATIKRAMAT</t>
        </is>
      </c>
      <c r="D578" s="3" t="inlineStr">
        <is>
          <t>II / 16/ TOILET</t>
        </is>
      </c>
      <c r="E578" s="3" t="inlineStr">
        <is>
          <t>Gayung Plastik</t>
        </is>
      </c>
      <c r="F578" s="3" t="inlineStr">
        <is>
          <t>Gayung Plastik</t>
        </is>
      </c>
      <c r="G578" s="3" t="inlineStr">
        <is>
          <t>Plastik</t>
        </is>
      </c>
      <c r="H578" s="3" t="inlineStr">
        <is>
          <t>BESAR</t>
        </is>
      </c>
      <c r="I578" s="3" t="inlineStr">
        <is>
          <t>2 Unit</t>
        </is>
      </c>
      <c r="J578" s="4" t="n"/>
      <c r="K578" s="3" t="n">
        <v>2018</v>
      </c>
      <c r="L578" s="5" t="n"/>
      <c r="M578" s="5" t="n"/>
      <c r="N578" s="3" t="inlineStr">
        <is>
          <t>171 - 03 - 03 - 24</t>
        </is>
      </c>
      <c r="O578" s="3" t="n">
        <v>4</v>
      </c>
      <c r="P578" s="5" t="n"/>
      <c r="Q578" s="5" t="n"/>
      <c r="R578" s="3" t="inlineStr">
        <is>
          <t>Baik</t>
        </is>
      </c>
      <c r="S578" s="3" t="inlineStr">
        <is>
          <t>Aktif</t>
        </is>
      </c>
      <c r="T578" s="3" t="n"/>
      <c r="U578" s="3" t="inlineStr">
        <is>
          <t>ASSET TKIA-24 2025(1).xlsx | ASET TKIA 24</t>
        </is>
      </c>
    </row>
    <row r="579">
      <c r="A579" s="3" t="n">
        <v>576</v>
      </c>
      <c r="B579" s="3" t="inlineStr">
        <is>
          <t>171 - 03 - 03 - 24</t>
        </is>
      </c>
      <c r="C579" s="3" t="inlineStr">
        <is>
          <t>TKIA 24 JATIKRAMAT</t>
        </is>
      </c>
      <c r="D579" s="3" t="inlineStr">
        <is>
          <t>II / 16/ TOILET</t>
        </is>
      </c>
      <c r="E579" s="3" t="inlineStr">
        <is>
          <t>Tempat Sabun Cair</t>
        </is>
      </c>
      <c r="F579" s="3" t="inlineStr">
        <is>
          <t>Tempat Sabun Cair</t>
        </is>
      </c>
      <c r="G579" s="3" t="inlineStr">
        <is>
          <t>Plastik</t>
        </is>
      </c>
      <c r="H579" s="3" t="n"/>
      <c r="I579" s="3" t="inlineStr">
        <is>
          <t>2 Unit</t>
        </is>
      </c>
      <c r="J579" s="4" t="n"/>
      <c r="K579" s="3" t="n">
        <v>2018</v>
      </c>
      <c r="L579" s="5" t="n"/>
      <c r="M579" s="5" t="n"/>
      <c r="N579" s="3" t="inlineStr">
        <is>
          <t>171 - 03 - 03 - 24</t>
        </is>
      </c>
      <c r="O579" s="3" t="n">
        <v>4</v>
      </c>
      <c r="P579" s="5" t="n"/>
      <c r="Q579" s="5" t="n"/>
      <c r="R579" s="3" t="inlineStr">
        <is>
          <t>Baik</t>
        </is>
      </c>
      <c r="S579" s="3" t="inlineStr">
        <is>
          <t>Aktif</t>
        </is>
      </c>
      <c r="T579" s="3" t="n"/>
      <c r="U579" s="3" t="inlineStr">
        <is>
          <t>ASSET TKIA-24 2025(1).xlsx | ASET TKIA 24</t>
        </is>
      </c>
    </row>
    <row r="580">
      <c r="A580" s="3" t="n">
        <v>577</v>
      </c>
      <c r="B580" s="3" t="inlineStr">
        <is>
          <t>171 - 03 - 03 - 24</t>
        </is>
      </c>
      <c r="C580" s="3" t="inlineStr">
        <is>
          <t>TKIA 24 JATIKRAMAT</t>
        </is>
      </c>
      <c r="D580" s="3" t="inlineStr">
        <is>
          <t>II / 16/ TOILET</t>
        </is>
      </c>
      <c r="E580" s="3" t="inlineStr">
        <is>
          <t>Tempat Sampah</t>
        </is>
      </c>
      <c r="F580" s="3" t="inlineStr">
        <is>
          <t>Tempat Sampah</t>
        </is>
      </c>
      <c r="G580" s="3" t="inlineStr">
        <is>
          <t>Plastik</t>
        </is>
      </c>
      <c r="H580" s="3" t="n"/>
      <c r="I580" s="3" t="inlineStr">
        <is>
          <t>1 Unit</t>
        </is>
      </c>
      <c r="J580" s="4" t="n"/>
      <c r="K580" s="3" t="n">
        <v>2018</v>
      </c>
      <c r="L580" s="5" t="n"/>
      <c r="M580" s="5" t="n"/>
      <c r="N580" s="3" t="inlineStr">
        <is>
          <t>171 - 03 - 03 - 24</t>
        </is>
      </c>
      <c r="O580" s="3" t="n">
        <v>4</v>
      </c>
      <c r="P580" s="5" t="n"/>
      <c r="Q580" s="5" t="n"/>
      <c r="R580" s="3" t="inlineStr">
        <is>
          <t>Baik</t>
        </is>
      </c>
      <c r="S580" s="3" t="inlineStr">
        <is>
          <t>Aktif</t>
        </is>
      </c>
      <c r="T580" s="3" t="n"/>
      <c r="U580" s="3" t="inlineStr">
        <is>
          <t>ASSET TKIA-24 2025(1).xlsx | ASET TKIA 24</t>
        </is>
      </c>
    </row>
    <row r="581">
      <c r="A581" s="3" t="n">
        <v>578</v>
      </c>
      <c r="B581" s="3" t="inlineStr">
        <is>
          <t>171 - 03 - 03 - 24</t>
        </is>
      </c>
      <c r="C581" s="3" t="inlineStr">
        <is>
          <t>TKIA 24 JATIKRAMAT</t>
        </is>
      </c>
      <c r="D581" s="3" t="inlineStr">
        <is>
          <t>II / 16/ TOILET</t>
        </is>
      </c>
      <c r="E581" s="3" t="inlineStr">
        <is>
          <t>Washtafel</t>
        </is>
      </c>
      <c r="F581" s="3" t="inlineStr">
        <is>
          <t>Washtafel</t>
        </is>
      </c>
      <c r="G581" s="3" t="inlineStr">
        <is>
          <t>Keramik</t>
        </is>
      </c>
      <c r="H581" s="3" t="inlineStr">
        <is>
          <t>Standard</t>
        </is>
      </c>
      <c r="I581" s="3" t="inlineStr">
        <is>
          <t>1 Unit</t>
        </is>
      </c>
      <c r="J581" s="4" t="n"/>
      <c r="K581" s="3" t="n">
        <v>2018</v>
      </c>
      <c r="L581" s="5" t="n"/>
      <c r="M581" s="5" t="n"/>
      <c r="N581" s="3" t="inlineStr">
        <is>
          <t>171 - 03 - 03 - 24</t>
        </is>
      </c>
      <c r="O581" s="3" t="n">
        <v>4</v>
      </c>
      <c r="P581" s="5" t="n"/>
      <c r="Q581" s="5" t="n"/>
      <c r="R581" s="3" t="inlineStr">
        <is>
          <t>Baik</t>
        </is>
      </c>
      <c r="S581" s="3" t="inlineStr">
        <is>
          <t>Aktif</t>
        </is>
      </c>
      <c r="T581" s="3" t="n"/>
      <c r="U581" s="3" t="inlineStr">
        <is>
          <t>ASSET TKIA-24 2025(1).xlsx | ASET TKIA 24</t>
        </is>
      </c>
    </row>
    <row r="582">
      <c r="A582" s="3" t="n">
        <v>579</v>
      </c>
      <c r="B582" s="3" t="inlineStr">
        <is>
          <t>171 - 03 - 03 - 24</t>
        </is>
      </c>
      <c r="C582" s="3" t="inlineStr">
        <is>
          <t>TKIA 24 JATIKRAMAT</t>
        </is>
      </c>
      <c r="D582" s="3" t="inlineStr">
        <is>
          <t>II / 16/ TOILET</t>
        </is>
      </c>
      <c r="E582" s="3" t="inlineStr">
        <is>
          <t>Cermin</t>
        </is>
      </c>
      <c r="F582" s="3" t="inlineStr">
        <is>
          <t>Cermin</t>
        </is>
      </c>
      <c r="G582" s="3" t="inlineStr">
        <is>
          <t>Kaca</t>
        </is>
      </c>
      <c r="H582" s="3" t="n"/>
      <c r="I582" s="3" t="inlineStr">
        <is>
          <t>1 Unit</t>
        </is>
      </c>
      <c r="J582" s="4" t="n"/>
      <c r="K582" s="3" t="n">
        <v>2018</v>
      </c>
      <c r="L582" s="5" t="n"/>
      <c r="M582" s="5" t="n"/>
      <c r="N582" s="3" t="inlineStr">
        <is>
          <t>171 - 03 - 03 - 24</t>
        </is>
      </c>
      <c r="O582" s="3" t="n">
        <v>4</v>
      </c>
      <c r="P582" s="5" t="n"/>
      <c r="Q582" s="5" t="n"/>
      <c r="R582" s="3" t="inlineStr">
        <is>
          <t>Baik</t>
        </is>
      </c>
      <c r="S582" s="3" t="inlineStr">
        <is>
          <t>Aktif</t>
        </is>
      </c>
      <c r="T582" s="3" t="n"/>
      <c r="U582" s="3" t="inlineStr">
        <is>
          <t>ASSET TKIA-24 2025(1).xlsx | ASET TKIA 24</t>
        </is>
      </c>
    </row>
    <row r="583">
      <c r="A583" s="3" t="n">
        <v>580</v>
      </c>
      <c r="B583" s="3" t="inlineStr">
        <is>
          <t>171 - 03 - 03 - 24</t>
        </is>
      </c>
      <c r="C583" s="3" t="inlineStr">
        <is>
          <t>TKIA 24 JATIKRAMAT</t>
        </is>
      </c>
      <c r="D583" s="3" t="inlineStr">
        <is>
          <t>II / 16/ TOILET</t>
        </is>
      </c>
      <c r="E583" s="3" t="inlineStr">
        <is>
          <t>Vas Bunga</t>
        </is>
      </c>
      <c r="F583" s="3" t="inlineStr">
        <is>
          <t>Vas Bunga</t>
        </is>
      </c>
      <c r="G583" s="3" t="inlineStr">
        <is>
          <t>Plastik</t>
        </is>
      </c>
      <c r="H583" s="3" t="n"/>
      <c r="I583" s="3" t="inlineStr">
        <is>
          <t>1 Unit</t>
        </is>
      </c>
      <c r="J583" s="4" t="n"/>
      <c r="K583" s="3" t="n">
        <v>2018</v>
      </c>
      <c r="L583" s="5" t="n"/>
      <c r="M583" s="5" t="n"/>
      <c r="N583" s="3" t="inlineStr">
        <is>
          <t>171 - 03 - 03 - 24</t>
        </is>
      </c>
      <c r="O583" s="3" t="n">
        <v>4</v>
      </c>
      <c r="P583" s="5" t="n"/>
      <c r="Q583" s="5" t="n"/>
      <c r="R583" s="3" t="inlineStr">
        <is>
          <t>Baik</t>
        </is>
      </c>
      <c r="S583" s="3" t="inlineStr">
        <is>
          <t>Aktif</t>
        </is>
      </c>
      <c r="T583" s="3" t="n"/>
      <c r="U583" s="3" t="inlineStr">
        <is>
          <t>ASSET TKIA-24 2025(1).xlsx | ASET TKIA 24</t>
        </is>
      </c>
    </row>
    <row r="584">
      <c r="A584" s="3" t="n">
        <v>581</v>
      </c>
      <c r="B584" s="3" t="inlineStr">
        <is>
          <t>171 - 03 - 01 - 24</t>
        </is>
      </c>
      <c r="C584" s="3" t="inlineStr">
        <is>
          <t>TKIA 24 JATIKRAMAT</t>
        </is>
      </c>
      <c r="D584" s="3" t="inlineStr">
        <is>
          <t>II / 17/ MUHAMMAD / B</t>
        </is>
      </c>
      <c r="E584" s="3" t="inlineStr">
        <is>
          <t>Screen Shoot</t>
        </is>
      </c>
      <c r="F584" s="3" t="inlineStr">
        <is>
          <t>Screen Shoot</t>
        </is>
      </c>
      <c r="G584" s="3" t="inlineStr">
        <is>
          <t>Plastik</t>
        </is>
      </c>
      <c r="H584" s="3" t="inlineStr">
        <is>
          <t>175 cm x 180 cm</t>
        </is>
      </c>
      <c r="I584" s="3" t="n"/>
      <c r="J584" s="4" t="n"/>
      <c r="K584" s="3" t="n"/>
      <c r="L584" s="5" t="n"/>
      <c r="M584" s="5" t="n"/>
      <c r="N584" s="3" t="inlineStr">
        <is>
          <t>171 - 03 - 01 - 24</t>
        </is>
      </c>
      <c r="O584" s="3" t="n">
        <v>4</v>
      </c>
      <c r="P584" s="5" t="n"/>
      <c r="Q584" s="5" t="n"/>
      <c r="R584" s="3" t="inlineStr">
        <is>
          <t>Baik</t>
        </is>
      </c>
      <c r="S584" s="3" t="inlineStr">
        <is>
          <t>Aktif</t>
        </is>
      </c>
      <c r="T584" s="3" t="n"/>
      <c r="U584" s="3" t="inlineStr">
        <is>
          <t>ASSET TKIA-24 2025(1).xlsx | ASET TKIA 24</t>
        </is>
      </c>
    </row>
    <row r="585">
      <c r="A585" s="3" t="n">
        <v>582</v>
      </c>
      <c r="B585" s="3" t="inlineStr">
        <is>
          <t>171 - 03 - 01 - 24</t>
        </is>
      </c>
      <c r="C585" s="3" t="inlineStr">
        <is>
          <t>TKIA 24 JATIKRAMAT</t>
        </is>
      </c>
      <c r="D585" s="3" t="inlineStr">
        <is>
          <t>II / 17/ MUHAMMAD / B</t>
        </is>
      </c>
      <c r="E585" s="3" t="inlineStr">
        <is>
          <t>White Board</t>
        </is>
      </c>
      <c r="F585" s="3" t="inlineStr">
        <is>
          <t>White Board</t>
        </is>
      </c>
      <c r="G585" s="3" t="inlineStr">
        <is>
          <t>Kayu</t>
        </is>
      </c>
      <c r="H585" s="3" t="inlineStr">
        <is>
          <t>240 cm x 120 cm</t>
        </is>
      </c>
      <c r="I585" s="3" t="n"/>
      <c r="J585" s="4" t="n"/>
      <c r="K585" s="3" t="n"/>
      <c r="L585" s="5" t="n"/>
      <c r="M585" s="5" t="n"/>
      <c r="N585" s="3" t="inlineStr">
        <is>
          <t>171 - 03 - 01 - 24</t>
        </is>
      </c>
      <c r="O585" s="3" t="n">
        <v>4</v>
      </c>
      <c r="P585" s="5" t="n"/>
      <c r="Q585" s="5" t="n"/>
      <c r="R585" s="3" t="inlineStr">
        <is>
          <t>Baik</t>
        </is>
      </c>
      <c r="S585" s="3" t="inlineStr">
        <is>
          <t>Aktif</t>
        </is>
      </c>
      <c r="T585" s="3" t="n"/>
      <c r="U585" s="3" t="inlineStr">
        <is>
          <t>ASSET TKIA-24 2025(1).xlsx | ASET TKIA 24</t>
        </is>
      </c>
    </row>
    <row r="586">
      <c r="A586" s="3" t="n">
        <v>583</v>
      </c>
      <c r="B586" s="3" t="inlineStr">
        <is>
          <t>171 - 03 - 01 - 24</t>
        </is>
      </c>
      <c r="C586" s="3" t="inlineStr">
        <is>
          <t>TKIA 24 JATIKRAMAT</t>
        </is>
      </c>
      <c r="D586" s="3" t="inlineStr">
        <is>
          <t>II / 17/ MUHAMMAD / B</t>
        </is>
      </c>
      <c r="E586" s="3" t="inlineStr">
        <is>
          <t>Loker</t>
        </is>
      </c>
      <c r="F586" s="3" t="inlineStr">
        <is>
          <t>Loker</t>
        </is>
      </c>
      <c r="G586" s="3" t="inlineStr">
        <is>
          <t>Kayu</t>
        </is>
      </c>
      <c r="H586" s="3" t="inlineStr">
        <is>
          <t>100 cm x 150 cm</t>
        </is>
      </c>
      <c r="I586" s="3" t="n"/>
      <c r="J586" s="4" t="n"/>
      <c r="K586" s="3" t="n"/>
      <c r="L586" s="5" t="n"/>
      <c r="M586" s="5" t="n"/>
      <c r="N586" s="3" t="inlineStr">
        <is>
          <t>171 - 03 - 01 - 24</t>
        </is>
      </c>
      <c r="O586" s="3" t="n">
        <v>4</v>
      </c>
      <c r="P586" s="5" t="n"/>
      <c r="Q586" s="5" t="n"/>
      <c r="R586" s="3" t="inlineStr">
        <is>
          <t>Baik</t>
        </is>
      </c>
      <c r="S586" s="3" t="inlineStr">
        <is>
          <t>Aktif</t>
        </is>
      </c>
      <c r="T586" s="3" t="n"/>
      <c r="U586" s="3" t="inlineStr">
        <is>
          <t>ASSET TKIA-24 2025(1).xlsx | ASET TKIA 24</t>
        </is>
      </c>
    </row>
    <row r="587">
      <c r="A587" s="3" t="n">
        <v>584</v>
      </c>
      <c r="B587" s="3" t="inlineStr">
        <is>
          <t>171 - 03 - 01 - 24</t>
        </is>
      </c>
      <c r="C587" s="3" t="inlineStr">
        <is>
          <t>TKIA 24 JATIKRAMAT</t>
        </is>
      </c>
      <c r="D587" s="3" t="inlineStr">
        <is>
          <t>II / 17/ MUHAMMAD / B</t>
        </is>
      </c>
      <c r="E587" s="3" t="inlineStr">
        <is>
          <t>Rak Buku</t>
        </is>
      </c>
      <c r="F587" s="3" t="inlineStr">
        <is>
          <t>Rak Buku</t>
        </is>
      </c>
      <c r="G587" s="3" t="inlineStr">
        <is>
          <t>Kayu</t>
        </is>
      </c>
      <c r="H587" s="3" t="inlineStr">
        <is>
          <t>170 cm x 110 cm</t>
        </is>
      </c>
      <c r="I587" s="3" t="n"/>
      <c r="J587" s="4" t="n"/>
      <c r="K587" s="3" t="n"/>
      <c r="L587" s="5" t="n"/>
      <c r="M587" s="5" t="n"/>
      <c r="N587" s="3" t="inlineStr">
        <is>
          <t>171 - 03 - 01 - 24</t>
        </is>
      </c>
      <c r="O587" s="3" t="n">
        <v>4</v>
      </c>
      <c r="P587" s="5" t="n"/>
      <c r="Q587" s="5" t="n"/>
      <c r="R587" s="3" t="inlineStr">
        <is>
          <t>Baik</t>
        </is>
      </c>
      <c r="S587" s="3" t="inlineStr">
        <is>
          <t>Aktif</t>
        </is>
      </c>
      <c r="T587" s="3" t="n"/>
      <c r="U587" s="3" t="inlineStr">
        <is>
          <t>ASSET TKIA-24 2025(1).xlsx | ASET TKIA 24</t>
        </is>
      </c>
    </row>
    <row r="588">
      <c r="A588" s="3" t="n">
        <v>585</v>
      </c>
      <c r="B588" s="3" t="inlineStr">
        <is>
          <t>171 - 03 - 01 - 24</t>
        </is>
      </c>
      <c r="C588" s="3" t="inlineStr">
        <is>
          <t>TKIA 24 JATIKRAMAT</t>
        </is>
      </c>
      <c r="D588" s="3" t="inlineStr">
        <is>
          <t>II / 17/ MUHAMMAD / B</t>
        </is>
      </c>
      <c r="E588" s="3" t="inlineStr">
        <is>
          <t>Meja Bundar</t>
        </is>
      </c>
      <c r="F588" s="3" t="inlineStr">
        <is>
          <t>Meja Bundar</t>
        </is>
      </c>
      <c r="G588" s="3" t="inlineStr">
        <is>
          <t>Plastik</t>
        </is>
      </c>
      <c r="H588" s="3" t="inlineStr">
        <is>
          <t>Diameter 114</t>
        </is>
      </c>
      <c r="I588" s="3" t="n"/>
      <c r="J588" s="4" t="n"/>
      <c r="K588" s="3" t="n"/>
      <c r="L588" s="5" t="n"/>
      <c r="M588" s="5" t="n"/>
      <c r="N588" s="3" t="inlineStr">
        <is>
          <t>171 - 03 - 01 - 24</t>
        </is>
      </c>
      <c r="O588" s="3" t="n">
        <v>4</v>
      </c>
      <c r="P588" s="5" t="n"/>
      <c r="Q588" s="5" t="n"/>
      <c r="R588" s="3" t="inlineStr">
        <is>
          <t>Baik</t>
        </is>
      </c>
      <c r="S588" s="3" t="inlineStr">
        <is>
          <t>Aktif</t>
        </is>
      </c>
      <c r="T588" s="3" t="n"/>
      <c r="U588" s="3" t="inlineStr">
        <is>
          <t>ASSET TKIA-24 2025(1).xlsx | ASET TKIA 24</t>
        </is>
      </c>
    </row>
    <row r="589">
      <c r="A589" s="3" t="n">
        <v>586</v>
      </c>
      <c r="B589" s="3" t="inlineStr">
        <is>
          <t>171 - 03 - 01 - 24</t>
        </is>
      </c>
      <c r="C589" s="3" t="inlineStr">
        <is>
          <t>TKIA 24 JATIKRAMAT</t>
        </is>
      </c>
      <c r="D589" s="3" t="inlineStr">
        <is>
          <t>II / 17/ MUHAMMAD / B</t>
        </is>
      </c>
      <c r="E589" s="3" t="inlineStr">
        <is>
          <t>Meja Persegi</t>
        </is>
      </c>
      <c r="F589" s="3" t="inlineStr">
        <is>
          <t>Meja Persegi</t>
        </is>
      </c>
      <c r="G589" s="3" t="inlineStr">
        <is>
          <t>Plastik</t>
        </is>
      </c>
      <c r="H589" s="3" t="inlineStr">
        <is>
          <t>120 cm x 60 cm</t>
        </is>
      </c>
      <c r="I589" s="3" t="n"/>
      <c r="J589" s="4" t="n"/>
      <c r="K589" s="3" t="n"/>
      <c r="L589" s="5" t="n"/>
      <c r="M589" s="5" t="n"/>
      <c r="N589" s="3" t="inlineStr">
        <is>
          <t>171 - 03 - 01 - 24</t>
        </is>
      </c>
      <c r="O589" s="3" t="n">
        <v>4</v>
      </c>
      <c r="P589" s="5" t="n"/>
      <c r="Q589" s="5" t="n"/>
      <c r="R589" s="3" t="inlineStr">
        <is>
          <t>Baik</t>
        </is>
      </c>
      <c r="S589" s="3" t="inlineStr">
        <is>
          <t>Aktif</t>
        </is>
      </c>
      <c r="T589" s="3" t="n"/>
      <c r="U589" s="3" t="inlineStr">
        <is>
          <t>ASSET TKIA-24 2025(1).xlsx | ASET TKIA 24</t>
        </is>
      </c>
    </row>
    <row r="590">
      <c r="A590" s="3" t="n">
        <v>587</v>
      </c>
      <c r="B590" s="3" t="inlineStr">
        <is>
          <t>171 - 03 - 01 - 24</t>
        </is>
      </c>
      <c r="C590" s="3" t="inlineStr">
        <is>
          <t>TKIA 24 JATIKRAMAT</t>
        </is>
      </c>
      <c r="D590" s="3" t="inlineStr">
        <is>
          <t>II / 17/ MUHAMMAD / B</t>
        </is>
      </c>
      <c r="E590" s="3" t="inlineStr">
        <is>
          <t>Meja Bundar</t>
        </is>
      </c>
      <c r="F590" s="3" t="inlineStr">
        <is>
          <t>Meja Bundar</t>
        </is>
      </c>
      <c r="G590" s="3" t="inlineStr">
        <is>
          <t>Kayu</t>
        </is>
      </c>
      <c r="H590" s="3" t="inlineStr">
        <is>
          <t>Diameter 102 cm</t>
        </is>
      </c>
      <c r="I590" s="3" t="n"/>
      <c r="J590" s="4" t="n"/>
      <c r="K590" s="3" t="n"/>
      <c r="L590" s="5" t="n"/>
      <c r="M590" s="5" t="n"/>
      <c r="N590" s="3" t="inlineStr">
        <is>
          <t>171 - 03 - 01 - 24</t>
        </is>
      </c>
      <c r="O590" s="3" t="n">
        <v>4</v>
      </c>
      <c r="P590" s="5" t="n"/>
      <c r="Q590" s="5" t="n"/>
      <c r="R590" s="3" t="inlineStr">
        <is>
          <t>Baik</t>
        </is>
      </c>
      <c r="S590" s="3" t="inlineStr">
        <is>
          <t>Aktif</t>
        </is>
      </c>
      <c r="T590" s="3" t="n"/>
      <c r="U590" s="3" t="inlineStr">
        <is>
          <t>ASSET TKIA-24 2025(1).xlsx | ASET TKIA 24</t>
        </is>
      </c>
    </row>
    <row r="591">
      <c r="A591" s="3" t="n">
        <v>588</v>
      </c>
      <c r="B591" s="3" t="inlineStr">
        <is>
          <t>171 - 03 - 01 - 24</t>
        </is>
      </c>
      <c r="C591" s="3" t="inlineStr">
        <is>
          <t>TKIA 24 JATIKRAMAT</t>
        </is>
      </c>
      <c r="D591" s="3" t="inlineStr">
        <is>
          <t>II / 17/ MUHAMMAD / B</t>
        </is>
      </c>
      <c r="E591" s="3" t="inlineStr">
        <is>
          <t>Meja Persegi</t>
        </is>
      </c>
      <c r="F591" s="3" t="inlineStr">
        <is>
          <t>Meja Persegi</t>
        </is>
      </c>
      <c r="G591" s="3" t="inlineStr">
        <is>
          <t>Kayu</t>
        </is>
      </c>
      <c r="H591" s="3" t="inlineStr">
        <is>
          <t>80 cm c 40 cm</t>
        </is>
      </c>
      <c r="I591" s="3" t="n"/>
      <c r="J591" s="4" t="n"/>
      <c r="K591" s="3" t="n"/>
      <c r="L591" s="5" t="n"/>
      <c r="M591" s="5" t="n"/>
      <c r="N591" s="3" t="inlineStr">
        <is>
          <t>171 - 03 - 01 - 24</t>
        </is>
      </c>
      <c r="O591" s="3" t="n">
        <v>4</v>
      </c>
      <c r="P591" s="5" t="n"/>
      <c r="Q591" s="5" t="n"/>
      <c r="R591" s="3" t="inlineStr">
        <is>
          <t>Baik</t>
        </is>
      </c>
      <c r="S591" s="3" t="inlineStr">
        <is>
          <t>Aktif</t>
        </is>
      </c>
      <c r="T591" s="3" t="n"/>
      <c r="U591" s="3" t="inlineStr">
        <is>
          <t>ASSET TKIA-24 2025(1).xlsx | ASET TKIA 24</t>
        </is>
      </c>
    </row>
    <row r="592">
      <c r="A592" s="3" t="n">
        <v>589</v>
      </c>
      <c r="B592" s="3" t="inlineStr">
        <is>
          <t>171 - 03 - 01 - 24</t>
        </is>
      </c>
      <c r="C592" s="3" t="inlineStr">
        <is>
          <t>TKIA 24 JATIKRAMAT</t>
        </is>
      </c>
      <c r="D592" s="3" t="inlineStr">
        <is>
          <t>II / 17/ MUHAMMAD / B</t>
        </is>
      </c>
      <c r="E592" s="3" t="inlineStr">
        <is>
          <t>Kursi</t>
        </is>
      </c>
      <c r="F592" s="3" t="inlineStr">
        <is>
          <t>Kursi</t>
        </is>
      </c>
      <c r="G592" s="3" t="inlineStr">
        <is>
          <t>Plastik</t>
        </is>
      </c>
      <c r="H592" s="3" t="n"/>
      <c r="I592" s="3" t="n"/>
      <c r="J592" s="4" t="n"/>
      <c r="K592" s="3" t="n"/>
      <c r="L592" s="5" t="n"/>
      <c r="M592" s="5" t="n"/>
      <c r="N592" s="3" t="inlineStr">
        <is>
          <t>171 - 03 - 01 - 24</t>
        </is>
      </c>
      <c r="O592" s="3" t="n">
        <v>4</v>
      </c>
      <c r="P592" s="5" t="n"/>
      <c r="Q592" s="5" t="n"/>
      <c r="R592" s="3" t="inlineStr">
        <is>
          <t>Baik</t>
        </is>
      </c>
      <c r="S592" s="3" t="inlineStr">
        <is>
          <t>Aktif</t>
        </is>
      </c>
      <c r="T592" s="3" t="n"/>
      <c r="U592" s="3" t="inlineStr">
        <is>
          <t>ASSET TKIA-24 2025(1).xlsx | ASET TKIA 24</t>
        </is>
      </c>
    </row>
    <row r="593">
      <c r="A593" s="3" t="n">
        <v>590</v>
      </c>
      <c r="B593" s="3" t="inlineStr">
        <is>
          <t>171 - 03 - 01 - 24</t>
        </is>
      </c>
      <c r="C593" s="3" t="inlineStr">
        <is>
          <t>TKIA 24 JATIKRAMAT</t>
        </is>
      </c>
      <c r="D593" s="3" t="inlineStr">
        <is>
          <t>II / 17/ MUHAMMAD / B</t>
        </is>
      </c>
      <c r="E593" s="3" t="inlineStr">
        <is>
          <t>Kursi Kayu</t>
        </is>
      </c>
      <c r="F593" s="3" t="inlineStr">
        <is>
          <t>Kursi Kayu</t>
        </is>
      </c>
      <c r="G593" s="3" t="inlineStr">
        <is>
          <t>Kayu</t>
        </is>
      </c>
      <c r="H593" s="3" t="n"/>
      <c r="I593" s="3" t="n"/>
      <c r="J593" s="4" t="n"/>
      <c r="K593" s="3" t="n"/>
      <c r="L593" s="5" t="n"/>
      <c r="M593" s="5" t="n"/>
      <c r="N593" s="3" t="inlineStr">
        <is>
          <t>171 - 03 - 01 - 24</t>
        </is>
      </c>
      <c r="O593" s="3" t="n">
        <v>4</v>
      </c>
      <c r="P593" s="5" t="n"/>
      <c r="Q593" s="5" t="n"/>
      <c r="R593" s="3" t="inlineStr">
        <is>
          <t>Baik</t>
        </is>
      </c>
      <c r="S593" s="3" t="inlineStr">
        <is>
          <t>Aktif</t>
        </is>
      </c>
      <c r="T593" s="3" t="n"/>
      <c r="U593" s="3" t="inlineStr">
        <is>
          <t>ASSET TKIA-24 2025(1).xlsx | ASET TKIA 24</t>
        </is>
      </c>
    </row>
    <row r="594">
      <c r="A594" s="3" t="n">
        <v>591</v>
      </c>
      <c r="B594" s="3" t="inlineStr">
        <is>
          <t>171 - 03 - 01 - 24</t>
        </is>
      </c>
      <c r="C594" s="3" t="inlineStr">
        <is>
          <t>TKIA 24 JATIKRAMAT</t>
        </is>
      </c>
      <c r="D594" s="3" t="inlineStr">
        <is>
          <t>II / 17/ MUHAMMAD / B</t>
        </is>
      </c>
      <c r="E594" s="3" t="inlineStr">
        <is>
          <t>KitchenSet Anak2</t>
        </is>
      </c>
      <c r="F594" s="3" t="inlineStr">
        <is>
          <t>KitchenSet Anak2</t>
        </is>
      </c>
      <c r="G594" s="3" t="inlineStr">
        <is>
          <t>Plastik</t>
        </is>
      </c>
      <c r="H594" s="3" t="n"/>
      <c r="I594" s="3" t="n"/>
      <c r="J594" s="4" t="n"/>
      <c r="K594" s="3" t="n"/>
      <c r="L594" s="5" t="n"/>
      <c r="M594" s="5" t="n"/>
      <c r="N594" s="3" t="inlineStr">
        <is>
          <t>171 - 03 - 01 - 24</t>
        </is>
      </c>
      <c r="O594" s="3" t="n">
        <v>4</v>
      </c>
      <c r="P594" s="5" t="n"/>
      <c r="Q594" s="5" t="n"/>
      <c r="R594" s="3" t="inlineStr">
        <is>
          <t>Baik</t>
        </is>
      </c>
      <c r="S594" s="3" t="inlineStr">
        <is>
          <t>Aktif</t>
        </is>
      </c>
      <c r="T594" s="3" t="n"/>
      <c r="U594" s="3" t="inlineStr">
        <is>
          <t>ASSET TKIA-24 2025(1).xlsx | ASET TKIA 24</t>
        </is>
      </c>
    </row>
    <row r="595">
      <c r="A595" s="3" t="n">
        <v>592</v>
      </c>
      <c r="B595" s="3" t="inlineStr">
        <is>
          <t>171 - 03 - 01 - 24</t>
        </is>
      </c>
      <c r="C595" s="3" t="inlineStr">
        <is>
          <t>TKIA 24 JATIKRAMAT</t>
        </is>
      </c>
      <c r="D595" s="3" t="inlineStr">
        <is>
          <t>II / 17/ MUHAMMAD / B</t>
        </is>
      </c>
      <c r="E595" s="3" t="inlineStr">
        <is>
          <t>Karpet Besar</t>
        </is>
      </c>
      <c r="F595" s="3" t="inlineStr">
        <is>
          <t>Karpet Besar</t>
        </is>
      </c>
      <c r="G595" s="3" t="inlineStr">
        <is>
          <t>Kain</t>
        </is>
      </c>
      <c r="H595" s="3" t="n"/>
      <c r="I595" s="3" t="n"/>
      <c r="J595" s="4" t="n"/>
      <c r="K595" s="3" t="n"/>
      <c r="L595" s="5" t="n"/>
      <c r="M595" s="5" t="n"/>
      <c r="N595" s="3" t="inlineStr">
        <is>
          <t>171 - 03 - 01 - 24</t>
        </is>
      </c>
      <c r="O595" s="3" t="n">
        <v>4</v>
      </c>
      <c r="P595" s="5" t="n"/>
      <c r="Q595" s="5" t="n"/>
      <c r="R595" s="3" t="inlineStr">
        <is>
          <t>Baik</t>
        </is>
      </c>
      <c r="S595" s="3" t="inlineStr">
        <is>
          <t>Aktif</t>
        </is>
      </c>
      <c r="T595" s="3" t="n"/>
      <c r="U595" s="3" t="inlineStr">
        <is>
          <t>ASSET TKIA-24 2025(1).xlsx | ASET TKIA 24</t>
        </is>
      </c>
    </row>
    <row r="596">
      <c r="A596" s="3" t="n">
        <v>593</v>
      </c>
      <c r="B596" s="3" t="inlineStr">
        <is>
          <t>171 - 03 - 01 - 24</t>
        </is>
      </c>
      <c r="C596" s="3" t="inlineStr">
        <is>
          <t>TKIA 24 JATIKRAMAT</t>
        </is>
      </c>
      <c r="D596" s="3" t="inlineStr">
        <is>
          <t>II / 17/ MUHAMMAD / B</t>
        </is>
      </c>
      <c r="E596" s="3" t="inlineStr">
        <is>
          <t>Karpet Bulat</t>
        </is>
      </c>
      <c r="F596" s="3" t="inlineStr">
        <is>
          <t>Karpet Bulat</t>
        </is>
      </c>
      <c r="G596" s="3" t="inlineStr">
        <is>
          <t>Kain</t>
        </is>
      </c>
      <c r="H596" s="3" t="n"/>
      <c r="I596" s="3" t="n"/>
      <c r="J596" s="4" t="n"/>
      <c r="K596" s="3" t="n"/>
      <c r="L596" s="5" t="n"/>
      <c r="M596" s="5" t="n"/>
      <c r="N596" s="3" t="inlineStr">
        <is>
          <t>171 - 03 - 01 - 24</t>
        </is>
      </c>
      <c r="O596" s="3" t="n">
        <v>4</v>
      </c>
      <c r="P596" s="5" t="n"/>
      <c r="Q596" s="5" t="n"/>
      <c r="R596" s="3" t="inlineStr">
        <is>
          <t>Baik</t>
        </is>
      </c>
      <c r="S596" s="3" t="inlineStr">
        <is>
          <t>Aktif</t>
        </is>
      </c>
      <c r="T596" s="3" t="n"/>
      <c r="U596" s="3" t="inlineStr">
        <is>
          <t>ASSET TKIA-24 2025(1).xlsx | ASET TKIA 24</t>
        </is>
      </c>
    </row>
    <row r="597">
      <c r="A597" s="3" t="n">
        <v>594</v>
      </c>
      <c r="B597" s="3" t="inlineStr">
        <is>
          <t>171 - 03 - 03 - 24</t>
        </is>
      </c>
      <c r="C597" s="3" t="inlineStr">
        <is>
          <t>TKIA 24 JATIKRAMAT</t>
        </is>
      </c>
      <c r="D597" s="3" t="inlineStr">
        <is>
          <t>II / 18/ AULA SERBAGUNA</t>
        </is>
      </c>
      <c r="E597" s="3" t="inlineStr">
        <is>
          <t>Loker Sepatu dan Tas</t>
        </is>
      </c>
      <c r="F597" s="3" t="inlineStr">
        <is>
          <t>Loker Sepatu dan Tas</t>
        </is>
      </c>
      <c r="G597" s="3" t="inlineStr">
        <is>
          <t>Kayu</t>
        </is>
      </c>
      <c r="H597" s="3" t="inlineStr">
        <is>
          <t>200 cm x 115 cm</t>
        </is>
      </c>
      <c r="I597" s="3" t="inlineStr">
        <is>
          <t>6 Unit</t>
        </is>
      </c>
      <c r="J597" s="4" t="n"/>
      <c r="K597" s="3" t="n">
        <v>2018</v>
      </c>
      <c r="L597" s="5" t="n"/>
      <c r="M597" s="5" t="n"/>
      <c r="N597" s="3" t="inlineStr">
        <is>
          <t>171 - 03 - 03 - 24</t>
        </is>
      </c>
      <c r="O597" s="3" t="n">
        <v>4</v>
      </c>
      <c r="P597" s="5" t="n"/>
      <c r="Q597" s="5" t="n"/>
      <c r="R597" s="3" t="inlineStr">
        <is>
          <t>Baik</t>
        </is>
      </c>
      <c r="S597" s="3" t="inlineStr">
        <is>
          <t>Aktif</t>
        </is>
      </c>
      <c r="T597" s="3" t="n"/>
      <c r="U597" s="3" t="inlineStr">
        <is>
          <t>ASSET TKIA-24 2025(1).xlsx | ASET TKIA 24</t>
        </is>
      </c>
    </row>
    <row r="598">
      <c r="A598" s="3" t="n">
        <v>595</v>
      </c>
      <c r="B598" s="3" t="inlineStr">
        <is>
          <t>171 - 03 - 03 - 24</t>
        </is>
      </c>
      <c r="C598" s="3" t="inlineStr">
        <is>
          <t>TKIA 24 JATIKRAMAT</t>
        </is>
      </c>
      <c r="D598" s="3" t="inlineStr">
        <is>
          <t>II / 18/ AULA SERBAGUNA</t>
        </is>
      </c>
      <c r="E598" s="3" t="inlineStr">
        <is>
          <t>Rak Sepatu</t>
        </is>
      </c>
      <c r="F598" s="3" t="inlineStr">
        <is>
          <t>Rak Sepatu</t>
        </is>
      </c>
      <c r="G598" s="3" t="inlineStr">
        <is>
          <t>Kayu</t>
        </is>
      </c>
      <c r="H598" s="3" t="inlineStr">
        <is>
          <t>120 cm x 77 cm</t>
        </is>
      </c>
      <c r="I598" s="3" t="inlineStr">
        <is>
          <t>2 Unit</t>
        </is>
      </c>
      <c r="J598" s="4" t="n"/>
      <c r="K598" s="3" t="n">
        <v>2018</v>
      </c>
      <c r="L598" s="5" t="n"/>
      <c r="M598" s="5" t="n"/>
      <c r="N598" s="3" t="inlineStr">
        <is>
          <t>171 - 03 - 03 - 24</t>
        </is>
      </c>
      <c r="O598" s="3" t="n">
        <v>4</v>
      </c>
      <c r="P598" s="5" t="n"/>
      <c r="Q598" s="5" t="n"/>
      <c r="R598" s="3" t="inlineStr">
        <is>
          <t>Baik</t>
        </is>
      </c>
      <c r="S598" s="3" t="inlineStr">
        <is>
          <t>Aktif</t>
        </is>
      </c>
      <c r="T598" s="3" t="n"/>
      <c r="U598" s="3" t="inlineStr">
        <is>
          <t>ASSET TKIA-24 2025(1).xlsx | ASET TKIA 24</t>
        </is>
      </c>
    </row>
    <row r="599">
      <c r="A599" s="3" t="n">
        <v>596</v>
      </c>
      <c r="B599" s="3" t="inlineStr">
        <is>
          <t>171 - 03 - 03 - 24</t>
        </is>
      </c>
      <c r="C599" s="3" t="inlineStr">
        <is>
          <t>TKIA 24 JATIKRAMAT</t>
        </is>
      </c>
      <c r="D599" s="3" t="inlineStr">
        <is>
          <t>II / 18/ AULA SERBAGUNA</t>
        </is>
      </c>
      <c r="E599" s="3" t="inlineStr">
        <is>
          <t>Meja Kecil</t>
        </is>
      </c>
      <c r="F599" s="3" t="inlineStr">
        <is>
          <t>Meja Kecil</t>
        </is>
      </c>
      <c r="G599" s="3" t="inlineStr">
        <is>
          <t>Kayu</t>
        </is>
      </c>
      <c r="H599" s="3" t="inlineStr">
        <is>
          <t>80 cm x 43 cm</t>
        </is>
      </c>
      <c r="I599" s="3" t="inlineStr">
        <is>
          <t>3 Unit</t>
        </is>
      </c>
      <c r="J599" s="4" t="n"/>
      <c r="K599" s="3" t="n">
        <v>2018</v>
      </c>
      <c r="L599" s="5" t="n"/>
      <c r="M599" s="5" t="n"/>
      <c r="N599" s="3" t="inlineStr">
        <is>
          <t>171 - 03 - 03 - 24</t>
        </is>
      </c>
      <c r="O599" s="3" t="n">
        <v>4</v>
      </c>
      <c r="P599" s="5" t="n"/>
      <c r="Q599" s="5" t="n"/>
      <c r="R599" s="3" t="inlineStr">
        <is>
          <t>Baik</t>
        </is>
      </c>
      <c r="S599" s="3" t="inlineStr">
        <is>
          <t>Aktif</t>
        </is>
      </c>
      <c r="T599" s="3" t="n"/>
      <c r="U599" s="3" t="inlineStr">
        <is>
          <t>ASSET TKIA-24 2025(1).xlsx | ASET TKIA 24</t>
        </is>
      </c>
    </row>
    <row r="600">
      <c r="A600" s="3" t="n">
        <v>597</v>
      </c>
      <c r="B600" s="3" t="inlineStr">
        <is>
          <t>171 - 03 - 03 - 24</t>
        </is>
      </c>
      <c r="C600" s="3" t="inlineStr">
        <is>
          <t>TKIA 24 JATIKRAMAT</t>
        </is>
      </c>
      <c r="D600" s="3" t="inlineStr">
        <is>
          <t>II / 18/ AULA SERBAGUNA</t>
        </is>
      </c>
      <c r="E600" s="3" t="inlineStr">
        <is>
          <t>Pas Bunga</t>
        </is>
      </c>
      <c r="F600" s="3" t="inlineStr">
        <is>
          <t>Pas Bunga</t>
        </is>
      </c>
      <c r="G600" s="3" t="inlineStr">
        <is>
          <t>Besi</t>
        </is>
      </c>
      <c r="H600" s="3" t="n"/>
      <c r="I600" s="3" t="inlineStr">
        <is>
          <t>2 Unit</t>
        </is>
      </c>
      <c r="J600" s="4" t="n"/>
      <c r="K600" s="3" t="n">
        <v>2018</v>
      </c>
      <c r="L600" s="5" t="n"/>
      <c r="M600" s="5" t="n"/>
      <c r="N600" s="3" t="inlineStr">
        <is>
          <t>171 - 03 - 03 - 24</t>
        </is>
      </c>
      <c r="O600" s="3" t="n">
        <v>4</v>
      </c>
      <c r="P600" s="5" t="n"/>
      <c r="Q600" s="5" t="n"/>
      <c r="R600" s="3" t="inlineStr">
        <is>
          <t>Baik</t>
        </is>
      </c>
      <c r="S600" s="3" t="inlineStr">
        <is>
          <t>Aktif</t>
        </is>
      </c>
      <c r="T600" s="3" t="n"/>
      <c r="U600" s="3" t="inlineStr">
        <is>
          <t>ASSET TKIA-24 2025(1).xlsx | ASET TKIA 24</t>
        </is>
      </c>
    </row>
    <row r="601">
      <c r="A601" s="3" t="n">
        <v>598</v>
      </c>
      <c r="B601" s="3" t="inlineStr">
        <is>
          <t>171 - 03 - 03 - 24</t>
        </is>
      </c>
      <c r="C601" s="3" t="inlineStr">
        <is>
          <t>TKIA 24 JATIKRAMAT</t>
        </is>
      </c>
      <c r="D601" s="3" t="inlineStr">
        <is>
          <t>II / 18/ AULA SERBAGUNA</t>
        </is>
      </c>
      <c r="E601" s="3" t="inlineStr">
        <is>
          <t>Kursi</t>
        </is>
      </c>
      <c r="F601" s="3" t="inlineStr">
        <is>
          <t>Kursi</t>
        </is>
      </c>
      <c r="G601" s="3" t="inlineStr">
        <is>
          <t>Plastik</t>
        </is>
      </c>
      <c r="H601" s="3" t="inlineStr">
        <is>
          <t>31 cm x 26 cm x 26 cm</t>
        </is>
      </c>
      <c r="I601" s="3" t="inlineStr">
        <is>
          <t>17 Unit</t>
        </is>
      </c>
      <c r="J601" s="4" t="n"/>
      <c r="K601" s="3" t="n">
        <v>2018</v>
      </c>
      <c r="L601" s="5" t="n"/>
      <c r="M601" s="5" t="n"/>
      <c r="N601" s="3" t="inlineStr">
        <is>
          <t>171 - 03 - 03 - 24</t>
        </is>
      </c>
      <c r="O601" s="3" t="n">
        <v>4</v>
      </c>
      <c r="P601" s="5" t="n"/>
      <c r="Q601" s="5" t="n"/>
      <c r="R601" s="3" t="inlineStr">
        <is>
          <t>Baik</t>
        </is>
      </c>
      <c r="S601" s="3" t="inlineStr">
        <is>
          <t>Aktif</t>
        </is>
      </c>
      <c r="T601" s="3" t="n"/>
      <c r="U601" s="3" t="inlineStr">
        <is>
          <t>ASSET TKIA-24 2025(1).xlsx | ASET TKIA 24</t>
        </is>
      </c>
    </row>
    <row r="602">
      <c r="A602" s="3" t="n">
        <v>599</v>
      </c>
      <c r="B602" s="3" t="inlineStr">
        <is>
          <t>171 - 03 - 03 - 24</t>
        </is>
      </c>
      <c r="C602" s="3" t="inlineStr">
        <is>
          <t>TKIA 24 JATIKRAMAT</t>
        </is>
      </c>
      <c r="D602" s="3" t="inlineStr">
        <is>
          <t>II / 18/ AULA SERBAGUNA</t>
        </is>
      </c>
      <c r="E602" s="3" t="inlineStr">
        <is>
          <t>Bingkai Foto Kaca</t>
        </is>
      </c>
      <c r="F602" s="3" t="inlineStr">
        <is>
          <t>Bingkai Foto Kaca</t>
        </is>
      </c>
      <c r="G602" s="3" t="inlineStr">
        <is>
          <t>Kayu</t>
        </is>
      </c>
      <c r="H602" s="3" t="inlineStr">
        <is>
          <t>57 cm x 74 cm</t>
        </is>
      </c>
      <c r="I602" s="3" t="inlineStr">
        <is>
          <t>1 Unit</t>
        </is>
      </c>
      <c r="J602" s="4" t="n"/>
      <c r="K602" s="3" t="n">
        <v>2018</v>
      </c>
      <c r="L602" s="5" t="n"/>
      <c r="M602" s="5" t="n"/>
      <c r="N602" s="3" t="inlineStr">
        <is>
          <t>171 - 03 - 03 - 24</t>
        </is>
      </c>
      <c r="O602" s="3" t="n">
        <v>4</v>
      </c>
      <c r="P602" s="5" t="n"/>
      <c r="Q602" s="5" t="n"/>
      <c r="R602" s="3" t="inlineStr">
        <is>
          <t>Baik</t>
        </is>
      </c>
      <c r="S602" s="3" t="inlineStr">
        <is>
          <t>Aktif</t>
        </is>
      </c>
      <c r="T602" s="3" t="n"/>
      <c r="U602" s="3" t="inlineStr">
        <is>
          <t>ASSET TKIA-24 2025(1).xlsx | ASET TKIA 24</t>
        </is>
      </c>
    </row>
    <row r="603">
      <c r="A603" s="3" t="n">
        <v>600</v>
      </c>
      <c r="B603" s="3" t="inlineStr">
        <is>
          <t>171 - 03 - 03 - 24</t>
        </is>
      </c>
      <c r="C603" s="3" t="inlineStr">
        <is>
          <t>TKIA 24 JATIKRAMAT</t>
        </is>
      </c>
      <c r="D603" s="3" t="inlineStr">
        <is>
          <t>II / 18/ AULA SERBAGUNA</t>
        </is>
      </c>
      <c r="E603" s="3" t="inlineStr">
        <is>
          <t>Tempat Sampah</t>
        </is>
      </c>
      <c r="F603" s="3" t="inlineStr">
        <is>
          <t>Tempat Sampah</t>
        </is>
      </c>
      <c r="G603" s="3" t="inlineStr">
        <is>
          <t>Plastik</t>
        </is>
      </c>
      <c r="H603" s="3" t="n"/>
      <c r="I603" s="3" t="inlineStr">
        <is>
          <t>1 Unit</t>
        </is>
      </c>
      <c r="J603" s="4" t="n"/>
      <c r="K603" s="3" t="n">
        <v>2018</v>
      </c>
      <c r="L603" s="5" t="n"/>
      <c r="M603" s="5" t="n"/>
      <c r="N603" s="3" t="inlineStr">
        <is>
          <t>171 - 03 - 03 - 24</t>
        </is>
      </c>
      <c r="O603" s="3" t="n">
        <v>4</v>
      </c>
      <c r="P603" s="5" t="n"/>
      <c r="Q603" s="5" t="n"/>
      <c r="R603" s="3" t="inlineStr">
        <is>
          <t>Baik</t>
        </is>
      </c>
      <c r="S603" s="3" t="inlineStr">
        <is>
          <t>Aktif</t>
        </is>
      </c>
      <c r="T603" s="3" t="n"/>
      <c r="U603" s="3" t="inlineStr">
        <is>
          <t>ASSET TKIA-24 2025(1).xlsx | ASET TKIA 24</t>
        </is>
      </c>
    </row>
    <row r="604">
      <c r="A604" s="3" t="n">
        <v>601</v>
      </c>
      <c r="B604" s="3" t="inlineStr">
        <is>
          <t>171 - 03 - 03 - 24</t>
        </is>
      </c>
      <c r="C604" s="3" t="inlineStr">
        <is>
          <t>TKIA 24 JATIKRAMAT</t>
        </is>
      </c>
      <c r="D604" s="3" t="inlineStr">
        <is>
          <t>II / 18/ AULA SERBAGUNA</t>
        </is>
      </c>
      <c r="E604" s="3" t="inlineStr">
        <is>
          <t>HANDSANITIZER</t>
        </is>
      </c>
      <c r="F604" s="3" t="inlineStr">
        <is>
          <t>HANDSANITIZER</t>
        </is>
      </c>
      <c r="G604" s="3" t="inlineStr">
        <is>
          <t>Besi</t>
        </is>
      </c>
      <c r="H604" s="3" t="n"/>
      <c r="I604" s="3" t="inlineStr">
        <is>
          <t>1 Unit</t>
        </is>
      </c>
      <c r="J604" s="4" t="n"/>
      <c r="K604" s="3" t="n">
        <v>2018</v>
      </c>
      <c r="L604" s="5" t="n"/>
      <c r="M604" s="5" t="n"/>
      <c r="N604" s="3" t="inlineStr">
        <is>
          <t>171 - 03 - 03 - 24</t>
        </is>
      </c>
      <c r="O604" s="3" t="n">
        <v>4</v>
      </c>
      <c r="P604" s="5" t="n"/>
      <c r="Q604" s="5" t="n"/>
      <c r="R604" s="3" t="inlineStr">
        <is>
          <t>Baik</t>
        </is>
      </c>
      <c r="S604" s="3" t="inlineStr">
        <is>
          <t>Aktif</t>
        </is>
      </c>
      <c r="T604" s="3" t="n"/>
      <c r="U604" s="3" t="inlineStr">
        <is>
          <t>ASSET TKIA-24 2025(1).xlsx | ASET TKIA 24</t>
        </is>
      </c>
    </row>
    <row r="605">
      <c r="A605" s="3" t="n">
        <v>602</v>
      </c>
      <c r="B605" s="3" t="inlineStr">
        <is>
          <t>171 - 03 - 03 - 24</t>
        </is>
      </c>
      <c r="C605" s="3" t="inlineStr">
        <is>
          <t>TKIA 24 JATIKRAMAT</t>
        </is>
      </c>
      <c r="D605" s="3" t="inlineStr">
        <is>
          <t>II / 18/ AULA SERBAGUNA</t>
        </is>
      </c>
      <c r="E605" s="3" t="inlineStr">
        <is>
          <t>Closed Duduk</t>
        </is>
      </c>
      <c r="F605" s="3" t="inlineStr">
        <is>
          <t>Closed Duduk</t>
        </is>
      </c>
      <c r="G605" s="3" t="inlineStr">
        <is>
          <t>Kramik</t>
        </is>
      </c>
      <c r="H605" s="3" t="n"/>
      <c r="I605" s="3" t="inlineStr">
        <is>
          <t>1 Unit</t>
        </is>
      </c>
      <c r="J605" s="4" t="n"/>
      <c r="K605" s="3" t="n">
        <v>2018</v>
      </c>
      <c r="L605" s="5" t="n"/>
      <c r="M605" s="5" t="n"/>
      <c r="N605" s="3" t="inlineStr">
        <is>
          <t>171 - 03 - 03 - 24</t>
        </is>
      </c>
      <c r="O605" s="3" t="n">
        <v>4</v>
      </c>
      <c r="P605" s="5" t="n"/>
      <c r="Q605" s="5" t="n"/>
      <c r="R605" s="3" t="inlineStr">
        <is>
          <t>Baik</t>
        </is>
      </c>
      <c r="S605" s="3" t="inlineStr">
        <is>
          <t>Aktif</t>
        </is>
      </c>
      <c r="T605" s="3" t="n"/>
      <c r="U605" s="3" t="inlineStr">
        <is>
          <t>ASSET TKIA-24 2025(1).xlsx | ASET TKIA 24</t>
        </is>
      </c>
    </row>
    <row r="606">
      <c r="A606" s="3" t="n">
        <v>603</v>
      </c>
      <c r="B606" s="3" t="inlineStr">
        <is>
          <t>171 - 03 - 03 - 24</t>
        </is>
      </c>
      <c r="C606" s="3" t="inlineStr">
        <is>
          <t>TKIA 24 JATIKRAMAT</t>
        </is>
      </c>
      <c r="D606" s="3" t="inlineStr">
        <is>
          <t>III / 19/ LAPANGAN FUTSAL</t>
        </is>
      </c>
      <c r="E606" s="3" t="inlineStr">
        <is>
          <t>Gawang Futsal</t>
        </is>
      </c>
      <c r="F606" s="3" t="inlineStr">
        <is>
          <t>Gawang Futsal</t>
        </is>
      </c>
      <c r="G606" s="3" t="inlineStr">
        <is>
          <t>Besi</t>
        </is>
      </c>
      <c r="H606" s="3" t="n"/>
      <c r="I606" s="3" t="n"/>
      <c r="J606" s="4" t="n"/>
      <c r="K606" s="3" t="n"/>
      <c r="L606" s="5" t="n"/>
      <c r="M606" s="5" t="n"/>
      <c r="N606" s="3" t="inlineStr">
        <is>
          <t>171 - 03 - 03 - 24</t>
        </is>
      </c>
      <c r="O606" s="3" t="n">
        <v>4</v>
      </c>
      <c r="P606" s="5" t="n"/>
      <c r="Q606" s="5" t="n"/>
      <c r="R606" s="3" t="inlineStr">
        <is>
          <t>Baik</t>
        </is>
      </c>
      <c r="S606" s="3" t="inlineStr">
        <is>
          <t>Aktif</t>
        </is>
      </c>
      <c r="T606" s="3" t="n"/>
      <c r="U606" s="3" t="inlineStr">
        <is>
          <t>ASSET TKIA-24 2025(1).xlsx | ASET TKIA 24</t>
        </is>
      </c>
    </row>
    <row r="607">
      <c r="A607" s="3" t="n">
        <v>604</v>
      </c>
      <c r="B607" s="3" t="inlineStr">
        <is>
          <t>171 - 03 - 03 - 24</t>
        </is>
      </c>
      <c r="C607" s="3" t="inlineStr">
        <is>
          <t>TKIA 24 JATIKRAMAT</t>
        </is>
      </c>
      <c r="D607" s="3" t="inlineStr">
        <is>
          <t>III / 19/ LAPANGAN FUTSAL</t>
        </is>
      </c>
      <c r="E607" s="3" t="inlineStr">
        <is>
          <t>Bola Futsal</t>
        </is>
      </c>
      <c r="F607" s="3" t="inlineStr">
        <is>
          <t>Bola Futsal</t>
        </is>
      </c>
      <c r="G607" s="3" t="inlineStr">
        <is>
          <t>Besi</t>
        </is>
      </c>
      <c r="H607" s="3" t="n"/>
      <c r="I607" s="3" t="n"/>
      <c r="J607" s="4" t="n"/>
      <c r="K607" s="3" t="n"/>
      <c r="L607" s="5" t="n"/>
      <c r="M607" s="5" t="n"/>
      <c r="N607" s="3" t="inlineStr">
        <is>
          <t>171 - 03 - 03 - 24</t>
        </is>
      </c>
      <c r="O607" s="3" t="n">
        <v>4</v>
      </c>
      <c r="P607" s="5" t="n"/>
      <c r="Q607" s="5" t="n"/>
      <c r="R607" s="3" t="inlineStr">
        <is>
          <t>Baik</t>
        </is>
      </c>
      <c r="S607" s="3" t="inlineStr">
        <is>
          <t>Aktif</t>
        </is>
      </c>
      <c r="T607" s="3" t="n"/>
      <c r="U607" s="3" t="inlineStr">
        <is>
          <t>ASSET TKIA-24 2025(1).xlsx | ASET TKIA 24</t>
        </is>
      </c>
    </row>
    <row r="608">
      <c r="A608" s="3" t="n">
        <v>605</v>
      </c>
      <c r="B608" s="3" t="inlineStr">
        <is>
          <t>171 - 03 - 03 - 24</t>
        </is>
      </c>
      <c r="C608" s="3" t="inlineStr">
        <is>
          <t>TKIA 24 JATIKRAMAT</t>
        </is>
      </c>
      <c r="D608" s="3" t="inlineStr">
        <is>
          <t>III / 19/ LAPANGAN FUTSAL</t>
        </is>
      </c>
      <c r="E608" s="3" t="inlineStr">
        <is>
          <t>Cone</t>
        </is>
      </c>
      <c r="F608" s="3" t="inlineStr">
        <is>
          <t>Cone</t>
        </is>
      </c>
      <c r="G608" s="3" t="inlineStr">
        <is>
          <t>Besi</t>
        </is>
      </c>
      <c r="H608" s="3" t="n"/>
      <c r="I608" s="3" t="n"/>
      <c r="J608" s="4" t="n"/>
      <c r="K608" s="3" t="n"/>
      <c r="L608" s="5" t="n"/>
      <c r="M608" s="5" t="n"/>
      <c r="N608" s="3" t="inlineStr">
        <is>
          <t>171 - 03 - 03 - 24</t>
        </is>
      </c>
      <c r="O608" s="3" t="n">
        <v>4</v>
      </c>
      <c r="P608" s="5" t="n"/>
      <c r="Q608" s="5" t="n"/>
      <c r="R608" s="3" t="inlineStr">
        <is>
          <t>Baik</t>
        </is>
      </c>
      <c r="S608" s="3" t="inlineStr">
        <is>
          <t>Aktif</t>
        </is>
      </c>
      <c r="T608" s="3" t="n"/>
      <c r="U608" s="3" t="inlineStr">
        <is>
          <t>ASSET TKIA-24 2025(1).xlsx | ASET TKIA 24</t>
        </is>
      </c>
    </row>
    <row r="609">
      <c r="A609" s="3" t="n">
        <v>606</v>
      </c>
      <c r="B609" s="3" t="inlineStr">
        <is>
          <t>171 - 03 - 03 - 24</t>
        </is>
      </c>
      <c r="C609" s="3" t="inlineStr">
        <is>
          <t>TKIA 24 JATIKRAMAT</t>
        </is>
      </c>
      <c r="D609" s="3" t="inlineStr">
        <is>
          <t>III / 19/ LAPANGAN FUTSAL</t>
        </is>
      </c>
      <c r="E609" s="3" t="inlineStr">
        <is>
          <t>Ring Plastik</t>
        </is>
      </c>
      <c r="F609" s="3" t="inlineStr">
        <is>
          <t>Ring Plastik</t>
        </is>
      </c>
      <c r="G609" s="3" t="inlineStr">
        <is>
          <t>Kayu</t>
        </is>
      </c>
      <c r="H609" s="3" t="inlineStr">
        <is>
          <t>200 cm x 115 cm</t>
        </is>
      </c>
      <c r="I609" s="3" t="n"/>
      <c r="J609" s="4" t="n"/>
      <c r="K609" s="3" t="n"/>
      <c r="L609" s="5" t="n"/>
      <c r="M609" s="5" t="n"/>
      <c r="N609" s="3" t="inlineStr">
        <is>
          <t>171 - 03 - 03 - 24</t>
        </is>
      </c>
      <c r="O609" s="3" t="n">
        <v>4</v>
      </c>
      <c r="P609" s="5" t="n"/>
      <c r="Q609" s="5" t="n"/>
      <c r="R609" s="3" t="inlineStr">
        <is>
          <t>Baik</t>
        </is>
      </c>
      <c r="S609" s="3" t="inlineStr">
        <is>
          <t>Aktif</t>
        </is>
      </c>
      <c r="T609" s="3" t="n"/>
      <c r="U609" s="3" t="inlineStr">
        <is>
          <t>ASSET TKIA-24 2025(1).xlsx | ASET TKIA 24</t>
        </is>
      </c>
    </row>
    <row r="610">
      <c r="A610" s="3" t="n">
        <v>607</v>
      </c>
      <c r="B610" s="3" t="inlineStr">
        <is>
          <t>171 - 03 - 03 - 24</t>
        </is>
      </c>
      <c r="C610" s="3" t="inlineStr">
        <is>
          <t>TKIA 24 JATIKRAMAT</t>
        </is>
      </c>
      <c r="D610" s="3" t="inlineStr">
        <is>
          <t>III / 19/ LAPANGAN FUTSAL</t>
        </is>
      </c>
      <c r="E610" s="3" t="inlineStr">
        <is>
          <t>Obstecle</t>
        </is>
      </c>
      <c r="F610" s="3" t="inlineStr">
        <is>
          <t>Obstecle</t>
        </is>
      </c>
      <c r="G610" s="3" t="inlineStr">
        <is>
          <t>Kayu</t>
        </is>
      </c>
      <c r="H610" s="3" t="inlineStr">
        <is>
          <t>120 cm x 77 cm</t>
        </is>
      </c>
      <c r="I610" s="3" t="n"/>
      <c r="J610" s="4" t="n"/>
      <c r="K610" s="3" t="n"/>
      <c r="L610" s="5" t="n"/>
      <c r="M610" s="5" t="n"/>
      <c r="N610" s="3" t="inlineStr">
        <is>
          <t>171 - 03 - 03 - 24</t>
        </is>
      </c>
      <c r="O610" s="3" t="n">
        <v>4</v>
      </c>
      <c r="P610" s="5" t="n"/>
      <c r="Q610" s="5" t="n"/>
      <c r="R610" s="3" t="inlineStr">
        <is>
          <t>Baik</t>
        </is>
      </c>
      <c r="S610" s="3" t="inlineStr">
        <is>
          <t>Aktif</t>
        </is>
      </c>
      <c r="T610" s="3" t="n"/>
      <c r="U610" s="3" t="inlineStr">
        <is>
          <t>ASSET TKIA-24 2025(1).xlsx | ASET TKIA 24</t>
        </is>
      </c>
    </row>
    <row r="611">
      <c r="A611" s="3" t="n">
        <v>608</v>
      </c>
      <c r="B611" s="3" t="inlineStr">
        <is>
          <t>171 - 03 - 03 - 24</t>
        </is>
      </c>
      <c r="C611" s="3" t="inlineStr">
        <is>
          <t>TKIA 24 JATIKRAMAT</t>
        </is>
      </c>
      <c r="D611" s="3" t="inlineStr">
        <is>
          <t>III / 19/ LAPANGAN FUTSAL</t>
        </is>
      </c>
      <c r="E611" s="3" t="inlineStr">
        <is>
          <t>Rumput Sintetice</t>
        </is>
      </c>
      <c r="F611" s="3" t="inlineStr">
        <is>
          <t>Rumput Sintetice</t>
        </is>
      </c>
      <c r="G611" s="3" t="inlineStr">
        <is>
          <t>Kayu</t>
        </is>
      </c>
      <c r="H611" s="3" t="inlineStr">
        <is>
          <t>80 cm x 43 cm</t>
        </is>
      </c>
      <c r="I611" s="3" t="n"/>
      <c r="J611" s="4" t="n"/>
      <c r="K611" s="3" t="n"/>
      <c r="L611" s="5" t="n"/>
      <c r="M611" s="5" t="n"/>
      <c r="N611" s="3" t="inlineStr">
        <is>
          <t>171 - 03 - 03 - 24</t>
        </is>
      </c>
      <c r="O611" s="3" t="n">
        <v>4</v>
      </c>
      <c r="P611" s="5" t="n"/>
      <c r="Q611" s="5" t="n"/>
      <c r="R611" s="3" t="inlineStr">
        <is>
          <t>Baik</t>
        </is>
      </c>
      <c r="S611" s="3" t="inlineStr">
        <is>
          <t>Aktif</t>
        </is>
      </c>
      <c r="T611" s="3" t="n"/>
      <c r="U611" s="3" t="inlineStr">
        <is>
          <t>ASSET TKIA-24 2025(1).xlsx | ASET TKIA 24</t>
        </is>
      </c>
    </row>
    <row r="612">
      <c r="A612" s="3" t="n">
        <v>609</v>
      </c>
      <c r="B612" s="3" t="inlineStr">
        <is>
          <t>171 - 03 - 03 - 24</t>
        </is>
      </c>
      <c r="C612" s="3" t="inlineStr">
        <is>
          <t>TKIA 24 JATIKRAMAT</t>
        </is>
      </c>
      <c r="D612" s="3" t="inlineStr">
        <is>
          <t>III / 20/ GUDANG I</t>
        </is>
      </c>
      <c r="E612" s="3" t="inlineStr">
        <is>
          <t>Rangka Besi Banner</t>
        </is>
      </c>
      <c r="F612" s="3" t="inlineStr">
        <is>
          <t>Rangka Besi Banner</t>
        </is>
      </c>
      <c r="G612" s="3" t="inlineStr">
        <is>
          <t>Besi</t>
        </is>
      </c>
      <c r="H612" s="3" t="n"/>
      <c r="I612" s="3" t="n"/>
      <c r="J612" s="4" t="n"/>
      <c r="K612" s="3" t="n"/>
      <c r="L612" s="5" t="n"/>
      <c r="M612" s="5" t="n"/>
      <c r="N612" s="3" t="inlineStr">
        <is>
          <t>171 - 03 - 03 - 24</t>
        </is>
      </c>
      <c r="O612" s="3" t="n">
        <v>4</v>
      </c>
      <c r="P612" s="5" t="n"/>
      <c r="Q612" s="5" t="n"/>
      <c r="R612" s="3" t="inlineStr">
        <is>
          <t>Baik</t>
        </is>
      </c>
      <c r="S612" s="3" t="inlineStr">
        <is>
          <t>Aktif</t>
        </is>
      </c>
      <c r="T612" s="3" t="n"/>
      <c r="U612" s="3" t="inlineStr">
        <is>
          <t>ASSET TKIA-24 2025(1).xlsx | ASET TKIA 24</t>
        </is>
      </c>
    </row>
    <row r="613">
      <c r="A613" s="3" t="n">
        <v>610</v>
      </c>
      <c r="B613" s="3" t="inlineStr">
        <is>
          <t>171 - 03 - 03 - 24</t>
        </is>
      </c>
      <c r="C613" s="3" t="inlineStr">
        <is>
          <t>TKIA 24 JATIKRAMAT</t>
        </is>
      </c>
      <c r="D613" s="3" t="inlineStr">
        <is>
          <t>III / 20/ GUDANG I</t>
        </is>
      </c>
      <c r="E613" s="3" t="inlineStr">
        <is>
          <t>Lemari Arsip</t>
        </is>
      </c>
      <c r="F613" s="3" t="inlineStr">
        <is>
          <t>Lemari Arsip</t>
        </is>
      </c>
      <c r="G613" s="3" t="inlineStr">
        <is>
          <t>Besi</t>
        </is>
      </c>
      <c r="H613" s="3" t="n"/>
      <c r="I613" s="3" t="n"/>
      <c r="J613" s="4" t="n"/>
      <c r="K613" s="3" t="n"/>
      <c r="L613" s="5" t="n"/>
      <c r="M613" s="5" t="n"/>
      <c r="N613" s="3" t="inlineStr">
        <is>
          <t>171 - 03 - 03 - 24</t>
        </is>
      </c>
      <c r="O613" s="3" t="n">
        <v>4</v>
      </c>
      <c r="P613" s="5" t="n"/>
      <c r="Q613" s="5" t="n"/>
      <c r="R613" s="3" t="inlineStr">
        <is>
          <t>Baik</t>
        </is>
      </c>
      <c r="S613" s="3" t="inlineStr">
        <is>
          <t>Aktif</t>
        </is>
      </c>
      <c r="T613" s="3" t="n"/>
      <c r="U613" s="3" t="inlineStr">
        <is>
          <t>ASSET TKIA-24 2025(1).xlsx | ASET TKIA 24</t>
        </is>
      </c>
    </row>
    <row r="614">
      <c r="A614" s="3" t="n">
        <v>611</v>
      </c>
      <c r="B614" s="3" t="inlineStr">
        <is>
          <t>171 - 03 - 03 - 24</t>
        </is>
      </c>
      <c r="C614" s="3" t="inlineStr">
        <is>
          <t>TKIA 24 JATIKRAMAT</t>
        </is>
      </c>
      <c r="D614" s="3" t="inlineStr">
        <is>
          <t>III / 20/ GUDANG I</t>
        </is>
      </c>
      <c r="E614" s="3" t="inlineStr">
        <is>
          <t>Meja Kerja</t>
        </is>
      </c>
      <c r="F614" s="3" t="inlineStr">
        <is>
          <t>Meja Kerja</t>
        </is>
      </c>
      <c r="G614" s="3" t="inlineStr">
        <is>
          <t>Besi</t>
        </is>
      </c>
      <c r="H614" s="3" t="inlineStr">
        <is>
          <t>80 x 120 cm</t>
        </is>
      </c>
      <c r="I614" s="3" t="n"/>
      <c r="J614" s="4" t="n"/>
      <c r="K614" s="3" t="n"/>
      <c r="L614" s="5" t="n"/>
      <c r="M614" s="5" t="n"/>
      <c r="N614" s="3" t="inlineStr">
        <is>
          <t>171 - 03 - 03 - 24</t>
        </is>
      </c>
      <c r="O614" s="3" t="n">
        <v>4</v>
      </c>
      <c r="P614" s="5" t="n"/>
      <c r="Q614" s="5" t="n"/>
      <c r="R614" s="3" t="inlineStr">
        <is>
          <t>Baik</t>
        </is>
      </c>
      <c r="S614" s="3" t="inlineStr">
        <is>
          <t>Aktif</t>
        </is>
      </c>
      <c r="T614" s="3" t="n"/>
      <c r="U614" s="3" t="inlineStr">
        <is>
          <t>ASSET TKIA-24 2025(1).xlsx | ASET TKIA 24</t>
        </is>
      </c>
    </row>
    <row r="615">
      <c r="A615" s="3" t="n">
        <v>612</v>
      </c>
      <c r="B615" s="3" t="inlineStr">
        <is>
          <t>171 - 03 - 03 - 24</t>
        </is>
      </c>
      <c r="C615" s="3" t="inlineStr">
        <is>
          <t>TKIA 24 JATIKRAMAT</t>
        </is>
      </c>
      <c r="D615" s="3" t="inlineStr">
        <is>
          <t>III / 20/ GUDANG I</t>
        </is>
      </c>
      <c r="E615" s="3" t="inlineStr">
        <is>
          <t>Rangka Besi Panggung</t>
        </is>
      </c>
      <c r="F615" s="3" t="inlineStr">
        <is>
          <t>Rangka Besi Panggung</t>
        </is>
      </c>
      <c r="G615" s="3" t="inlineStr">
        <is>
          <t>Besi</t>
        </is>
      </c>
      <c r="H615" s="3" t="inlineStr">
        <is>
          <t>244 x 550 cm</t>
        </is>
      </c>
      <c r="I615" s="3" t="n"/>
      <c r="J615" s="4" t="n"/>
      <c r="K615" s="3" t="n"/>
      <c r="L615" s="5" t="n"/>
      <c r="M615" s="5" t="n"/>
      <c r="N615" s="3" t="inlineStr">
        <is>
          <t>171 - 03 - 03 - 24</t>
        </is>
      </c>
      <c r="O615" s="3" t="n">
        <v>4</v>
      </c>
      <c r="P615" s="5" t="n"/>
      <c r="Q615" s="5" t="n"/>
      <c r="R615" s="3" t="inlineStr">
        <is>
          <t>Baik</t>
        </is>
      </c>
      <c r="S615" s="3" t="inlineStr">
        <is>
          <t>Aktif</t>
        </is>
      </c>
      <c r="T615" s="3" t="n"/>
      <c r="U615" s="3" t="inlineStr">
        <is>
          <t>ASSET TKIA-24 2025(1).xlsx | ASET TKIA 24</t>
        </is>
      </c>
    </row>
    <row r="616">
      <c r="A616" s="3" t="n">
        <v>613</v>
      </c>
      <c r="B616" s="3" t="inlineStr">
        <is>
          <t>171 - 03 - 03 - 24</t>
        </is>
      </c>
      <c r="C616" s="3" t="inlineStr">
        <is>
          <t>TKIA 24 JATIKRAMAT</t>
        </is>
      </c>
      <c r="D616" s="3" t="inlineStr">
        <is>
          <t>III / 21/ TAMAN (ROOF TOP)</t>
        </is>
      </c>
      <c r="E616" s="3" t="inlineStr">
        <is>
          <t>Tempat Sampah</t>
        </is>
      </c>
      <c r="F616" s="3" t="inlineStr">
        <is>
          <t>Tempat Sampah</t>
        </is>
      </c>
      <c r="G616" s="3" t="inlineStr">
        <is>
          <t>Plastik</t>
        </is>
      </c>
      <c r="H616" s="3" t="n"/>
      <c r="I616" s="3" t="inlineStr">
        <is>
          <t>1 Unit</t>
        </is>
      </c>
      <c r="J616" s="4" t="n"/>
      <c r="K616" s="3" t="n">
        <v>2018</v>
      </c>
      <c r="L616" s="5" t="n"/>
      <c r="M616" s="5" t="n"/>
      <c r="N616" s="3" t="inlineStr">
        <is>
          <t>171 - 03 - 03 - 24</t>
        </is>
      </c>
      <c r="O616" s="3" t="n">
        <v>4</v>
      </c>
      <c r="P616" s="5" t="n"/>
      <c r="Q616" s="5" t="n"/>
      <c r="R616" s="3" t="inlineStr">
        <is>
          <t>Baik</t>
        </is>
      </c>
      <c r="S616" s="3" t="inlineStr">
        <is>
          <t>Aktif</t>
        </is>
      </c>
      <c r="T616" s="3" t="n"/>
      <c r="U616" s="3" t="inlineStr">
        <is>
          <t>ASSET TKIA-24 2025(1).xlsx | ASET TKIA 24</t>
        </is>
      </c>
    </row>
    <row r="617">
      <c r="A617" s="3" t="n">
        <v>614</v>
      </c>
      <c r="B617" s="3" t="inlineStr">
        <is>
          <t>171 - 03 - 03 - 24</t>
        </is>
      </c>
      <c r="C617" s="3" t="inlineStr">
        <is>
          <t>TKIA 24 JATIKRAMAT</t>
        </is>
      </c>
      <c r="D617" s="3" t="inlineStr">
        <is>
          <t>III / 21/ TAMAN (ROOF TOP)</t>
        </is>
      </c>
      <c r="E617" s="3" t="inlineStr">
        <is>
          <t>Selang</t>
        </is>
      </c>
      <c r="F617" s="3" t="inlineStr">
        <is>
          <t>Selang</t>
        </is>
      </c>
      <c r="G617" s="3" t="inlineStr">
        <is>
          <t>Plastik</t>
        </is>
      </c>
      <c r="H617" s="3" t="n"/>
      <c r="I617" s="3" t="inlineStr">
        <is>
          <t>1 Unit</t>
        </is>
      </c>
      <c r="J617" s="4" t="n"/>
      <c r="K617" s="3" t="n">
        <v>2018</v>
      </c>
      <c r="L617" s="5" t="n"/>
      <c r="M617" s="5" t="n"/>
      <c r="N617" s="3" t="inlineStr">
        <is>
          <t>171 - 03 - 03 - 24</t>
        </is>
      </c>
      <c r="O617" s="3" t="n">
        <v>4</v>
      </c>
      <c r="P617" s="5" t="n"/>
      <c r="Q617" s="5" t="n"/>
      <c r="R617" s="3" t="inlineStr">
        <is>
          <t>Baik</t>
        </is>
      </c>
      <c r="S617" s="3" t="inlineStr">
        <is>
          <t>Aktif</t>
        </is>
      </c>
      <c r="T617" s="3" t="n"/>
      <c r="U617" s="3" t="inlineStr">
        <is>
          <t>ASSET TKIA-24 2025(1).xlsx | ASET TKIA 24</t>
        </is>
      </c>
    </row>
    <row r="618">
      <c r="A618" s="3" t="n">
        <v>615</v>
      </c>
      <c r="B618" s="3" t="inlineStr">
        <is>
          <t>171 - 03 - 03 - 24</t>
        </is>
      </c>
      <c r="C618" s="3" t="inlineStr">
        <is>
          <t>TKIA 24 JATIKRAMAT</t>
        </is>
      </c>
      <c r="D618" s="3" t="inlineStr">
        <is>
          <t>III / 21/ TAMAN (ROOF TOP)</t>
        </is>
      </c>
      <c r="E618" s="3" t="inlineStr">
        <is>
          <t>Torn Air</t>
        </is>
      </c>
      <c r="F618" s="3" t="inlineStr">
        <is>
          <t>Torn Air</t>
        </is>
      </c>
      <c r="G618" s="3" t="inlineStr">
        <is>
          <t>Plastik</t>
        </is>
      </c>
      <c r="H618" s="3" t="n"/>
      <c r="I618" s="3" t="inlineStr">
        <is>
          <t>2 Unit</t>
        </is>
      </c>
      <c r="J618" s="4" t="n"/>
      <c r="K618" s="3" t="n">
        <v>2018</v>
      </c>
      <c r="L618" s="5" t="n"/>
      <c r="M618" s="5" t="n"/>
      <c r="N618" s="3" t="inlineStr">
        <is>
          <t>171 - 03 - 03 - 24</t>
        </is>
      </c>
      <c r="O618" s="3" t="n">
        <v>4</v>
      </c>
      <c r="P618" s="5" t="n"/>
      <c r="Q618" s="5" t="n"/>
      <c r="R618" s="3" t="inlineStr">
        <is>
          <t>Baik</t>
        </is>
      </c>
      <c r="S618" s="3" t="inlineStr">
        <is>
          <t>Aktif</t>
        </is>
      </c>
      <c r="T618" s="3" t="n"/>
      <c r="U618" s="3" t="inlineStr">
        <is>
          <t>ASSET TKIA-24 2025(1).xlsx | ASET TKIA 24</t>
        </is>
      </c>
    </row>
    <row r="619">
      <c r="A619" s="3" t="n">
        <v>616</v>
      </c>
      <c r="B619" s="3" t="inlineStr">
        <is>
          <t>171 - 03 - 03 - 24</t>
        </is>
      </c>
      <c r="C619" s="3" t="inlineStr">
        <is>
          <t>TKIA 24 JATIKRAMAT</t>
        </is>
      </c>
      <c r="D619" s="3" t="inlineStr">
        <is>
          <t>III / 21/ TAMAN (ROOF TOP)</t>
        </is>
      </c>
      <c r="E619" s="3" t="inlineStr">
        <is>
          <t>Mesin Air Kolam Ikan</t>
        </is>
      </c>
      <c r="F619" s="3" t="inlineStr">
        <is>
          <t>Mesin Air Kolam Ikan</t>
        </is>
      </c>
      <c r="G619" s="3" t="inlineStr">
        <is>
          <t>Besi</t>
        </is>
      </c>
      <c r="H619" s="3" t="inlineStr">
        <is>
          <t>100 watt/ 220 Volt</t>
        </is>
      </c>
      <c r="I619" s="3" t="inlineStr">
        <is>
          <t>1 Unit</t>
        </is>
      </c>
      <c r="J619" s="4" t="n"/>
      <c r="K619" s="3" t="n">
        <v>2018</v>
      </c>
      <c r="L619" s="5" t="n"/>
      <c r="M619" s="5" t="n"/>
      <c r="N619" s="3" t="inlineStr">
        <is>
          <t>171 - 03 - 03 - 24</t>
        </is>
      </c>
      <c r="O619" s="3" t="n">
        <v>4</v>
      </c>
      <c r="P619" s="5" t="n"/>
      <c r="Q619" s="5" t="n"/>
      <c r="R619" s="3" t="inlineStr">
        <is>
          <t>Baik</t>
        </is>
      </c>
      <c r="S619" s="3" t="inlineStr">
        <is>
          <t>Aktif</t>
        </is>
      </c>
      <c r="T619" s="3" t="n"/>
      <c r="U619" s="3" t="inlineStr">
        <is>
          <t>ASSET TKIA-24 2025(1).xlsx | ASET TKIA 24</t>
        </is>
      </c>
    </row>
    <row r="620">
      <c r="A620" s="3" t="n">
        <v>617</v>
      </c>
      <c r="B620" s="3" t="n"/>
      <c r="C620" s="3" t="inlineStr">
        <is>
          <t>TKIA 24 JATIKRAMAT</t>
        </is>
      </c>
      <c r="D620" s="3" t="inlineStr">
        <is>
          <t>I / 22/ RUANG GURU</t>
        </is>
      </c>
      <c r="E620" s="3" t="inlineStr">
        <is>
          <t>Mesin Laminating</t>
        </is>
      </c>
      <c r="F620" s="3" t="inlineStr">
        <is>
          <t>Mesin Laminating</t>
        </is>
      </c>
      <c r="G620" s="3" t="n"/>
      <c r="H620" s="3" t="n"/>
      <c r="I620" s="3" t="n"/>
      <c r="J620" s="4" t="n"/>
      <c r="K620" s="3" t="n"/>
      <c r="L620" s="5" t="n"/>
      <c r="M620" s="5" t="n"/>
      <c r="N620" s="3" t="n"/>
      <c r="O620" s="3" t="n">
        <v>4</v>
      </c>
      <c r="P620" s="5" t="n"/>
      <c r="Q620" s="5" t="n"/>
      <c r="R620" s="3" t="inlineStr">
        <is>
          <t>Baik</t>
        </is>
      </c>
      <c r="S620" s="3" t="inlineStr">
        <is>
          <t>Aktif</t>
        </is>
      </c>
      <c r="T620" s="3" t="n"/>
      <c r="U620" s="3" t="inlineStr">
        <is>
          <t>ASSET TKIA-24 2025(1).xlsx | ASET TKIA 24</t>
        </is>
      </c>
    </row>
    <row r="621">
      <c r="A621" s="3" t="n">
        <v>618</v>
      </c>
      <c r="B621" s="3" t="n"/>
      <c r="C621" s="3" t="inlineStr">
        <is>
          <t>TKIA 24 JATIKRAMAT</t>
        </is>
      </c>
      <c r="D621" s="3" t="inlineStr">
        <is>
          <t>I / 22/ RUANG GURU</t>
        </is>
      </c>
      <c r="E621" s="3" t="inlineStr">
        <is>
          <t>Loker Guru</t>
        </is>
      </c>
      <c r="F621" s="3" t="inlineStr">
        <is>
          <t>Loker Guru</t>
        </is>
      </c>
      <c r="G621" s="3" t="inlineStr">
        <is>
          <t>Kayu</t>
        </is>
      </c>
      <c r="H621" s="3" t="n"/>
      <c r="I621" s="3" t="n"/>
      <c r="J621" s="4" t="n"/>
      <c r="K621" s="3" t="n"/>
      <c r="L621" s="5" t="n"/>
      <c r="M621" s="5" t="n"/>
      <c r="N621" s="3" t="n"/>
      <c r="O621" s="3" t="n">
        <v>4</v>
      </c>
      <c r="P621" s="5" t="n"/>
      <c r="Q621" s="5" t="n"/>
      <c r="R621" s="3" t="inlineStr">
        <is>
          <t>Baik</t>
        </is>
      </c>
      <c r="S621" s="3" t="inlineStr">
        <is>
          <t>Aktif</t>
        </is>
      </c>
      <c r="T621" s="3" t="n"/>
      <c r="U621" s="3" t="inlineStr">
        <is>
          <t>ASSET TKIA-24 2025(1).xlsx | ASET TKIA 24</t>
        </is>
      </c>
    </row>
    <row r="622">
      <c r="A622" s="3" t="n">
        <v>619</v>
      </c>
      <c r="B622" s="3" t="n"/>
      <c r="C622" s="3" t="inlineStr">
        <is>
          <t>TKIA 24 JATIKRAMAT</t>
        </is>
      </c>
      <c r="D622" s="3" t="inlineStr">
        <is>
          <t>I / 22/ RUANG GURU</t>
        </is>
      </c>
      <c r="E622" s="3" t="inlineStr">
        <is>
          <t>Stabilizer</t>
        </is>
      </c>
      <c r="F622" s="3" t="inlineStr">
        <is>
          <t>Stabilizer</t>
        </is>
      </c>
      <c r="G622" s="3" t="inlineStr">
        <is>
          <t>Besi</t>
        </is>
      </c>
      <c r="H622" s="3" t="inlineStr">
        <is>
          <t>10000 N</t>
        </is>
      </c>
      <c r="I622" s="3" t="n"/>
      <c r="J622" s="4" t="n"/>
      <c r="K622" s="3" t="n"/>
      <c r="L622" s="5" t="n"/>
      <c r="M622" s="5" t="n"/>
      <c r="N622" s="3" t="n"/>
      <c r="O622" s="3" t="n">
        <v>4</v>
      </c>
      <c r="P622" s="5" t="n"/>
      <c r="Q622" s="5" t="n"/>
      <c r="R622" s="3" t="inlineStr">
        <is>
          <t>Baik</t>
        </is>
      </c>
      <c r="S622" s="3" t="inlineStr">
        <is>
          <t>Aktif</t>
        </is>
      </c>
      <c r="T622" s="3" t="n"/>
      <c r="U622" s="3" t="inlineStr">
        <is>
          <t>ASSET TKIA-24 2025(1).xlsx | ASET TKIA 24</t>
        </is>
      </c>
    </row>
    <row r="623">
      <c r="A623" s="3" t="n">
        <v>620</v>
      </c>
      <c r="B623" s="3" t="n"/>
      <c r="C623" s="3" t="inlineStr">
        <is>
          <t>TKIA 24 JATIKRAMAT</t>
        </is>
      </c>
      <c r="D623" s="3" t="inlineStr">
        <is>
          <t>I / 22/ RUANG GURU</t>
        </is>
      </c>
      <c r="E623" s="3" t="inlineStr">
        <is>
          <t>Loker Arsip</t>
        </is>
      </c>
      <c r="F623" s="3" t="inlineStr">
        <is>
          <t>Loker Arsip</t>
        </is>
      </c>
      <c r="G623" s="3" t="inlineStr">
        <is>
          <t>Kayu</t>
        </is>
      </c>
      <c r="H623" s="3" t="n"/>
      <c r="I623" s="3" t="n"/>
      <c r="J623" s="4" t="n"/>
      <c r="K623" s="3" t="n"/>
      <c r="L623" s="5" t="n"/>
      <c r="M623" s="5" t="n"/>
      <c r="N623" s="3" t="n"/>
      <c r="O623" s="3" t="n">
        <v>4</v>
      </c>
      <c r="P623" s="5" t="n"/>
      <c r="Q623" s="5" t="n"/>
      <c r="R623" s="3" t="inlineStr">
        <is>
          <t>Baik</t>
        </is>
      </c>
      <c r="S623" s="3" t="inlineStr">
        <is>
          <t>Aktif</t>
        </is>
      </c>
      <c r="T623" s="3" t="n"/>
      <c r="U623" s="3" t="inlineStr">
        <is>
          <t>ASSET TKIA-24 2025(1).xlsx | ASET TKIA 24</t>
        </is>
      </c>
    </row>
    <row r="624">
      <c r="A624" s="3" t="n">
        <v>621</v>
      </c>
      <c r="B624" s="3" t="n"/>
      <c r="C624" s="3" t="inlineStr">
        <is>
          <t>TKIA 24 JATIKRAMAT</t>
        </is>
      </c>
      <c r="D624" s="3" t="inlineStr">
        <is>
          <t>I / 22/ RUANG GURU</t>
        </is>
      </c>
      <c r="E624" s="3" t="inlineStr">
        <is>
          <t>Rak Arsip</t>
        </is>
      </c>
      <c r="F624" s="3" t="inlineStr">
        <is>
          <t>Rak Arsip</t>
        </is>
      </c>
      <c r="G624" s="3" t="inlineStr">
        <is>
          <t>Besi</t>
        </is>
      </c>
      <c r="H624" s="3" t="n"/>
      <c r="I624" s="3" t="n"/>
      <c r="J624" s="4" t="n"/>
      <c r="K624" s="3" t="n"/>
      <c r="L624" s="5" t="n"/>
      <c r="M624" s="5" t="n"/>
      <c r="N624" s="3" t="n"/>
      <c r="O624" s="3" t="n">
        <v>4</v>
      </c>
      <c r="P624" s="5" t="n"/>
      <c r="Q624" s="5" t="n"/>
      <c r="R624" s="3" t="inlineStr">
        <is>
          <t>Baik</t>
        </is>
      </c>
      <c r="S624" s="3" t="inlineStr">
        <is>
          <t>Aktif</t>
        </is>
      </c>
      <c r="T624" s="3" t="n"/>
      <c r="U624" s="3" t="inlineStr">
        <is>
          <t>ASSET TKIA-24 2025(1).xlsx | ASET TKIA 24</t>
        </is>
      </c>
    </row>
    <row r="625">
      <c r="A625" s="3" t="n">
        <v>622</v>
      </c>
      <c r="B625" s="3" t="n"/>
      <c r="C625" s="3" t="inlineStr">
        <is>
          <t>TKIA 24 JATIKRAMAT</t>
        </is>
      </c>
      <c r="D625" s="3" t="inlineStr">
        <is>
          <t>I / 22/ RUANG GURU</t>
        </is>
      </c>
      <c r="E625" s="3" t="inlineStr">
        <is>
          <t>Amplifire</t>
        </is>
      </c>
      <c r="F625" s="3" t="inlineStr">
        <is>
          <t>Amplifire</t>
        </is>
      </c>
      <c r="G625" s="3" t="inlineStr">
        <is>
          <t>Plastik</t>
        </is>
      </c>
      <c r="H625" s="3" t="n"/>
      <c r="I625" s="3" t="n"/>
      <c r="J625" s="4" t="n"/>
      <c r="K625" s="3" t="n"/>
      <c r="L625" s="5" t="n"/>
      <c r="M625" s="5" t="n"/>
      <c r="N625" s="3" t="n"/>
      <c r="O625" s="3" t="n">
        <v>4</v>
      </c>
      <c r="P625" s="5" t="n"/>
      <c r="Q625" s="5" t="n"/>
      <c r="R625" s="3" t="inlineStr">
        <is>
          <t>Baik</t>
        </is>
      </c>
      <c r="S625" s="3" t="inlineStr">
        <is>
          <t>Aktif</t>
        </is>
      </c>
      <c r="T625" s="3" t="n"/>
      <c r="U625" s="3" t="inlineStr">
        <is>
          <t>ASSET TKIA-24 2025(1).xlsx | ASET TKIA 24</t>
        </is>
      </c>
    </row>
    <row r="626">
      <c r="A626" s="3" t="n">
        <v>623</v>
      </c>
      <c r="B626" s="3" t="n"/>
      <c r="C626" s="3" t="inlineStr">
        <is>
          <t>TKIA 24 JATIKRAMAT</t>
        </is>
      </c>
      <c r="D626" s="3" t="inlineStr">
        <is>
          <t>I / 22/ RUANG GURU</t>
        </is>
      </c>
      <c r="E626" s="3" t="inlineStr">
        <is>
          <t>Lemari kabinet</t>
        </is>
      </c>
      <c r="F626" s="3" t="inlineStr">
        <is>
          <t>Lemari kabinet</t>
        </is>
      </c>
      <c r="G626" s="3" t="inlineStr">
        <is>
          <t>Besi</t>
        </is>
      </c>
      <c r="H626" s="3" t="n"/>
      <c r="I626" s="3" t="n"/>
      <c r="J626" s="4" t="n"/>
      <c r="K626" s="3" t="n"/>
      <c r="L626" s="5" t="n"/>
      <c r="M626" s="5" t="n"/>
      <c r="N626" s="3" t="n"/>
      <c r="O626" s="3" t="n">
        <v>4</v>
      </c>
      <c r="P626" s="5" t="n"/>
      <c r="Q626" s="5" t="n"/>
      <c r="R626" s="3" t="inlineStr">
        <is>
          <t>Baik</t>
        </is>
      </c>
      <c r="S626" s="3" t="inlineStr">
        <is>
          <t>Aktif</t>
        </is>
      </c>
      <c r="T626" s="3" t="n"/>
      <c r="U626" s="3" t="inlineStr">
        <is>
          <t>ASSET TKIA-24 2025(1).xlsx | ASET TKIA 24</t>
        </is>
      </c>
    </row>
    <row r="627">
      <c r="A627" s="3" t="n">
        <v>624</v>
      </c>
      <c r="B627" s="3" t="n"/>
      <c r="C627" s="3" t="inlineStr">
        <is>
          <t>TKIA 24 JATIKRAMAT</t>
        </is>
      </c>
      <c r="D627" s="3" t="inlineStr">
        <is>
          <t>I / 22/ RUANG GURU</t>
        </is>
      </c>
      <c r="E627" s="3" t="inlineStr">
        <is>
          <t>Lemari Kayu</t>
        </is>
      </c>
      <c r="F627" s="3" t="inlineStr">
        <is>
          <t>Lemari Kayu</t>
        </is>
      </c>
      <c r="G627" s="3" t="inlineStr">
        <is>
          <t>Kayu</t>
        </is>
      </c>
      <c r="H627" s="3" t="n"/>
      <c r="I627" s="3" t="n"/>
      <c r="J627" s="4" t="n"/>
      <c r="K627" s="3" t="n"/>
      <c r="L627" s="5" t="n"/>
      <c r="M627" s="5" t="n"/>
      <c r="N627" s="3" t="n"/>
      <c r="O627" s="3" t="n">
        <v>4</v>
      </c>
      <c r="P627" s="5" t="n"/>
      <c r="Q627" s="5" t="n"/>
      <c r="R627" s="3" t="inlineStr">
        <is>
          <t>Baik</t>
        </is>
      </c>
      <c r="S627" s="3" t="inlineStr">
        <is>
          <t>Aktif</t>
        </is>
      </c>
      <c r="T627" s="3" t="n"/>
      <c r="U627" s="3" t="inlineStr">
        <is>
          <t>ASSET TKIA-24 2025(1).xlsx | ASET TKIA 24</t>
        </is>
      </c>
    </row>
    <row r="628">
      <c r="A628" s="3" t="n">
        <v>625</v>
      </c>
      <c r="B628" s="3" t="n"/>
      <c r="C628" s="3" t="inlineStr">
        <is>
          <t>TKIA 24 JATIKRAMAT</t>
        </is>
      </c>
      <c r="D628" s="3" t="inlineStr">
        <is>
          <t>I / 22/ RUANG GURU</t>
        </is>
      </c>
      <c r="E628" s="3" t="inlineStr">
        <is>
          <t>Rak Besi</t>
        </is>
      </c>
      <c r="F628" s="3" t="inlineStr">
        <is>
          <t>Rak Besi</t>
        </is>
      </c>
      <c r="G628" s="3" t="inlineStr">
        <is>
          <t>Besi</t>
        </is>
      </c>
      <c r="H628" s="3" t="n"/>
      <c r="I628" s="3" t="n"/>
      <c r="J628" s="4" t="n"/>
      <c r="K628" s="3" t="n"/>
      <c r="L628" s="5" t="n"/>
      <c r="M628" s="5" t="n"/>
      <c r="N628" s="3" t="n"/>
      <c r="O628" s="3" t="n">
        <v>4</v>
      </c>
      <c r="P628" s="5" t="n"/>
      <c r="Q628" s="5" t="n"/>
      <c r="R628" s="3" t="inlineStr">
        <is>
          <t>Baik</t>
        </is>
      </c>
      <c r="S628" s="3" t="inlineStr">
        <is>
          <t>Aktif</t>
        </is>
      </c>
      <c r="T628" s="3" t="n"/>
      <c r="U628" s="3" t="inlineStr">
        <is>
          <t>ASSET TKIA-24 2025(1).xlsx | ASET TKIA 24</t>
        </is>
      </c>
    </row>
    <row r="629">
      <c r="A629" s="3" t="n">
        <v>626</v>
      </c>
      <c r="B629" s="3" t="n"/>
      <c r="C629" s="3" t="inlineStr">
        <is>
          <t>TKIA 24 JATIKRAMAT</t>
        </is>
      </c>
      <c r="D629" s="3" t="inlineStr">
        <is>
          <t>I / 22/ RUANG GURU</t>
        </is>
      </c>
      <c r="E629" s="3" t="inlineStr">
        <is>
          <t>Meja</t>
        </is>
      </c>
      <c r="F629" s="3" t="inlineStr">
        <is>
          <t>Meja</t>
        </is>
      </c>
      <c r="G629" s="3" t="n"/>
      <c r="H629" s="3" t="n"/>
      <c r="I629" s="3" t="n"/>
      <c r="J629" s="4" t="n"/>
      <c r="K629" s="3" t="n"/>
      <c r="L629" s="5" t="n"/>
      <c r="M629" s="5" t="n"/>
      <c r="N629" s="3" t="n"/>
      <c r="O629" s="3" t="n">
        <v>4</v>
      </c>
      <c r="P629" s="5" t="n"/>
      <c r="Q629" s="5" t="n"/>
      <c r="R629" s="3" t="inlineStr">
        <is>
          <t>Baik</t>
        </is>
      </c>
      <c r="S629" s="3" t="inlineStr">
        <is>
          <t>Aktif</t>
        </is>
      </c>
      <c r="T629" s="3" t="n"/>
      <c r="U629" s="3" t="inlineStr">
        <is>
          <t>ASSET TKIA-24 2025(1).xlsx | ASET TKIA 24</t>
        </is>
      </c>
    </row>
    <row r="630">
      <c r="A630" s="3" t="n">
        <v>627</v>
      </c>
      <c r="B630" s="3" t="inlineStr">
        <is>
          <t>171 - 03 - 01 - 24</t>
        </is>
      </c>
      <c r="C630" s="3" t="inlineStr">
        <is>
          <t>TKIA 24 JATIKRAMAT</t>
        </is>
      </c>
      <c r="D630" s="3" t="inlineStr">
        <is>
          <t>I / 1 / RUANG TUNGGU</t>
        </is>
      </c>
      <c r="E630" s="3" t="inlineStr">
        <is>
          <t>Bangku Duduk</t>
        </is>
      </c>
      <c r="F630" s="3" t="inlineStr">
        <is>
          <t>Bangku Duduk</t>
        </is>
      </c>
      <c r="G630" s="3" t="inlineStr">
        <is>
          <t>Plastik</t>
        </is>
      </c>
      <c r="H630" s="3" t="inlineStr">
        <is>
          <t>26 cm x 26 cm x 26 cm</t>
        </is>
      </c>
      <c r="I630" s="3" t="inlineStr">
        <is>
          <t>1 Unit</t>
        </is>
      </c>
      <c r="J630" s="4" t="n"/>
      <c r="K630" s="3" t="n"/>
      <c r="L630" s="5" t="n"/>
      <c r="M630" s="5" t="n"/>
      <c r="N630" s="3" t="inlineStr">
        <is>
          <t>171 - 03 - 01 - 24</t>
        </is>
      </c>
      <c r="O630" s="3" t="n">
        <v>4</v>
      </c>
      <c r="P630" s="5" t="n"/>
      <c r="Q630" s="5" t="n"/>
      <c r="R630" s="3" t="inlineStr">
        <is>
          <t>Baik</t>
        </is>
      </c>
      <c r="S630" s="3" t="inlineStr">
        <is>
          <t>Aktif</t>
        </is>
      </c>
      <c r="T630" s="3" t="n"/>
      <c r="U630" s="3" t="inlineStr">
        <is>
          <t>ASSET TKIA-24 2025(1).xlsx | ASET TKIA (3)</t>
        </is>
      </c>
    </row>
    <row r="631">
      <c r="A631" s="3" t="n">
        <v>628</v>
      </c>
      <c r="B631" s="3" t="inlineStr">
        <is>
          <t>171 - 03 - 01 - 24</t>
        </is>
      </c>
      <c r="C631" s="3" t="inlineStr">
        <is>
          <t>TKIA 24 JATIKRAMAT</t>
        </is>
      </c>
      <c r="D631" s="3" t="inlineStr">
        <is>
          <t>I / 1 / RUANG TUNGGU</t>
        </is>
      </c>
      <c r="E631" s="3" t="inlineStr">
        <is>
          <t>Meja</t>
        </is>
      </c>
      <c r="F631" s="3" t="inlineStr">
        <is>
          <t>Meja</t>
        </is>
      </c>
      <c r="G631" s="3" t="inlineStr">
        <is>
          <t>Kayu</t>
        </is>
      </c>
      <c r="H631" s="3" t="inlineStr">
        <is>
          <t>40 cm x 60 cm</t>
        </is>
      </c>
      <c r="I631" s="3" t="inlineStr">
        <is>
          <t>1 Unit</t>
        </is>
      </c>
      <c r="J631" s="4" t="n"/>
      <c r="K631" s="3" t="n"/>
      <c r="L631" s="5" t="n"/>
      <c r="M631" s="5" t="n"/>
      <c r="N631" s="3" t="inlineStr">
        <is>
          <t>171 - 03 - 01 - 24</t>
        </is>
      </c>
      <c r="O631" s="3" t="n">
        <v>4</v>
      </c>
      <c r="P631" s="5" t="n"/>
      <c r="Q631" s="5" t="n"/>
      <c r="R631" s="3" t="inlineStr">
        <is>
          <t>Baik</t>
        </is>
      </c>
      <c r="S631" s="3" t="inlineStr">
        <is>
          <t>Aktif</t>
        </is>
      </c>
      <c r="T631" s="3" t="n"/>
      <c r="U631" s="3" t="inlineStr">
        <is>
          <t>ASSET TKIA-24 2025(1).xlsx | ASET TKIA (3)</t>
        </is>
      </c>
    </row>
    <row r="632">
      <c r="A632" s="3" t="n">
        <v>629</v>
      </c>
      <c r="B632" s="3" t="inlineStr">
        <is>
          <t>171 - 03 - 01 - 24</t>
        </is>
      </c>
      <c r="C632" s="3" t="inlineStr">
        <is>
          <t>TKIA 24 JATIKRAMAT</t>
        </is>
      </c>
      <c r="D632" s="3" t="inlineStr">
        <is>
          <t>I / 1 / RUANG TUNGGU</t>
        </is>
      </c>
      <c r="E632" s="3" t="inlineStr">
        <is>
          <t>Rak Helmet</t>
        </is>
      </c>
      <c r="F632" s="3" t="inlineStr">
        <is>
          <t>Rak Helmet</t>
        </is>
      </c>
      <c r="G632" s="3" t="inlineStr">
        <is>
          <t>Plastik</t>
        </is>
      </c>
      <c r="H632" s="3" t="inlineStr">
        <is>
          <t>120 cm x 100 cm</t>
        </is>
      </c>
      <c r="I632" s="3" t="inlineStr">
        <is>
          <t>1 Unit</t>
        </is>
      </c>
      <c r="J632" s="4" t="n"/>
      <c r="K632" s="3" t="n"/>
      <c r="L632" s="5" t="n"/>
      <c r="M632" s="5" t="n"/>
      <c r="N632" s="3" t="inlineStr">
        <is>
          <t>171 - 03 - 01 - 24</t>
        </is>
      </c>
      <c r="O632" s="3" t="n">
        <v>4</v>
      </c>
      <c r="P632" s="5" t="n"/>
      <c r="Q632" s="5" t="n"/>
      <c r="R632" s="3" t="inlineStr">
        <is>
          <t>Baik</t>
        </is>
      </c>
      <c r="S632" s="3" t="inlineStr">
        <is>
          <t>Aktif</t>
        </is>
      </c>
      <c r="T632" s="3" t="n"/>
      <c r="U632" s="3" t="inlineStr">
        <is>
          <t>ASSET TKIA-24 2025(1).xlsx | ASET TKIA (3)</t>
        </is>
      </c>
    </row>
    <row r="633">
      <c r="A633" s="3" t="n">
        <v>630</v>
      </c>
      <c r="B633" s="3" t="inlineStr">
        <is>
          <t>171 - 03 - 01 - 24</t>
        </is>
      </c>
      <c r="C633" s="3" t="inlineStr">
        <is>
          <t>TKIA 24 JATIKRAMAT</t>
        </is>
      </c>
      <c r="D633" s="3" t="inlineStr">
        <is>
          <t>I / 1 / RUANG TUNGGU</t>
        </is>
      </c>
      <c r="E633" s="3" t="inlineStr">
        <is>
          <t>Alat Cuci Tangan Berdiri - Biru</t>
        </is>
      </c>
      <c r="F633" s="3" t="inlineStr">
        <is>
          <t>Alat Cuci Tangan Berdiri - Biru</t>
        </is>
      </c>
      <c r="G633" s="3" t="inlineStr">
        <is>
          <t>Besi</t>
        </is>
      </c>
      <c r="H633" s="3" t="inlineStr">
        <is>
          <t>Tinggi 100 cm x 50 cm x 40 cm</t>
        </is>
      </c>
      <c r="I633" s="3" t="inlineStr">
        <is>
          <t>1 Unit</t>
        </is>
      </c>
      <c r="J633" s="4" t="n"/>
      <c r="K633" s="3" t="n"/>
      <c r="L633" s="5" t="n"/>
      <c r="M633" s="5" t="n"/>
      <c r="N633" s="3" t="inlineStr">
        <is>
          <t>171 - 03 - 01 - 24</t>
        </is>
      </c>
      <c r="O633" s="3" t="n">
        <v>4</v>
      </c>
      <c r="P633" s="5" t="n"/>
      <c r="Q633" s="5" t="n"/>
      <c r="R633" s="3" t="n"/>
      <c r="S633" s="3" t="inlineStr">
        <is>
          <t>Aktif</t>
        </is>
      </c>
      <c r="T633" s="3" t="n"/>
      <c r="U633" s="3" t="inlineStr">
        <is>
          <t>ASSET TKIA-24 2025(1).xlsx | ASET TKIA (3)</t>
        </is>
      </c>
    </row>
    <row r="634">
      <c r="A634" s="3" t="n">
        <v>631</v>
      </c>
      <c r="B634" s="3" t="inlineStr">
        <is>
          <t>171 - 03 - 01 - 24</t>
        </is>
      </c>
      <c r="C634" s="3" t="inlineStr">
        <is>
          <t>TKIA 24 JATIKRAMAT</t>
        </is>
      </c>
      <c r="D634" s="3" t="inlineStr">
        <is>
          <t>I / 1 / RUANG TUNGGU</t>
        </is>
      </c>
      <c r="E634" s="3" t="inlineStr">
        <is>
          <t>Mading</t>
        </is>
      </c>
      <c r="F634" s="3" t="inlineStr">
        <is>
          <t>Mading</t>
        </is>
      </c>
      <c r="G634" s="3" t="inlineStr">
        <is>
          <t>Kayu</t>
        </is>
      </c>
      <c r="H634" s="3" t="inlineStr">
        <is>
          <t>100 cm 120 cm</t>
        </is>
      </c>
      <c r="I634" s="3" t="inlineStr">
        <is>
          <t>1 Unit</t>
        </is>
      </c>
      <c r="J634" s="4" t="n"/>
      <c r="K634" s="3" t="n"/>
      <c r="L634" s="5" t="n"/>
      <c r="M634" s="5" t="n"/>
      <c r="N634" s="3" t="inlineStr">
        <is>
          <t>171 - 03 - 01 - 24</t>
        </is>
      </c>
      <c r="O634" s="3" t="n">
        <v>4</v>
      </c>
      <c r="P634" s="5" t="n"/>
      <c r="Q634" s="5" t="n"/>
      <c r="R634" s="3" t="n"/>
      <c r="S634" s="3" t="inlineStr">
        <is>
          <t>Aktif</t>
        </is>
      </c>
      <c r="T634" s="3" t="n"/>
      <c r="U634" s="3" t="inlineStr">
        <is>
          <t>ASSET TKIA-24 2025(1).xlsx | ASET TKIA (3)</t>
        </is>
      </c>
    </row>
    <row r="635">
      <c r="A635" s="3" t="n">
        <v>632</v>
      </c>
      <c r="B635" s="3" t="inlineStr">
        <is>
          <t>171 - 03 - 01 - 24</t>
        </is>
      </c>
      <c r="C635" s="3" t="inlineStr">
        <is>
          <t>TKIA 24 JATIKRAMAT</t>
        </is>
      </c>
      <c r="D635" s="3" t="inlineStr">
        <is>
          <t>I / 1 / RUANG TUNGGU</t>
        </is>
      </c>
      <c r="E635" s="3" t="inlineStr">
        <is>
          <t>Ember</t>
        </is>
      </c>
      <c r="F635" s="3" t="inlineStr">
        <is>
          <t>Ember</t>
        </is>
      </c>
      <c r="G635" s="3" t="inlineStr">
        <is>
          <t>Plastik</t>
        </is>
      </c>
      <c r="H635" s="3" t="inlineStr">
        <is>
          <t>Sedang</t>
        </is>
      </c>
      <c r="I635" s="3" t="inlineStr">
        <is>
          <t>1 Unit</t>
        </is>
      </c>
      <c r="J635" s="4" t="n"/>
      <c r="K635" s="3" t="n"/>
      <c r="L635" s="5" t="n"/>
      <c r="M635" s="5" t="n"/>
      <c r="N635" s="3" t="inlineStr">
        <is>
          <t>171 - 03 - 01 - 24</t>
        </is>
      </c>
      <c r="O635" s="3" t="n">
        <v>4</v>
      </c>
      <c r="P635" s="5" t="n"/>
      <c r="Q635" s="5" t="n"/>
      <c r="R635" s="3" t="n"/>
      <c r="S635" s="3" t="inlineStr">
        <is>
          <t>Aktif</t>
        </is>
      </c>
      <c r="T635" s="3" t="n"/>
      <c r="U635" s="3" t="inlineStr">
        <is>
          <t>ASSET TKIA-24 2025(1).xlsx | ASET TKIA (3)</t>
        </is>
      </c>
    </row>
    <row r="636">
      <c r="A636" s="3" t="n">
        <v>633</v>
      </c>
      <c r="B636" s="3" t="inlineStr">
        <is>
          <t>171 - 03 - 01 - 24</t>
        </is>
      </c>
      <c r="C636" s="3" t="inlineStr">
        <is>
          <t>TKIA 24 JATIKRAMAT</t>
        </is>
      </c>
      <c r="D636" s="3" t="inlineStr">
        <is>
          <t>I / 1 / RUANG TUNGGU</t>
        </is>
      </c>
      <c r="E636" s="3" t="inlineStr">
        <is>
          <t>Bak Sampah</t>
        </is>
      </c>
      <c r="F636" s="3" t="inlineStr">
        <is>
          <t>Bak Sampah</t>
        </is>
      </c>
      <c r="G636" s="3" t="inlineStr">
        <is>
          <t>Plastik</t>
        </is>
      </c>
      <c r="H636" s="3" t="inlineStr">
        <is>
          <t>Kecil</t>
        </is>
      </c>
      <c r="I636" s="3" t="inlineStr">
        <is>
          <t>1 Unit</t>
        </is>
      </c>
      <c r="J636" s="4" t="n"/>
      <c r="K636" s="3" t="n"/>
      <c r="L636" s="5" t="n"/>
      <c r="M636" s="5" t="n"/>
      <c r="N636" s="3" t="inlineStr">
        <is>
          <t>171 - 03 - 01 - 24</t>
        </is>
      </c>
      <c r="O636" s="3" t="n">
        <v>4</v>
      </c>
      <c r="P636" s="5" t="n"/>
      <c r="Q636" s="5" t="n"/>
      <c r="R636" s="3" t="inlineStr">
        <is>
          <t>Baik</t>
        </is>
      </c>
      <c r="S636" s="3" t="inlineStr">
        <is>
          <t>Aktif</t>
        </is>
      </c>
      <c r="T636" s="3" t="n"/>
      <c r="U636" s="3" t="inlineStr">
        <is>
          <t>ASSET TKIA-24 2025(1).xlsx | ASET TKIA (3)</t>
        </is>
      </c>
    </row>
    <row r="637">
      <c r="A637" s="3" t="n">
        <v>634</v>
      </c>
      <c r="B637" s="3" t="inlineStr">
        <is>
          <t>171 - 03 - 01 - 24</t>
        </is>
      </c>
      <c r="C637" s="3" t="inlineStr">
        <is>
          <t>TKIA 24 JATIKRAMAT</t>
        </is>
      </c>
      <c r="D637" s="3" t="inlineStr">
        <is>
          <t>I / 1 / RUANG TUNGGU</t>
        </is>
      </c>
      <c r="E637" s="3" t="inlineStr">
        <is>
          <t>Jam Dinding</t>
        </is>
      </c>
      <c r="F637" s="3" t="inlineStr">
        <is>
          <t>Jam Dinding</t>
        </is>
      </c>
      <c r="G637" s="3" t="inlineStr">
        <is>
          <t>Campur</t>
        </is>
      </c>
      <c r="H637" s="3" t="inlineStr">
        <is>
          <t>Diameter 25 cm</t>
        </is>
      </c>
      <c r="I637" s="3" t="inlineStr">
        <is>
          <t>1 Unit</t>
        </is>
      </c>
      <c r="J637" s="4" t="n"/>
      <c r="K637" s="3" t="n"/>
      <c r="L637" s="5" t="n"/>
      <c r="M637" s="5" t="n"/>
      <c r="N637" s="3" t="inlineStr">
        <is>
          <t>171 - 03 - 01 - 24</t>
        </is>
      </c>
      <c r="O637" s="3" t="n">
        <v>4</v>
      </c>
      <c r="P637" s="5" t="n"/>
      <c r="Q637" s="5" t="n"/>
      <c r="R637" s="3" t="inlineStr">
        <is>
          <t>Baik</t>
        </is>
      </c>
      <c r="S637" s="3" t="inlineStr">
        <is>
          <t>Aktif</t>
        </is>
      </c>
      <c r="T637" s="3" t="n"/>
      <c r="U637" s="3" t="inlineStr">
        <is>
          <t>ASSET TKIA-24 2025(1).xlsx | ASET TKIA (3)</t>
        </is>
      </c>
    </row>
    <row r="638">
      <c r="A638" s="3" t="n">
        <v>635</v>
      </c>
      <c r="B638" s="3" t="inlineStr">
        <is>
          <t>171 - 03 - 01 - 24</t>
        </is>
      </c>
      <c r="C638" s="3" t="inlineStr">
        <is>
          <t>TKIA 24 JATIKRAMAT</t>
        </is>
      </c>
      <c r="D638" s="3" t="inlineStr">
        <is>
          <t>I / 1 / RUANG TUNGGU</t>
        </is>
      </c>
      <c r="E638" s="3" t="inlineStr">
        <is>
          <t>Etalase Piala Besar</t>
        </is>
      </c>
      <c r="F638" s="3" t="inlineStr">
        <is>
          <t>Etalase Piala Besar</t>
        </is>
      </c>
      <c r="G638" s="3" t="inlineStr">
        <is>
          <t>Alumunium</t>
        </is>
      </c>
      <c r="H638" s="3" t="inlineStr">
        <is>
          <t>150 x 60 cm</t>
        </is>
      </c>
      <c r="I638" s="3" t="inlineStr">
        <is>
          <t>1 Unit</t>
        </is>
      </c>
      <c r="J638" s="4" t="n"/>
      <c r="K638" s="3" t="n"/>
      <c r="L638" s="5" t="n"/>
      <c r="M638" s="5" t="n"/>
      <c r="N638" s="3" t="inlineStr">
        <is>
          <t>171 - 03 - 01 - 24</t>
        </is>
      </c>
      <c r="O638" s="3" t="n">
        <v>4</v>
      </c>
      <c r="P638" s="5" t="n"/>
      <c r="Q638" s="5" t="n"/>
      <c r="R638" s="3" t="inlineStr">
        <is>
          <t>Baik</t>
        </is>
      </c>
      <c r="S638" s="3" t="inlineStr">
        <is>
          <t>Aktif</t>
        </is>
      </c>
      <c r="T638" s="3" t="n"/>
      <c r="U638" s="3" t="inlineStr">
        <is>
          <t>ASSET TKIA-24 2025(1).xlsx | ASET TKIA (3)</t>
        </is>
      </c>
    </row>
    <row r="639">
      <c r="A639" s="3" t="n">
        <v>636</v>
      </c>
      <c r="B639" s="3" t="inlineStr">
        <is>
          <t>171 - 03 - 01 - 24</t>
        </is>
      </c>
      <c r="C639" s="3" t="inlineStr">
        <is>
          <t>TKIA 24 JATIKRAMAT</t>
        </is>
      </c>
      <c r="D639" s="3" t="inlineStr">
        <is>
          <t>I / 1 / RUANG TUNGGU</t>
        </is>
      </c>
      <c r="E639" s="3" t="inlineStr">
        <is>
          <t>Kursi Tunggu 3 Baris</t>
        </is>
      </c>
      <c r="F639" s="3" t="inlineStr">
        <is>
          <t>Kursi Tunggu 3 Baris</t>
        </is>
      </c>
      <c r="G639" s="3" t="inlineStr">
        <is>
          <t>Besi</t>
        </is>
      </c>
      <c r="H639" s="3" t="inlineStr">
        <is>
          <t>3 Baris</t>
        </is>
      </c>
      <c r="I639" s="3" t="inlineStr">
        <is>
          <t>2 Unit</t>
        </is>
      </c>
      <c r="J639" s="4" t="n"/>
      <c r="K639" s="3" t="n"/>
      <c r="L639" s="5" t="n"/>
      <c r="M639" s="5" t="n"/>
      <c r="N639" s="3" t="inlineStr">
        <is>
          <t>171 - 03 - 01 - 24</t>
        </is>
      </c>
      <c r="O639" s="3" t="n">
        <v>4</v>
      </c>
      <c r="P639" s="5" t="n"/>
      <c r="Q639" s="5" t="n"/>
      <c r="R639" s="3" t="inlineStr">
        <is>
          <t>Baik</t>
        </is>
      </c>
      <c r="S639" s="3" t="inlineStr">
        <is>
          <t>Aktif</t>
        </is>
      </c>
      <c r="T639" s="3" t="n"/>
      <c r="U639" s="3" t="inlineStr">
        <is>
          <t>ASSET TKIA-24 2025(1).xlsx | ASET TKIA (3)</t>
        </is>
      </c>
    </row>
    <row r="640">
      <c r="A640" s="3" t="n">
        <v>637</v>
      </c>
      <c r="B640" s="3" t="inlineStr">
        <is>
          <t>171 - 03 - 01 - 24</t>
        </is>
      </c>
      <c r="C640" s="3" t="inlineStr">
        <is>
          <t>TKIA 24 JATIKRAMAT</t>
        </is>
      </c>
      <c r="D640" s="3" t="inlineStr">
        <is>
          <t>I / 3 / TATA USAHA (TU)</t>
        </is>
      </c>
      <c r="E640" s="3" t="inlineStr">
        <is>
          <t>Kursi Kantor</t>
        </is>
      </c>
      <c r="F640" s="3" t="inlineStr">
        <is>
          <t>Kursi Kantor</t>
        </is>
      </c>
      <c r="G640" s="3" t="inlineStr">
        <is>
          <t>Besi</t>
        </is>
      </c>
      <c r="H640" s="3" t="inlineStr">
        <is>
          <t>44 cm x 50 cm x 50 cm</t>
        </is>
      </c>
      <c r="I640" s="3" t="inlineStr">
        <is>
          <t>2 Unit</t>
        </is>
      </c>
      <c r="J640" s="4" t="n"/>
      <c r="K640" s="3" t="n"/>
      <c r="L640" s="5" t="n"/>
      <c r="M640" s="5" t="n"/>
      <c r="N640" s="3" t="inlineStr">
        <is>
          <t>171 - 03 - 01 - 24</t>
        </is>
      </c>
      <c r="O640" s="3" t="n">
        <v>4</v>
      </c>
      <c r="P640" s="5" t="n"/>
      <c r="Q640" s="5" t="n"/>
      <c r="R640" s="3" t="inlineStr">
        <is>
          <t>Baik</t>
        </is>
      </c>
      <c r="S640" s="3" t="inlineStr">
        <is>
          <t>Aktif</t>
        </is>
      </c>
      <c r="T640" s="3" t="n"/>
      <c r="U640" s="3" t="inlineStr">
        <is>
          <t>ASSET TKIA-24 2025(1).xlsx | ASET TKIA (3)</t>
        </is>
      </c>
    </row>
    <row r="641">
      <c r="A641" s="3" t="n">
        <v>638</v>
      </c>
      <c r="B641" s="3" t="inlineStr">
        <is>
          <t>171 - 03 - 01 - 24</t>
        </is>
      </c>
      <c r="C641" s="3" t="inlineStr">
        <is>
          <t>TKIA 24 JATIKRAMAT</t>
        </is>
      </c>
      <c r="D641" s="3" t="inlineStr">
        <is>
          <t>I / 3 / TATA USAHA (TU)</t>
        </is>
      </c>
      <c r="E641" s="3" t="inlineStr">
        <is>
          <t>Kursi Putar</t>
        </is>
      </c>
      <c r="F641" s="3" t="inlineStr">
        <is>
          <t>Kursi Putar</t>
        </is>
      </c>
      <c r="G641" s="3" t="inlineStr">
        <is>
          <t>Besi</t>
        </is>
      </c>
      <c r="H641" s="3" t="inlineStr">
        <is>
          <t>44 cm x 50 cm 40 cm</t>
        </is>
      </c>
      <c r="I641" s="3" t="inlineStr">
        <is>
          <t>1 Unit</t>
        </is>
      </c>
      <c r="J641" s="4" t="n"/>
      <c r="K641" s="3" t="n"/>
      <c r="L641" s="5" t="n"/>
      <c r="M641" s="5" t="n"/>
      <c r="N641" s="3" t="inlineStr">
        <is>
          <t>171 - 03 - 01 - 24</t>
        </is>
      </c>
      <c r="O641" s="3" t="n">
        <v>4</v>
      </c>
      <c r="P641" s="5" t="n"/>
      <c r="Q641" s="5" t="n"/>
      <c r="R641" s="3" t="inlineStr">
        <is>
          <t>Baik</t>
        </is>
      </c>
      <c r="S641" s="3" t="inlineStr">
        <is>
          <t>Aktif</t>
        </is>
      </c>
      <c r="T641" s="3" t="n"/>
      <c r="U641" s="3" t="inlineStr">
        <is>
          <t>ASSET TKIA-24 2025(1).xlsx | ASET TKIA (3)</t>
        </is>
      </c>
    </row>
    <row r="642">
      <c r="A642" s="3" t="n">
        <v>639</v>
      </c>
      <c r="B642" s="3" t="inlineStr">
        <is>
          <t>171 - 03 - 01 - 24</t>
        </is>
      </c>
      <c r="C642" s="3" t="inlineStr">
        <is>
          <t>TKIA 24 JATIKRAMAT</t>
        </is>
      </c>
      <c r="D642" s="3" t="inlineStr">
        <is>
          <t>I / 3 / TATA USAHA (TU)</t>
        </is>
      </c>
      <c r="E642" s="3" t="inlineStr">
        <is>
          <t>Leptop</t>
        </is>
      </c>
      <c r="F642" s="3" t="inlineStr">
        <is>
          <t>Leptop</t>
        </is>
      </c>
      <c r="G642" s="3" t="inlineStr">
        <is>
          <t>Mika</t>
        </is>
      </c>
      <c r="H642" s="3" t="n"/>
      <c r="I642" s="3" t="inlineStr">
        <is>
          <t>1 Unit</t>
        </is>
      </c>
      <c r="J642" s="4" t="n"/>
      <c r="K642" s="3" t="n"/>
      <c r="L642" s="5" t="n"/>
      <c r="M642" s="5" t="n"/>
      <c r="N642" s="3" t="inlineStr">
        <is>
          <t>171 - 03 - 01 - 24</t>
        </is>
      </c>
      <c r="O642" s="3" t="n">
        <v>4</v>
      </c>
      <c r="P642" s="5" t="n"/>
      <c r="Q642" s="5" t="n"/>
      <c r="R642" s="3" t="inlineStr">
        <is>
          <t>Baik</t>
        </is>
      </c>
      <c r="S642" s="3" t="inlineStr">
        <is>
          <t>Aktif</t>
        </is>
      </c>
      <c r="T642" s="3" t="n"/>
      <c r="U642" s="3" t="inlineStr">
        <is>
          <t>ASSET TKIA-24 2025(1).xlsx | ASET TKIA (3)</t>
        </is>
      </c>
    </row>
    <row r="643">
      <c r="A643" s="3" t="n">
        <v>640</v>
      </c>
      <c r="B643" s="3" t="inlineStr">
        <is>
          <t>171 - 03 - 01 - 24</t>
        </is>
      </c>
      <c r="C643" s="3" t="inlineStr">
        <is>
          <t>TKIA 24 JATIKRAMAT</t>
        </is>
      </c>
      <c r="D643" s="3" t="inlineStr">
        <is>
          <t>I / 3 / TATA USAHA (TU)</t>
        </is>
      </c>
      <c r="E643" s="3" t="inlineStr">
        <is>
          <t>Lemari File Kaca</t>
        </is>
      </c>
      <c r="F643" s="3" t="inlineStr">
        <is>
          <t>Lemari File Kaca</t>
        </is>
      </c>
      <c r="G643" s="3" t="inlineStr">
        <is>
          <t>Kayu</t>
        </is>
      </c>
      <c r="H643" s="3" t="inlineStr">
        <is>
          <t>263 cm x 185 cm</t>
        </is>
      </c>
      <c r="I643" s="3" t="inlineStr">
        <is>
          <t>1 Unit</t>
        </is>
      </c>
      <c r="J643" s="4" t="n"/>
      <c r="K643" s="3" t="n"/>
      <c r="L643" s="5" t="n"/>
      <c r="M643" s="5" t="n"/>
      <c r="N643" s="3" t="inlineStr">
        <is>
          <t>171 - 03 - 01 - 24</t>
        </is>
      </c>
      <c r="O643" s="3" t="n">
        <v>4</v>
      </c>
      <c r="P643" s="5" t="n"/>
      <c r="Q643" s="5" t="n"/>
      <c r="R643" s="3" t="inlineStr">
        <is>
          <t>Baik</t>
        </is>
      </c>
      <c r="S643" s="3" t="inlineStr">
        <is>
          <t>Aktif</t>
        </is>
      </c>
      <c r="T643" s="3" t="n"/>
      <c r="U643" s="3" t="inlineStr">
        <is>
          <t>ASSET TKIA-24 2025(1).xlsx | ASET TKIA (3)</t>
        </is>
      </c>
    </row>
    <row r="644">
      <c r="A644" s="3" t="n">
        <v>641</v>
      </c>
      <c r="B644" s="3" t="inlineStr">
        <is>
          <t>171 - 03 - 01 - 24</t>
        </is>
      </c>
      <c r="C644" s="3" t="inlineStr">
        <is>
          <t>TKIA 24 JATIKRAMAT</t>
        </is>
      </c>
      <c r="D644" s="3" t="inlineStr">
        <is>
          <t>I / 4 / DAPUR</t>
        </is>
      </c>
      <c r="E644" s="3" t="inlineStr">
        <is>
          <t>Kompor Gas</t>
        </is>
      </c>
      <c r="F644" s="3" t="inlineStr">
        <is>
          <t>Kompor Gas</t>
        </is>
      </c>
      <c r="G644" s="3" t="inlineStr">
        <is>
          <t>Besi</t>
        </is>
      </c>
      <c r="H644" s="3" t="n"/>
      <c r="I644" s="3" t="inlineStr">
        <is>
          <t>2 Unit</t>
        </is>
      </c>
      <c r="J644" s="4" t="n"/>
      <c r="K644" s="3" t="n"/>
      <c r="L644" s="5" t="n"/>
      <c r="M644" s="5" t="n"/>
      <c r="N644" s="3" t="inlineStr">
        <is>
          <t>171 - 03 - 01 - 24</t>
        </is>
      </c>
      <c r="O644" s="3" t="n">
        <v>4</v>
      </c>
      <c r="P644" s="5" t="n"/>
      <c r="Q644" s="5" t="n"/>
      <c r="R644" s="3" t="n"/>
      <c r="S644" s="3" t="inlineStr">
        <is>
          <t>Aktif</t>
        </is>
      </c>
      <c r="T644" s="3" t="n"/>
      <c r="U644" s="3" t="inlineStr">
        <is>
          <t>ASSET TKIA-24 2025(1).xlsx | ASET TKIA (3)</t>
        </is>
      </c>
    </row>
    <row r="645">
      <c r="A645" s="3" t="n">
        <v>642</v>
      </c>
      <c r="B645" s="3" t="inlineStr">
        <is>
          <t>171 - 03 - 01 - 24</t>
        </is>
      </c>
      <c r="C645" s="3" t="inlineStr">
        <is>
          <t>TKIA 24 JATIKRAMAT</t>
        </is>
      </c>
      <c r="D645" s="3" t="inlineStr">
        <is>
          <t>I / 4 / DAPUR</t>
        </is>
      </c>
      <c r="E645" s="3" t="inlineStr">
        <is>
          <t>Tabung Gas</t>
        </is>
      </c>
      <c r="F645" s="3" t="inlineStr">
        <is>
          <t>Tabung Gas</t>
        </is>
      </c>
      <c r="G645" s="3" t="inlineStr">
        <is>
          <t>Besi</t>
        </is>
      </c>
      <c r="H645" s="3" t="inlineStr">
        <is>
          <t>12 Kg</t>
        </is>
      </c>
      <c r="I645" s="3" t="inlineStr">
        <is>
          <t>1 Unit</t>
        </is>
      </c>
      <c r="J645" s="4" t="n"/>
      <c r="K645" s="3" t="n"/>
      <c r="L645" s="5" t="n"/>
      <c r="M645" s="5" t="n"/>
      <c r="N645" s="3" t="inlineStr">
        <is>
          <t>171 - 03 - 01 - 24</t>
        </is>
      </c>
      <c r="O645" s="3" t="n">
        <v>4</v>
      </c>
      <c r="P645" s="5" t="n"/>
      <c r="Q645" s="5" t="n"/>
      <c r="R645" s="3" t="inlineStr">
        <is>
          <t>Baik</t>
        </is>
      </c>
      <c r="S645" s="3" t="inlineStr">
        <is>
          <t>Aktif</t>
        </is>
      </c>
      <c r="T645" s="3" t="n"/>
      <c r="U645" s="3" t="inlineStr">
        <is>
          <t>ASSET TKIA-24 2025(1).xlsx | ASET TKIA (3)</t>
        </is>
      </c>
    </row>
    <row r="646">
      <c r="A646" s="3" t="n">
        <v>643</v>
      </c>
      <c r="B646" s="3" t="inlineStr">
        <is>
          <t>171 - 03 - 01 - 24</t>
        </is>
      </c>
      <c r="C646" s="3" t="inlineStr">
        <is>
          <t>TKIA 24 JATIKRAMAT</t>
        </is>
      </c>
      <c r="D646" s="3" t="inlineStr">
        <is>
          <t>I / 4 / DAPUR</t>
        </is>
      </c>
      <c r="E646" s="3" t="inlineStr">
        <is>
          <t>Rak Piring</t>
        </is>
      </c>
      <c r="F646" s="3" t="inlineStr">
        <is>
          <t>Rak Piring</t>
        </is>
      </c>
      <c r="G646" s="3" t="inlineStr">
        <is>
          <t>Kaca</t>
        </is>
      </c>
      <c r="H646" s="3" t="n"/>
      <c r="I646" s="3" t="inlineStr">
        <is>
          <t>1 Unit</t>
        </is>
      </c>
      <c r="J646" s="4" t="n"/>
      <c r="K646" s="3" t="n"/>
      <c r="L646" s="5" t="n"/>
      <c r="M646" s="5" t="n"/>
      <c r="N646" s="3" t="inlineStr">
        <is>
          <t>171 - 03 - 01 - 24</t>
        </is>
      </c>
      <c r="O646" s="3" t="n">
        <v>4</v>
      </c>
      <c r="P646" s="5" t="n"/>
      <c r="Q646" s="5" t="n"/>
      <c r="R646" s="3" t="inlineStr">
        <is>
          <t>Baik</t>
        </is>
      </c>
      <c r="S646" s="3" t="inlineStr">
        <is>
          <t>Aktif</t>
        </is>
      </c>
      <c r="T646" s="3" t="n"/>
      <c r="U646" s="3" t="inlineStr">
        <is>
          <t>ASSET TKIA-24 2025(1).xlsx | ASET TKIA (3)</t>
        </is>
      </c>
    </row>
    <row r="647">
      <c r="A647" s="3" t="n">
        <v>644</v>
      </c>
      <c r="B647" s="3" t="inlineStr">
        <is>
          <t>171 - 03 - 01 - 24</t>
        </is>
      </c>
      <c r="C647" s="3" t="inlineStr">
        <is>
          <t>TKIA 24 JATIKRAMAT</t>
        </is>
      </c>
      <c r="D647" s="3" t="inlineStr">
        <is>
          <t>I / 4 / DAPUR</t>
        </is>
      </c>
      <c r="E647" s="3" t="inlineStr">
        <is>
          <t>Sendok Sayur</t>
        </is>
      </c>
      <c r="F647" s="3" t="inlineStr">
        <is>
          <t>Sendok Sayur</t>
        </is>
      </c>
      <c r="G647" s="3" t="inlineStr">
        <is>
          <t>Besi</t>
        </is>
      </c>
      <c r="H647" s="3" t="n"/>
      <c r="I647" s="3" t="inlineStr">
        <is>
          <t>1 Unit</t>
        </is>
      </c>
      <c r="J647" s="4" t="n"/>
      <c r="K647" s="3" t="n"/>
      <c r="L647" s="5" t="n"/>
      <c r="M647" s="5" t="n"/>
      <c r="N647" s="3" t="inlineStr">
        <is>
          <t>171 - 03 - 01 - 24</t>
        </is>
      </c>
      <c r="O647" s="3" t="n">
        <v>4</v>
      </c>
      <c r="P647" s="5" t="n"/>
      <c r="Q647" s="5" t="n"/>
      <c r="R647" s="3" t="inlineStr">
        <is>
          <t>Baik</t>
        </is>
      </c>
      <c r="S647" s="3" t="inlineStr">
        <is>
          <t>Aktif</t>
        </is>
      </c>
      <c r="T647" s="3" t="n"/>
      <c r="U647" s="3" t="inlineStr">
        <is>
          <t>ASSET TKIA-24 2025(1).xlsx | ASET TKIA (3)</t>
        </is>
      </c>
    </row>
    <row r="648">
      <c r="A648" s="3" t="n">
        <v>645</v>
      </c>
      <c r="B648" s="3" t="inlineStr">
        <is>
          <t>171 - 03 - 01 - 24</t>
        </is>
      </c>
      <c r="C648" s="3" t="inlineStr">
        <is>
          <t>TKIA 24 JATIKRAMAT</t>
        </is>
      </c>
      <c r="D648" s="3" t="inlineStr">
        <is>
          <t>I / 4 / DAPUR</t>
        </is>
      </c>
      <c r="E648" s="3" t="inlineStr">
        <is>
          <t>Sendok Makan</t>
        </is>
      </c>
      <c r="F648" s="3" t="inlineStr">
        <is>
          <t>Sendok Makan</t>
        </is>
      </c>
      <c r="G648" s="3" t="inlineStr">
        <is>
          <t>Besi</t>
        </is>
      </c>
      <c r="H648" s="3" t="n"/>
      <c r="I648" s="3" t="inlineStr">
        <is>
          <t>1 Unit</t>
        </is>
      </c>
      <c r="J648" s="4" t="n"/>
      <c r="K648" s="3" t="n"/>
      <c r="L648" s="5" t="n"/>
      <c r="M648" s="5" t="n"/>
      <c r="N648" s="3" t="inlineStr">
        <is>
          <t>171 - 03 - 01 - 24</t>
        </is>
      </c>
      <c r="O648" s="3" t="n">
        <v>4</v>
      </c>
      <c r="P648" s="5" t="n"/>
      <c r="Q648" s="5" t="n"/>
      <c r="R648" s="3" t="inlineStr">
        <is>
          <t>Baik</t>
        </is>
      </c>
      <c r="S648" s="3" t="inlineStr">
        <is>
          <t>Aktif</t>
        </is>
      </c>
      <c r="T648" s="3" t="n"/>
      <c r="U648" s="3" t="inlineStr">
        <is>
          <t>ASSET TKIA-24 2025(1).xlsx | ASET TKIA (3)</t>
        </is>
      </c>
    </row>
    <row r="649">
      <c r="A649" s="3" t="n">
        <v>646</v>
      </c>
      <c r="B649" s="3" t="inlineStr">
        <is>
          <t>171 - 03 - 01 - 24</t>
        </is>
      </c>
      <c r="C649" s="3" t="inlineStr">
        <is>
          <t>TKIA 24 JATIKRAMAT</t>
        </is>
      </c>
      <c r="D649" s="3" t="inlineStr">
        <is>
          <t>I / 4 / DAPUR</t>
        </is>
      </c>
      <c r="E649" s="3" t="inlineStr">
        <is>
          <t>Gelas</t>
        </is>
      </c>
      <c r="F649" s="3" t="inlineStr">
        <is>
          <t>Gelas</t>
        </is>
      </c>
      <c r="G649" s="3" t="inlineStr">
        <is>
          <t>Kaca</t>
        </is>
      </c>
      <c r="H649" s="3" t="n"/>
      <c r="I649" s="3" t="inlineStr">
        <is>
          <t>1 Unit</t>
        </is>
      </c>
      <c r="J649" s="4" t="n"/>
      <c r="K649" s="3" t="n"/>
      <c r="L649" s="5" t="n"/>
      <c r="M649" s="5" t="n"/>
      <c r="N649" s="3" t="inlineStr">
        <is>
          <t>171 - 03 - 01 - 24</t>
        </is>
      </c>
      <c r="O649" s="3" t="n">
        <v>4</v>
      </c>
      <c r="P649" s="5" t="n"/>
      <c r="Q649" s="5" t="n"/>
      <c r="R649" s="3" t="inlineStr">
        <is>
          <t>Baik</t>
        </is>
      </c>
      <c r="S649" s="3" t="inlineStr">
        <is>
          <t>Aktif</t>
        </is>
      </c>
      <c r="T649" s="3" t="n"/>
      <c r="U649" s="3" t="inlineStr">
        <is>
          <t>ASSET TKIA-24 2025(1).xlsx | ASET TKIA (3)</t>
        </is>
      </c>
    </row>
    <row r="650">
      <c r="A650" s="3" t="n">
        <v>647</v>
      </c>
      <c r="B650" s="3" t="inlineStr">
        <is>
          <t>171 - 03 - 01 - 24</t>
        </is>
      </c>
      <c r="C650" s="3" t="inlineStr">
        <is>
          <t>TKIA 24 JATIKRAMAT</t>
        </is>
      </c>
      <c r="D650" s="3" t="inlineStr">
        <is>
          <t>I / 4 / DAPUR</t>
        </is>
      </c>
      <c r="E650" s="3" t="inlineStr">
        <is>
          <t>Kuali</t>
        </is>
      </c>
      <c r="F650" s="3" t="inlineStr">
        <is>
          <t>Kuali</t>
        </is>
      </c>
      <c r="G650" s="3" t="inlineStr">
        <is>
          <t>Besi</t>
        </is>
      </c>
      <c r="H650" s="3" t="n"/>
      <c r="I650" s="3" t="inlineStr">
        <is>
          <t>1 Unit</t>
        </is>
      </c>
      <c r="J650" s="4" t="n"/>
      <c r="K650" s="3" t="n"/>
      <c r="L650" s="5" t="n"/>
      <c r="M650" s="5" t="n"/>
      <c r="N650" s="3" t="inlineStr">
        <is>
          <t>171 - 03 - 01 - 24</t>
        </is>
      </c>
      <c r="O650" s="3" t="n">
        <v>4</v>
      </c>
      <c r="P650" s="5" t="n"/>
      <c r="Q650" s="5" t="n"/>
      <c r="R650" s="3" t="inlineStr">
        <is>
          <t>Baik</t>
        </is>
      </c>
      <c r="S650" s="3" t="inlineStr">
        <is>
          <t>Aktif</t>
        </is>
      </c>
      <c r="T650" s="3" t="n"/>
      <c r="U650" s="3" t="inlineStr">
        <is>
          <t>ASSET TKIA-24 2025(1).xlsx | ASET TKIA (3)</t>
        </is>
      </c>
    </row>
    <row r="651">
      <c r="A651" s="3" t="n">
        <v>648</v>
      </c>
      <c r="B651" s="3" t="inlineStr">
        <is>
          <t>171 - 03 - 01 - 24</t>
        </is>
      </c>
      <c r="C651" s="3" t="inlineStr">
        <is>
          <t>TKIA 24 JATIKRAMAT</t>
        </is>
      </c>
      <c r="D651" s="3" t="inlineStr">
        <is>
          <t>I / 4 / DAPUR</t>
        </is>
      </c>
      <c r="E651" s="3" t="inlineStr">
        <is>
          <t>Kompor Gas Rinnai</t>
        </is>
      </c>
      <c r="F651" s="3" t="inlineStr">
        <is>
          <t>Kompor Gas Rinnai</t>
        </is>
      </c>
      <c r="G651" s="3" t="inlineStr">
        <is>
          <t>Mika</t>
        </is>
      </c>
      <c r="H651" s="3" t="inlineStr">
        <is>
          <t>2 Tungku</t>
        </is>
      </c>
      <c r="I651" s="3" t="inlineStr">
        <is>
          <t>1 Unit</t>
        </is>
      </c>
      <c r="J651" s="4" t="n"/>
      <c r="K651" s="3" t="n"/>
      <c r="L651" s="5" t="n"/>
      <c r="M651" s="5" t="n"/>
      <c r="N651" s="3" t="inlineStr">
        <is>
          <t>171 - 03 - 01 - 24</t>
        </is>
      </c>
      <c r="O651" s="3" t="n">
        <v>4</v>
      </c>
      <c r="P651" s="5" t="n"/>
      <c r="Q651" s="5" t="n"/>
      <c r="R651" s="3" t="inlineStr">
        <is>
          <t>Baik</t>
        </is>
      </c>
      <c r="S651" s="3" t="inlineStr">
        <is>
          <t>Aktif</t>
        </is>
      </c>
      <c r="T651" s="3" t="n"/>
      <c r="U651" s="3" t="inlineStr">
        <is>
          <t>ASSET TKIA-24 2025(1).xlsx | ASET TKIA (3)</t>
        </is>
      </c>
    </row>
    <row r="652">
      <c r="A652" s="3" t="n">
        <v>649</v>
      </c>
      <c r="B652" s="3" t="inlineStr">
        <is>
          <t>171 - 03 - 01 - 24</t>
        </is>
      </c>
      <c r="C652" s="3" t="inlineStr">
        <is>
          <t>TKIA 24 JATIKRAMAT</t>
        </is>
      </c>
      <c r="D652" s="3" t="inlineStr">
        <is>
          <t>I / 4 / DAPUR</t>
        </is>
      </c>
      <c r="E652" s="3" t="inlineStr">
        <is>
          <t>Rak Bumbu</t>
        </is>
      </c>
      <c r="F652" s="3" t="inlineStr">
        <is>
          <t>Rak Bumbu</t>
        </is>
      </c>
      <c r="G652" s="3" t="inlineStr">
        <is>
          <t>Plastik</t>
        </is>
      </c>
      <c r="H652" s="3" t="n"/>
      <c r="I652" s="3" t="inlineStr">
        <is>
          <t>1 Unit</t>
        </is>
      </c>
      <c r="J652" s="4" t="n"/>
      <c r="K652" s="3" t="n"/>
      <c r="L652" s="5" t="n"/>
      <c r="M652" s="5" t="n"/>
      <c r="N652" s="3" t="inlineStr">
        <is>
          <t>171 - 03 - 01 - 24</t>
        </is>
      </c>
      <c r="O652" s="3" t="n">
        <v>4</v>
      </c>
      <c r="P652" s="5" t="n"/>
      <c r="Q652" s="5" t="n"/>
      <c r="R652" s="3" t="inlineStr">
        <is>
          <t>Baik</t>
        </is>
      </c>
      <c r="S652" s="3" t="inlineStr">
        <is>
          <t>Aktif</t>
        </is>
      </c>
      <c r="T652" s="3" t="n"/>
      <c r="U652" s="3" t="inlineStr">
        <is>
          <t>ASSET TKIA-24 2025(1).xlsx | ASET TKIA (3)</t>
        </is>
      </c>
    </row>
    <row r="653">
      <c r="A653" s="3" t="n">
        <v>650</v>
      </c>
      <c r="B653" s="3" t="inlineStr">
        <is>
          <t>171 - 03 - 01 - 24</t>
        </is>
      </c>
      <c r="C653" s="3" t="inlineStr">
        <is>
          <t>TKIA 24 JATIKRAMAT</t>
        </is>
      </c>
      <c r="D653" s="3" t="inlineStr">
        <is>
          <t>I / 5 / PSB</t>
        </is>
      </c>
      <c r="E653" s="3" t="inlineStr">
        <is>
          <t>Infokus</t>
        </is>
      </c>
      <c r="F653" s="3" t="inlineStr">
        <is>
          <t>Infokus</t>
        </is>
      </c>
      <c r="G653" s="3" t="inlineStr">
        <is>
          <t>Campur</t>
        </is>
      </c>
      <c r="H653" s="3" t="n"/>
      <c r="I653" s="3" t="inlineStr">
        <is>
          <t>1 Unit</t>
        </is>
      </c>
      <c r="J653" s="4" t="n"/>
      <c r="K653" s="3" t="n"/>
      <c r="L653" s="5" t="n"/>
      <c r="M653" s="5" t="n"/>
      <c r="N653" s="3" t="inlineStr">
        <is>
          <t>171 - 03 - 01 - 24</t>
        </is>
      </c>
      <c r="O653" s="3" t="n">
        <v>4</v>
      </c>
      <c r="P653" s="5" t="n"/>
      <c r="Q653" s="5" t="n"/>
      <c r="R653" s="3" t="inlineStr">
        <is>
          <t>Baik</t>
        </is>
      </c>
      <c r="S653" s="3" t="inlineStr">
        <is>
          <t>Aktif</t>
        </is>
      </c>
      <c r="T653" s="3" t="n"/>
      <c r="U653" s="3" t="inlineStr">
        <is>
          <t>ASSET TKIA-24 2025(1).xlsx | ASET TKIA (3)</t>
        </is>
      </c>
    </row>
    <row r="654">
      <c r="A654" s="3" t="n">
        <v>651</v>
      </c>
      <c r="B654" s="3" t="inlineStr">
        <is>
          <t>171 - 03 - 01 - 24</t>
        </is>
      </c>
      <c r="C654" s="3" t="inlineStr">
        <is>
          <t>TKIA 24 JATIKRAMAT</t>
        </is>
      </c>
      <c r="D654" s="3" t="inlineStr">
        <is>
          <t>I / 5 / PSB</t>
        </is>
      </c>
      <c r="E654" s="3" t="inlineStr">
        <is>
          <t>Lemari 4 Pintu</t>
        </is>
      </c>
      <c r="F654" s="3" t="inlineStr">
        <is>
          <t>Lemari 4 Pintu</t>
        </is>
      </c>
      <c r="G654" s="3" t="inlineStr">
        <is>
          <t>Kayu</t>
        </is>
      </c>
      <c r="H654" s="3" t="inlineStr">
        <is>
          <t>200 cm x 100 cm</t>
        </is>
      </c>
      <c r="I654" s="3" t="inlineStr">
        <is>
          <t>1 Unit</t>
        </is>
      </c>
      <c r="J654" s="4" t="n"/>
      <c r="K654" s="3" t="n"/>
      <c r="L654" s="5" t="n"/>
      <c r="M654" s="5" t="n"/>
      <c r="N654" s="3" t="inlineStr">
        <is>
          <t>171 - 03 - 01 - 24</t>
        </is>
      </c>
      <c r="O654" s="3" t="n">
        <v>4</v>
      </c>
      <c r="P654" s="5" t="n"/>
      <c r="Q654" s="5" t="n"/>
      <c r="R654" s="3" t="inlineStr">
        <is>
          <t>Baik</t>
        </is>
      </c>
      <c r="S654" s="3" t="inlineStr">
        <is>
          <t>Aktif</t>
        </is>
      </c>
      <c r="T654" s="3" t="n"/>
      <c r="U654" s="3" t="inlineStr">
        <is>
          <t>ASSET TKIA-24 2025(1).xlsx | ASET TKIA (3)</t>
        </is>
      </c>
    </row>
    <row r="655">
      <c r="A655" s="3" t="n">
        <v>652</v>
      </c>
      <c r="B655" s="3" t="inlineStr">
        <is>
          <t>171 - 03 - 01 - 24</t>
        </is>
      </c>
      <c r="C655" s="3" t="inlineStr">
        <is>
          <t>TKIA 24 JATIKRAMAT</t>
        </is>
      </c>
      <c r="D655" s="3" t="inlineStr">
        <is>
          <t>I / 5 / PSB</t>
        </is>
      </c>
      <c r="E655" s="3" t="inlineStr">
        <is>
          <t>Bufet Kayu</t>
        </is>
      </c>
      <c r="F655" s="3" t="inlineStr">
        <is>
          <t>Bufet Kayu</t>
        </is>
      </c>
      <c r="G655" s="3" t="inlineStr">
        <is>
          <t>Kayu</t>
        </is>
      </c>
      <c r="H655" s="3" t="n"/>
      <c r="I655" s="3" t="inlineStr">
        <is>
          <t>1 Unit</t>
        </is>
      </c>
      <c r="J655" s="4" t="n"/>
      <c r="K655" s="3" t="n"/>
      <c r="L655" s="5" t="n"/>
      <c r="M655" s="5" t="n"/>
      <c r="N655" s="3" t="inlineStr">
        <is>
          <t>171 - 03 - 01 - 24</t>
        </is>
      </c>
      <c r="O655" s="3" t="n">
        <v>4</v>
      </c>
      <c r="P655" s="5" t="n"/>
      <c r="Q655" s="5" t="n"/>
      <c r="R655" s="3" t="inlineStr">
        <is>
          <t>Baik</t>
        </is>
      </c>
      <c r="S655" s="3" t="inlineStr">
        <is>
          <t>Aktif</t>
        </is>
      </c>
      <c r="T655" s="3" t="n"/>
      <c r="U655" s="3" t="inlineStr">
        <is>
          <t>ASSET TKIA-24 2025(1).xlsx | ASET TKIA (3)</t>
        </is>
      </c>
    </row>
    <row r="656">
      <c r="A656" s="3" t="n">
        <v>653</v>
      </c>
      <c r="B656" s="3" t="inlineStr">
        <is>
          <t>171 - 03 - 01 - 24</t>
        </is>
      </c>
      <c r="C656" s="3" t="inlineStr">
        <is>
          <t>TKIA 24 JATIKRAMAT</t>
        </is>
      </c>
      <c r="D656" s="3" t="inlineStr">
        <is>
          <t>I / 5 / PSB</t>
        </is>
      </c>
      <c r="E656" s="3" t="inlineStr">
        <is>
          <t>Kontener Plastik</t>
        </is>
      </c>
      <c r="F656" s="3" t="inlineStr">
        <is>
          <t>Kontener Plastik</t>
        </is>
      </c>
      <c r="G656" s="3" t="inlineStr">
        <is>
          <t>Plastik</t>
        </is>
      </c>
      <c r="H656" s="3" t="inlineStr">
        <is>
          <t>80 cm x 50 cm</t>
        </is>
      </c>
      <c r="I656" s="3" t="inlineStr">
        <is>
          <t>1 Unit</t>
        </is>
      </c>
      <c r="J656" s="4" t="n"/>
      <c r="K656" s="3" t="n"/>
      <c r="L656" s="5" t="n"/>
      <c r="M656" s="5" t="n"/>
      <c r="N656" s="3" t="inlineStr">
        <is>
          <t>171 - 03 - 01 - 24</t>
        </is>
      </c>
      <c r="O656" s="3" t="n">
        <v>4</v>
      </c>
      <c r="P656" s="5" t="n"/>
      <c r="Q656" s="5" t="n"/>
      <c r="R656" s="3" t="inlineStr">
        <is>
          <t>Baik</t>
        </is>
      </c>
      <c r="S656" s="3" t="inlineStr">
        <is>
          <t>Aktif</t>
        </is>
      </c>
      <c r="T656" s="3" t="n"/>
      <c r="U656" s="3" t="inlineStr">
        <is>
          <t>ASSET TKIA-24 2025(1).xlsx | ASET TKIA (3)</t>
        </is>
      </c>
    </row>
    <row r="657">
      <c r="A657" s="3" t="n">
        <v>654</v>
      </c>
      <c r="B657" s="3" t="inlineStr">
        <is>
          <t>171 - 03 - 01 - 24</t>
        </is>
      </c>
      <c r="C657" s="3" t="inlineStr">
        <is>
          <t>TKIA 24 JATIKRAMAT</t>
        </is>
      </c>
      <c r="D657" s="3" t="inlineStr">
        <is>
          <t>I / 5 / PSB</t>
        </is>
      </c>
      <c r="E657" s="3" t="inlineStr">
        <is>
          <t>Best Baby</t>
        </is>
      </c>
      <c r="F657" s="3" t="inlineStr">
        <is>
          <t>Best Baby</t>
        </is>
      </c>
      <c r="G657" s="3" t="inlineStr">
        <is>
          <t>Plastik</t>
        </is>
      </c>
      <c r="H657" s="3" t="n"/>
      <c r="I657" s="3" t="inlineStr">
        <is>
          <t>1 Unit</t>
        </is>
      </c>
      <c r="J657" s="4" t="n"/>
      <c r="K657" s="3" t="n"/>
      <c r="L657" s="5" t="n"/>
      <c r="M657" s="5" t="n"/>
      <c r="N657" s="3" t="inlineStr">
        <is>
          <t>171 - 03 - 01 - 24</t>
        </is>
      </c>
      <c r="O657" s="3" t="n">
        <v>4</v>
      </c>
      <c r="P657" s="5" t="n"/>
      <c r="Q657" s="5" t="n"/>
      <c r="R657" s="3" t="inlineStr">
        <is>
          <t>Baik</t>
        </is>
      </c>
      <c r="S657" s="3" t="inlineStr">
        <is>
          <t>Aktif</t>
        </is>
      </c>
      <c r="T657" s="3" t="n"/>
      <c r="U657" s="3" t="inlineStr">
        <is>
          <t>ASSET TKIA-24 2025(1).xlsx | ASET TKIA (3)</t>
        </is>
      </c>
    </row>
    <row r="658">
      <c r="A658" s="3" t="n">
        <v>655</v>
      </c>
      <c r="B658" s="3" t="inlineStr">
        <is>
          <t>171 - 03 - 01 - 24</t>
        </is>
      </c>
      <c r="C658" s="3" t="inlineStr">
        <is>
          <t>TKIA 24 JATIKRAMAT</t>
        </is>
      </c>
      <c r="D658" s="3" t="inlineStr">
        <is>
          <t>I / 5 / PSB</t>
        </is>
      </c>
      <c r="E658" s="3" t="inlineStr">
        <is>
          <t>Filling Kabinet 4 Rak Data Arsip</t>
        </is>
      </c>
      <c r="F658" s="3" t="inlineStr">
        <is>
          <t>Filling Kabinet 4 Rak Data Arsip</t>
        </is>
      </c>
      <c r="G658" s="3" t="inlineStr">
        <is>
          <t>Besi</t>
        </is>
      </c>
      <c r="H658" s="3" t="inlineStr">
        <is>
          <t>134 cm x 46 cm</t>
        </is>
      </c>
      <c r="I658" s="3" t="inlineStr">
        <is>
          <t>1 Unit</t>
        </is>
      </c>
      <c r="J658" s="4" t="n"/>
      <c r="K658" s="3" t="n"/>
      <c r="L658" s="5" t="n"/>
      <c r="M658" s="5" t="n"/>
      <c r="N658" s="3" t="inlineStr">
        <is>
          <t>171 - 03 - 01 - 24</t>
        </is>
      </c>
      <c r="O658" s="3" t="n">
        <v>4</v>
      </c>
      <c r="P658" s="5" t="n"/>
      <c r="Q658" s="5" t="n"/>
      <c r="R658" s="3" t="inlineStr">
        <is>
          <t>Baik</t>
        </is>
      </c>
      <c r="S658" s="3" t="inlineStr">
        <is>
          <t>Aktif</t>
        </is>
      </c>
      <c r="T658" s="3" t="n"/>
      <c r="U658" s="3" t="inlineStr">
        <is>
          <t>ASSET TKIA-24 2025(1).xlsx | ASET TKIA (3)</t>
        </is>
      </c>
    </row>
    <row r="659">
      <c r="A659" s="3" t="n">
        <v>656</v>
      </c>
      <c r="B659" s="3" t="inlineStr">
        <is>
          <t>171 - 03 - 01 - 24</t>
        </is>
      </c>
      <c r="C659" s="3" t="inlineStr">
        <is>
          <t>TKIA 24 JATIKRAMAT</t>
        </is>
      </c>
      <c r="D659" s="3" t="inlineStr">
        <is>
          <t>I / 5 / PSB</t>
        </is>
      </c>
      <c r="E659" s="3" t="inlineStr">
        <is>
          <t>Rak Buku</t>
        </is>
      </c>
      <c r="F659" s="3" t="inlineStr">
        <is>
          <t>Rak Buku</t>
        </is>
      </c>
      <c r="G659" s="3" t="inlineStr">
        <is>
          <t>Kayu</t>
        </is>
      </c>
      <c r="H659" s="3" t="inlineStr">
        <is>
          <t>120 cm x 120 cm</t>
        </is>
      </c>
      <c r="I659" s="3" t="inlineStr">
        <is>
          <t>1 Unit</t>
        </is>
      </c>
      <c r="J659" s="4" t="n"/>
      <c r="K659" s="3" t="n"/>
      <c r="L659" s="5" t="n"/>
      <c r="M659" s="5" t="n"/>
      <c r="N659" s="3" t="inlineStr">
        <is>
          <t>171 - 03 - 01 - 24</t>
        </is>
      </c>
      <c r="O659" s="3" t="n">
        <v>4</v>
      </c>
      <c r="P659" s="5" t="n"/>
      <c r="Q659" s="5" t="n"/>
      <c r="R659" s="3" t="inlineStr">
        <is>
          <t>Baik</t>
        </is>
      </c>
      <c r="S659" s="3" t="inlineStr">
        <is>
          <t>Aktif</t>
        </is>
      </c>
      <c r="T659" s="3" t="n"/>
      <c r="U659" s="3" t="inlineStr">
        <is>
          <t>ASSET TKIA-24 2025(1).xlsx | ASET TKIA (3)</t>
        </is>
      </c>
    </row>
    <row r="660">
      <c r="A660" s="3" t="n">
        <v>657</v>
      </c>
      <c r="B660" s="3" t="inlineStr">
        <is>
          <t>171 - 03 - 01 - 24</t>
        </is>
      </c>
      <c r="C660" s="3" t="inlineStr">
        <is>
          <t>TKIA 24 JATIKRAMAT</t>
        </is>
      </c>
      <c r="D660" s="3" t="inlineStr">
        <is>
          <t>I / 5 / PSB</t>
        </is>
      </c>
      <c r="E660" s="3" t="inlineStr">
        <is>
          <t>Rak Buku 6 Tingkat</t>
        </is>
      </c>
      <c r="F660" s="3" t="inlineStr">
        <is>
          <t>Rak Buku 6 Tingkat</t>
        </is>
      </c>
      <c r="G660" s="3" t="inlineStr">
        <is>
          <t>Kayu</t>
        </is>
      </c>
      <c r="H660" s="3" t="inlineStr">
        <is>
          <t>100 cm 200 cm</t>
        </is>
      </c>
      <c r="I660" s="3" t="inlineStr">
        <is>
          <t>1 Unit</t>
        </is>
      </c>
      <c r="J660" s="4" t="n"/>
      <c r="K660" s="3" t="n"/>
      <c r="L660" s="5" t="n"/>
      <c r="M660" s="5" t="n"/>
      <c r="N660" s="3" t="inlineStr">
        <is>
          <t>171 - 03 - 01 - 24</t>
        </is>
      </c>
      <c r="O660" s="3" t="n">
        <v>4</v>
      </c>
      <c r="P660" s="5" t="n"/>
      <c r="Q660" s="5" t="n"/>
      <c r="R660" s="3" t="inlineStr">
        <is>
          <t>Baik</t>
        </is>
      </c>
      <c r="S660" s="3" t="inlineStr">
        <is>
          <t>Aktif</t>
        </is>
      </c>
      <c r="T660" s="3" t="n"/>
      <c r="U660" s="3" t="inlineStr">
        <is>
          <t>ASSET TKIA-24 2025(1).xlsx | ASET TKIA (3)</t>
        </is>
      </c>
    </row>
    <row r="661">
      <c r="A661" s="3" t="n">
        <v>658</v>
      </c>
      <c r="B661" s="3" t="inlineStr">
        <is>
          <t>171 - 03 - 01 - 24</t>
        </is>
      </c>
      <c r="C661" s="3" t="inlineStr">
        <is>
          <t>TKIA 24 JATIKRAMAT</t>
        </is>
      </c>
      <c r="D661" s="3" t="inlineStr">
        <is>
          <t>I / 5 / PSB</t>
        </is>
      </c>
      <c r="E661" s="3" t="inlineStr">
        <is>
          <t>Lemari 2 Pintu</t>
        </is>
      </c>
      <c r="F661" s="3" t="inlineStr">
        <is>
          <t>Lemari 2 Pintu</t>
        </is>
      </c>
      <c r="G661" s="3" t="inlineStr">
        <is>
          <t>Kayu</t>
        </is>
      </c>
      <c r="H661" s="3" t="inlineStr">
        <is>
          <t>180 cm x 85 cm</t>
        </is>
      </c>
      <c r="I661" s="3" t="inlineStr">
        <is>
          <t>1 Unit</t>
        </is>
      </c>
      <c r="J661" s="4" t="n"/>
      <c r="K661" s="3" t="n"/>
      <c r="L661" s="5" t="n"/>
      <c r="M661" s="5" t="n"/>
      <c r="N661" s="3" t="inlineStr">
        <is>
          <t>171 - 03 - 01 - 24</t>
        </is>
      </c>
      <c r="O661" s="3" t="n">
        <v>4</v>
      </c>
      <c r="P661" s="5" t="n"/>
      <c r="Q661" s="5" t="n"/>
      <c r="R661" s="3" t="inlineStr">
        <is>
          <t>Baik</t>
        </is>
      </c>
      <c r="S661" s="3" t="inlineStr">
        <is>
          <t>Aktif</t>
        </is>
      </c>
      <c r="T661" s="3" t="n"/>
      <c r="U661" s="3" t="inlineStr">
        <is>
          <t>ASSET TKIA-24 2025(1).xlsx | ASET TKIA (3)</t>
        </is>
      </c>
    </row>
    <row r="662">
      <c r="A662" s="3" t="n">
        <v>659</v>
      </c>
      <c r="B662" s="3" t="inlineStr">
        <is>
          <t>171 - 03 - 01 - 24</t>
        </is>
      </c>
      <c r="C662" s="3" t="inlineStr">
        <is>
          <t>TKIA 24 JATIKRAMAT</t>
        </is>
      </c>
      <c r="D662" s="3" t="inlineStr">
        <is>
          <t>I / 5 / PSB</t>
        </is>
      </c>
      <c r="E662" s="3" t="inlineStr">
        <is>
          <t>Rak Buku Susun</t>
        </is>
      </c>
      <c r="F662" s="3" t="inlineStr">
        <is>
          <t>Rak Buku Susun</t>
        </is>
      </c>
      <c r="G662" s="3" t="inlineStr">
        <is>
          <t>Besi</t>
        </is>
      </c>
      <c r="H662" s="3" t="inlineStr">
        <is>
          <t>75 cm x 30 cm</t>
        </is>
      </c>
      <c r="I662" s="3" t="inlineStr">
        <is>
          <t>1 Unit</t>
        </is>
      </c>
      <c r="J662" s="4" t="n"/>
      <c r="K662" s="3" t="n"/>
      <c r="L662" s="5" t="n"/>
      <c r="M662" s="5" t="n"/>
      <c r="N662" s="3" t="inlineStr">
        <is>
          <t>171 - 03 - 01 - 24</t>
        </is>
      </c>
      <c r="O662" s="3" t="n">
        <v>4</v>
      </c>
      <c r="P662" s="5" t="n"/>
      <c r="Q662" s="5" t="n"/>
      <c r="R662" s="3" t="inlineStr">
        <is>
          <t>Baik</t>
        </is>
      </c>
      <c r="S662" s="3" t="inlineStr">
        <is>
          <t>Aktif</t>
        </is>
      </c>
      <c r="T662" s="3" t="n"/>
      <c r="U662" s="3" t="inlineStr">
        <is>
          <t>ASSET TKIA-24 2025(1).xlsx | ASET TKIA (3)</t>
        </is>
      </c>
    </row>
    <row r="663">
      <c r="A663" s="3" t="n">
        <v>660</v>
      </c>
      <c r="B663" s="3" t="inlineStr">
        <is>
          <t>171 - 03 - 01 - 24</t>
        </is>
      </c>
      <c r="C663" s="3" t="inlineStr">
        <is>
          <t>TKIA 24 JATIKRAMAT</t>
        </is>
      </c>
      <c r="D663" s="3" t="inlineStr">
        <is>
          <t>I / 5 / PSB</t>
        </is>
      </c>
      <c r="E663" s="3" t="inlineStr">
        <is>
          <t>Loker Guru</t>
        </is>
      </c>
      <c r="F663" s="3" t="inlineStr">
        <is>
          <t>Loker Guru</t>
        </is>
      </c>
      <c r="G663" s="3" t="inlineStr">
        <is>
          <t>Kayu</t>
        </is>
      </c>
      <c r="H663" s="3" t="inlineStr">
        <is>
          <t>103 cm x 120 cm</t>
        </is>
      </c>
      <c r="I663" s="3" t="inlineStr">
        <is>
          <t>2 Unit</t>
        </is>
      </c>
      <c r="J663" s="4" t="n"/>
      <c r="K663" s="3" t="n"/>
      <c r="L663" s="5" t="n"/>
      <c r="M663" s="5" t="n"/>
      <c r="N663" s="3" t="inlineStr">
        <is>
          <t>171 - 03 - 01 - 24</t>
        </is>
      </c>
      <c r="O663" s="3" t="n">
        <v>4</v>
      </c>
      <c r="P663" s="5" t="n"/>
      <c r="Q663" s="5" t="n"/>
      <c r="R663" s="3" t="inlineStr">
        <is>
          <t>Baik</t>
        </is>
      </c>
      <c r="S663" s="3" t="inlineStr">
        <is>
          <t>Aktif</t>
        </is>
      </c>
      <c r="T663" s="3" t="n"/>
      <c r="U663" s="3" t="inlineStr">
        <is>
          <t>ASSET TKIA-24 2025(1).xlsx | ASET TKIA (3)</t>
        </is>
      </c>
    </row>
    <row r="664">
      <c r="A664" s="3" t="n">
        <v>661</v>
      </c>
      <c r="B664" s="3" t="inlineStr">
        <is>
          <t>171 - 03 - 01 - 24</t>
        </is>
      </c>
      <c r="C664" s="3" t="inlineStr">
        <is>
          <t>TKIA 24 JATIKRAMAT</t>
        </is>
      </c>
      <c r="D664" s="3" t="inlineStr">
        <is>
          <t>I / 5 / PSB</t>
        </is>
      </c>
      <c r="E664" s="3" t="inlineStr">
        <is>
          <t>T O A</t>
        </is>
      </c>
      <c r="F664" s="3" t="inlineStr">
        <is>
          <t>T O A</t>
        </is>
      </c>
      <c r="G664" s="3" t="inlineStr">
        <is>
          <t>Besi</t>
        </is>
      </c>
      <c r="H664" s="3" t="n"/>
      <c r="I664" s="3" t="inlineStr">
        <is>
          <t>1 Unit</t>
        </is>
      </c>
      <c r="J664" s="4" t="n"/>
      <c r="K664" s="3" t="n"/>
      <c r="L664" s="5" t="n"/>
      <c r="M664" s="5" t="n"/>
      <c r="N664" s="3" t="inlineStr">
        <is>
          <t>171 - 03 - 01 - 24</t>
        </is>
      </c>
      <c r="O664" s="3" t="n">
        <v>4</v>
      </c>
      <c r="P664" s="5" t="n"/>
      <c r="Q664" s="5" t="n"/>
      <c r="R664" s="3" t="inlineStr">
        <is>
          <t>Baik</t>
        </is>
      </c>
      <c r="S664" s="3" t="inlineStr">
        <is>
          <t>Aktif</t>
        </is>
      </c>
      <c r="T664" s="3" t="n"/>
      <c r="U664" s="3" t="inlineStr">
        <is>
          <t>ASSET TKIA-24 2025(1).xlsx | ASET TKIA (3)</t>
        </is>
      </c>
    </row>
    <row r="665">
      <c r="A665" s="3" t="n">
        <v>662</v>
      </c>
      <c r="B665" s="3" t="inlineStr">
        <is>
          <t>171 - 03 - 01 - 24</t>
        </is>
      </c>
      <c r="C665" s="3" t="inlineStr">
        <is>
          <t>TKIA 24 JATIKRAMAT</t>
        </is>
      </c>
      <c r="D665" s="3" t="inlineStr">
        <is>
          <t>I / 5 / PSB</t>
        </is>
      </c>
      <c r="E665" s="3" t="inlineStr">
        <is>
          <t>Jam Dinding</t>
        </is>
      </c>
      <c r="F665" s="3" t="inlineStr">
        <is>
          <t>Jam Dinding</t>
        </is>
      </c>
      <c r="G665" s="3" t="inlineStr">
        <is>
          <t>Plastik</t>
        </is>
      </c>
      <c r="H665" s="3" t="inlineStr">
        <is>
          <t>Diameter 23</t>
        </is>
      </c>
      <c r="I665" s="3" t="inlineStr">
        <is>
          <t>1 Unit</t>
        </is>
      </c>
      <c r="J665" s="4" t="n"/>
      <c r="K665" s="3" t="n"/>
      <c r="L665" s="5" t="n"/>
      <c r="M665" s="5" t="n"/>
      <c r="N665" s="3" t="inlineStr">
        <is>
          <t>171 - 03 - 01 - 24</t>
        </is>
      </c>
      <c r="O665" s="3" t="n">
        <v>4</v>
      </c>
      <c r="P665" s="5" t="n"/>
      <c r="Q665" s="5" t="n"/>
      <c r="R665" s="3" t="inlineStr">
        <is>
          <t>Baik</t>
        </is>
      </c>
      <c r="S665" s="3" t="inlineStr">
        <is>
          <t>Aktif</t>
        </is>
      </c>
      <c r="T665" s="3" t="n"/>
      <c r="U665" s="3" t="inlineStr">
        <is>
          <t>ASSET TKIA-24 2025(1).xlsx | ASET TKIA (3)</t>
        </is>
      </c>
    </row>
    <row r="666">
      <c r="A666" s="3" t="n">
        <v>663</v>
      </c>
      <c r="B666" s="3" t="inlineStr">
        <is>
          <t>171 - 03 - 01 - 24</t>
        </is>
      </c>
      <c r="C666" s="3" t="inlineStr">
        <is>
          <t>TKIA 24 JATIKRAMAT</t>
        </is>
      </c>
      <c r="D666" s="3" t="inlineStr">
        <is>
          <t>I / 5 / PSB</t>
        </is>
      </c>
      <c r="E666" s="3" t="inlineStr">
        <is>
          <t>Lemari Besi</t>
        </is>
      </c>
      <c r="F666" s="3" t="inlineStr">
        <is>
          <t>Lemari Besi</t>
        </is>
      </c>
      <c r="G666" s="3" t="inlineStr">
        <is>
          <t>Besi</t>
        </is>
      </c>
      <c r="H666" s="3" t="inlineStr">
        <is>
          <t>200 x 50 cm</t>
        </is>
      </c>
      <c r="I666" s="3" t="inlineStr">
        <is>
          <t>1 Unit</t>
        </is>
      </c>
      <c r="J666" s="4" t="n"/>
      <c r="K666" s="3" t="n"/>
      <c r="L666" s="5" t="n"/>
      <c r="M666" s="5" t="n"/>
      <c r="N666" s="3" t="inlineStr">
        <is>
          <t>171 - 03 - 01 - 24</t>
        </is>
      </c>
      <c r="O666" s="3" t="n">
        <v>4</v>
      </c>
      <c r="P666" s="5" t="n"/>
      <c r="Q666" s="5" t="n"/>
      <c r="R666" s="3" t="inlineStr">
        <is>
          <t>Baik</t>
        </is>
      </c>
      <c r="S666" s="3" t="inlineStr">
        <is>
          <t>Aktif</t>
        </is>
      </c>
      <c r="T666" s="3" t="n"/>
      <c r="U666" s="3" t="inlineStr">
        <is>
          <t>ASSET TKIA-24 2025(1).xlsx | ASET TKIA (3)</t>
        </is>
      </c>
    </row>
    <row r="667">
      <c r="A667" s="3" t="n">
        <v>664</v>
      </c>
      <c r="B667" s="3" t="inlineStr">
        <is>
          <t>171 - 03 - 01 - 24</t>
        </is>
      </c>
      <c r="C667" s="3" t="inlineStr">
        <is>
          <t>TKIA 24 JATIKRAMAT</t>
        </is>
      </c>
      <c r="D667" s="3" t="inlineStr">
        <is>
          <t>I / 6 / MEKAH/ MADINAH/ KB</t>
        </is>
      </c>
      <c r="E667" s="3" t="inlineStr">
        <is>
          <t>Box SHELF</t>
        </is>
      </c>
      <c r="F667" s="3" t="inlineStr">
        <is>
          <t>Box SHELF</t>
        </is>
      </c>
      <c r="G667" s="3" t="inlineStr">
        <is>
          <t>Plastik</t>
        </is>
      </c>
      <c r="H667" s="3" t="inlineStr">
        <is>
          <t>75 cm x 80 cm</t>
        </is>
      </c>
      <c r="I667" s="3" t="inlineStr">
        <is>
          <t>1 Unit</t>
        </is>
      </c>
      <c r="J667" s="4" t="n"/>
      <c r="K667" s="3" t="n"/>
      <c r="L667" s="5" t="n"/>
      <c r="M667" s="5" t="n"/>
      <c r="N667" s="3" t="inlineStr">
        <is>
          <t>171 - 03 - 01 - 24</t>
        </is>
      </c>
      <c r="O667" s="3" t="n">
        <v>4</v>
      </c>
      <c r="P667" s="5" t="n"/>
      <c r="Q667" s="5" t="n"/>
      <c r="R667" s="3" t="inlineStr">
        <is>
          <t>Baik</t>
        </is>
      </c>
      <c r="S667" s="3" t="inlineStr">
        <is>
          <t>Aktif</t>
        </is>
      </c>
      <c r="T667" s="3" t="n"/>
      <c r="U667" s="3" t="inlineStr">
        <is>
          <t>ASSET TKIA-24 2025(1).xlsx | ASET TKIA (3)</t>
        </is>
      </c>
    </row>
    <row r="668">
      <c r="A668" s="3" t="n">
        <v>665</v>
      </c>
      <c r="B668" s="3" t="inlineStr">
        <is>
          <t>171 - 03 - 01 - 24</t>
        </is>
      </c>
      <c r="C668" s="3" t="inlineStr">
        <is>
          <t>TKIA 24 JATIKRAMAT</t>
        </is>
      </c>
      <c r="D668" s="3" t="inlineStr">
        <is>
          <t>I / 6 / MEKAH/ MADINAH/ KB</t>
        </is>
      </c>
      <c r="E668" s="3" t="inlineStr">
        <is>
          <t>Rak Loker</t>
        </is>
      </c>
      <c r="F668" s="3" t="inlineStr">
        <is>
          <t>Rak Loker</t>
        </is>
      </c>
      <c r="G668" s="3" t="inlineStr">
        <is>
          <t>Kayu</t>
        </is>
      </c>
      <c r="H668" s="3" t="inlineStr">
        <is>
          <t>120 cm x 114 cm</t>
        </is>
      </c>
      <c r="I668" s="3" t="inlineStr">
        <is>
          <t>2 Unit</t>
        </is>
      </c>
      <c r="J668" s="4" t="n"/>
      <c r="K668" s="3" t="n"/>
      <c r="L668" s="5" t="n"/>
      <c r="M668" s="5" t="n"/>
      <c r="N668" s="3" t="inlineStr">
        <is>
          <t>171 - 03 - 01 - 24</t>
        </is>
      </c>
      <c r="O668" s="3" t="n">
        <v>4</v>
      </c>
      <c r="P668" s="5" t="n"/>
      <c r="Q668" s="5" t="n"/>
      <c r="R668" s="3" t="inlineStr">
        <is>
          <t>Baik</t>
        </is>
      </c>
      <c r="S668" s="3" t="inlineStr">
        <is>
          <t>Aktif</t>
        </is>
      </c>
      <c r="T668" s="3" t="n"/>
      <c r="U668" s="3" t="inlineStr">
        <is>
          <t>ASSET TKIA-24 2025(1).xlsx | ASET TKIA (3)</t>
        </is>
      </c>
    </row>
    <row r="669">
      <c r="A669" s="3" t="n">
        <v>666</v>
      </c>
      <c r="B669" s="3" t="inlineStr">
        <is>
          <t>171 - 03 - 01 - 24</t>
        </is>
      </c>
      <c r="C669" s="3" t="inlineStr">
        <is>
          <t>TKIA 24 JATIKRAMAT</t>
        </is>
      </c>
      <c r="D669" s="3" t="inlineStr">
        <is>
          <t>I / 6 / MEKAH/ MADINAH/ KB</t>
        </is>
      </c>
      <c r="E669" s="3" t="inlineStr">
        <is>
          <t>Loker 5 Laci</t>
        </is>
      </c>
      <c r="F669" s="3" t="inlineStr">
        <is>
          <t>Loker 5 Laci</t>
        </is>
      </c>
      <c r="G669" s="3" t="inlineStr">
        <is>
          <t>Kayu</t>
        </is>
      </c>
      <c r="H669" s="3" t="inlineStr">
        <is>
          <t>120 cm x 40 cm</t>
        </is>
      </c>
      <c r="I669" s="3" t="inlineStr">
        <is>
          <t>1 Unit</t>
        </is>
      </c>
      <c r="J669" s="4" t="n"/>
      <c r="K669" s="3" t="n"/>
      <c r="L669" s="5" t="n"/>
      <c r="M669" s="5" t="n"/>
      <c r="N669" s="3" t="inlineStr">
        <is>
          <t>171 - 03 - 01 - 24</t>
        </is>
      </c>
      <c r="O669" s="3" t="n">
        <v>4</v>
      </c>
      <c r="P669" s="5" t="n"/>
      <c r="Q669" s="5" t="n"/>
      <c r="R669" s="3" t="inlineStr">
        <is>
          <t>Baik</t>
        </is>
      </c>
      <c r="S669" s="3" t="inlineStr">
        <is>
          <t>Aktif</t>
        </is>
      </c>
      <c r="T669" s="3" t="n"/>
      <c r="U669" s="3" t="inlineStr">
        <is>
          <t>ASSET TKIA-24 2025(1).xlsx | ASET TKIA (3)</t>
        </is>
      </c>
    </row>
    <row r="670">
      <c r="A670" s="3" t="n">
        <v>667</v>
      </c>
      <c r="B670" s="3" t="inlineStr">
        <is>
          <t>171 - 03 - 01 - 24</t>
        </is>
      </c>
      <c r="C670" s="3" t="inlineStr">
        <is>
          <t>TKIA 24 JATIKRAMAT</t>
        </is>
      </c>
      <c r="D670" s="3" t="inlineStr">
        <is>
          <t>I / 6 / MEKAH/ MADINAH/ KB</t>
        </is>
      </c>
      <c r="E670" s="3" t="inlineStr">
        <is>
          <t>Pagar Serbaguna</t>
        </is>
      </c>
      <c r="F670" s="3" t="inlineStr">
        <is>
          <t>Pagar Serbaguna</t>
        </is>
      </c>
      <c r="G670" s="3" t="inlineStr">
        <is>
          <t>Plastik</t>
        </is>
      </c>
      <c r="H670" s="3" t="n"/>
      <c r="I670" s="3" t="inlineStr">
        <is>
          <t>1 Unit</t>
        </is>
      </c>
      <c r="J670" s="4" t="n"/>
      <c r="K670" s="3" t="n"/>
      <c r="L670" s="5" t="n"/>
      <c r="M670" s="5" t="n"/>
      <c r="N670" s="3" t="inlineStr">
        <is>
          <t>171 - 03 - 01 - 24</t>
        </is>
      </c>
      <c r="O670" s="3" t="n">
        <v>4</v>
      </c>
      <c r="P670" s="5" t="n"/>
      <c r="Q670" s="5" t="n"/>
      <c r="R670" s="3" t="inlineStr">
        <is>
          <t>Baik</t>
        </is>
      </c>
      <c r="S670" s="3" t="inlineStr">
        <is>
          <t>Aktif</t>
        </is>
      </c>
      <c r="T670" s="3" t="n"/>
      <c r="U670" s="3" t="inlineStr">
        <is>
          <t>ASSET TKIA-24 2025(1).xlsx | ASET TKIA (3)</t>
        </is>
      </c>
    </row>
    <row r="671">
      <c r="A671" s="3" t="n">
        <v>668</v>
      </c>
      <c r="B671" s="3" t="inlineStr">
        <is>
          <t>171 - 03 - 01 - 24</t>
        </is>
      </c>
      <c r="C671" s="3" t="inlineStr">
        <is>
          <t>TKIA 24 JATIKRAMAT</t>
        </is>
      </c>
      <c r="D671" s="3" t="inlineStr">
        <is>
          <t>I / 6 / MEKAH/ MADINAH/ KB</t>
        </is>
      </c>
      <c r="E671" s="3" t="inlineStr">
        <is>
          <t>Meja Bunder</t>
        </is>
      </c>
      <c r="F671" s="3" t="inlineStr">
        <is>
          <t>Meja Bunder</t>
        </is>
      </c>
      <c r="G671" s="3" t="inlineStr">
        <is>
          <t>Plastik</t>
        </is>
      </c>
      <c r="H671" s="3" t="inlineStr">
        <is>
          <t>Diameter 121 cm</t>
        </is>
      </c>
      <c r="I671" s="3" t="inlineStr">
        <is>
          <t>1 Unit</t>
        </is>
      </c>
      <c r="J671" s="4" t="n"/>
      <c r="K671" s="3" t="n"/>
      <c r="L671" s="5" t="n"/>
      <c r="M671" s="5" t="n"/>
      <c r="N671" s="3" t="inlineStr">
        <is>
          <t>171 - 03 - 01 - 24</t>
        </is>
      </c>
      <c r="O671" s="3" t="n">
        <v>4</v>
      </c>
      <c r="P671" s="5" t="n"/>
      <c r="Q671" s="5" t="n"/>
      <c r="R671" s="3" t="inlineStr">
        <is>
          <t>Baik</t>
        </is>
      </c>
      <c r="S671" s="3" t="inlineStr">
        <is>
          <t>Aktif</t>
        </is>
      </c>
      <c r="T671" s="3" t="n"/>
      <c r="U671" s="3" t="inlineStr">
        <is>
          <t>ASSET TKIA-24 2025(1).xlsx | ASET TKIA (3)</t>
        </is>
      </c>
    </row>
    <row r="672">
      <c r="A672" s="3" t="n">
        <v>669</v>
      </c>
      <c r="B672" s="3" t="inlineStr">
        <is>
          <t>171 - 03 - 01 - 24</t>
        </is>
      </c>
      <c r="C672" s="3" t="inlineStr">
        <is>
          <t>TKIA 24 JATIKRAMAT</t>
        </is>
      </c>
      <c r="D672" s="3" t="inlineStr">
        <is>
          <t>I / 6 / MEKAH/ MADINAH/ KB</t>
        </is>
      </c>
      <c r="E672" s="3" t="inlineStr">
        <is>
          <t>Kursi</t>
        </is>
      </c>
      <c r="F672" s="3" t="inlineStr">
        <is>
          <t>Kursi</t>
        </is>
      </c>
      <c r="G672" s="3" t="inlineStr">
        <is>
          <t>Plastik</t>
        </is>
      </c>
      <c r="H672" s="3" t="inlineStr">
        <is>
          <t>31 cm x 26bcm x 26 cm</t>
        </is>
      </c>
      <c r="I672" s="3" t="inlineStr">
        <is>
          <t>5 Unit</t>
        </is>
      </c>
      <c r="J672" s="4" t="n"/>
      <c r="K672" s="3" t="n"/>
      <c r="L672" s="5" t="n"/>
      <c r="M672" s="5" t="n"/>
      <c r="N672" s="3" t="inlineStr">
        <is>
          <t>171 - 03 - 01 - 24</t>
        </is>
      </c>
      <c r="O672" s="3" t="n">
        <v>4</v>
      </c>
      <c r="P672" s="5" t="n"/>
      <c r="Q672" s="5" t="n"/>
      <c r="R672" s="3" t="inlineStr">
        <is>
          <t>Baik</t>
        </is>
      </c>
      <c r="S672" s="3" t="inlineStr">
        <is>
          <t>Aktif</t>
        </is>
      </c>
      <c r="T672" s="3" t="n"/>
      <c r="U672" s="3" t="inlineStr">
        <is>
          <t>ASSET TKIA-24 2025(1).xlsx | ASET TKIA (3)</t>
        </is>
      </c>
    </row>
    <row r="673">
      <c r="A673" s="3" t="n">
        <v>670</v>
      </c>
      <c r="B673" s="3" t="inlineStr">
        <is>
          <t>171 - 03 - 01 - 24</t>
        </is>
      </c>
      <c r="C673" s="3" t="inlineStr">
        <is>
          <t>TKIA 24 JATIKRAMAT</t>
        </is>
      </c>
      <c r="D673" s="3" t="inlineStr">
        <is>
          <t>I / 6 / MEKAH/ MADINAH/ KB</t>
        </is>
      </c>
      <c r="E673" s="3" t="inlineStr">
        <is>
          <t>Partisi</t>
        </is>
      </c>
      <c r="F673" s="3" t="inlineStr">
        <is>
          <t>Partisi</t>
        </is>
      </c>
      <c r="G673" s="3" t="inlineStr">
        <is>
          <t>Plastik</t>
        </is>
      </c>
      <c r="H673" s="3" t="inlineStr">
        <is>
          <t>107 cm x 70 cm</t>
        </is>
      </c>
      <c r="I673" s="3" t="inlineStr">
        <is>
          <t>4 Unit</t>
        </is>
      </c>
      <c r="J673" s="4" t="n"/>
      <c r="K673" s="3" t="n"/>
      <c r="L673" s="5" t="n"/>
      <c r="M673" s="5" t="n"/>
      <c r="N673" s="3" t="inlineStr">
        <is>
          <t>171 - 03 - 01 - 24</t>
        </is>
      </c>
      <c r="O673" s="3" t="n">
        <v>4</v>
      </c>
      <c r="P673" s="5" t="n"/>
      <c r="Q673" s="5" t="n"/>
      <c r="R673" s="3" t="inlineStr">
        <is>
          <t>Baik</t>
        </is>
      </c>
      <c r="S673" s="3" t="inlineStr">
        <is>
          <t>Aktif</t>
        </is>
      </c>
      <c r="T673" s="3" t="n"/>
      <c r="U673" s="3" t="inlineStr">
        <is>
          <t>ASSET TKIA-24 2025(1).xlsx | ASET TKIA (3)</t>
        </is>
      </c>
    </row>
    <row r="674">
      <c r="A674" s="3" t="n">
        <v>671</v>
      </c>
      <c r="B674" s="3" t="inlineStr">
        <is>
          <t>171 - 03 - 01 - 24</t>
        </is>
      </c>
      <c r="C674" s="3" t="inlineStr">
        <is>
          <t>TKIA 24 JATIKRAMAT</t>
        </is>
      </c>
      <c r="D674" s="3" t="inlineStr">
        <is>
          <t>I / 6 / MEKAH/ MADINAH/ KB</t>
        </is>
      </c>
      <c r="E674" s="3" t="inlineStr">
        <is>
          <t>Kolam mandi bola</t>
        </is>
      </c>
      <c r="F674" s="3" t="inlineStr">
        <is>
          <t>Kolam mandi bola</t>
        </is>
      </c>
      <c r="G674" s="3" t="inlineStr">
        <is>
          <t>Plastik</t>
        </is>
      </c>
      <c r="H674" s="3" t="n"/>
      <c r="I674" s="3" t="inlineStr">
        <is>
          <t>1 Unit</t>
        </is>
      </c>
      <c r="J674" s="4" t="n"/>
      <c r="K674" s="3" t="n"/>
      <c r="L674" s="5" t="n"/>
      <c r="M674" s="5" t="n"/>
      <c r="N674" s="3" t="inlineStr">
        <is>
          <t>171 - 03 - 01 - 24</t>
        </is>
      </c>
      <c r="O674" s="3" t="n">
        <v>4</v>
      </c>
      <c r="P674" s="5" t="n"/>
      <c r="Q674" s="5" t="n"/>
      <c r="R674" s="3" t="inlineStr">
        <is>
          <t>Baik</t>
        </is>
      </c>
      <c r="S674" s="3" t="inlineStr">
        <is>
          <t>Aktif</t>
        </is>
      </c>
      <c r="T674" s="3" t="n"/>
      <c r="U674" s="3" t="inlineStr">
        <is>
          <t>ASSET TKIA-24 2025(1).xlsx | ASET TKIA (3)</t>
        </is>
      </c>
    </row>
    <row r="675">
      <c r="A675" s="3" t="n">
        <v>672</v>
      </c>
      <c r="B675" s="3" t="inlineStr">
        <is>
          <t>171 - 03 - 01 - 24</t>
        </is>
      </c>
      <c r="C675" s="3" t="inlineStr">
        <is>
          <t>TKIA 24 JATIKRAMAT</t>
        </is>
      </c>
      <c r="D675" s="3" t="inlineStr">
        <is>
          <t>I / 6 / MEKAH/ MADINAH/ KB</t>
        </is>
      </c>
      <c r="E675" s="3" t="inlineStr">
        <is>
          <t>Loker tas anak</t>
        </is>
      </c>
      <c r="F675" s="3" t="inlineStr">
        <is>
          <t>Loker tas anak</t>
        </is>
      </c>
      <c r="G675" s="3" t="inlineStr">
        <is>
          <t>Plastik</t>
        </is>
      </c>
      <c r="H675" s="3" t="inlineStr">
        <is>
          <t>50 x 200 cm</t>
        </is>
      </c>
      <c r="I675" s="3" t="inlineStr">
        <is>
          <t>1 Unit</t>
        </is>
      </c>
      <c r="J675" s="4" t="n"/>
      <c r="K675" s="3" t="n"/>
      <c r="L675" s="5" t="n"/>
      <c r="M675" s="5" t="n"/>
      <c r="N675" s="3" t="inlineStr">
        <is>
          <t>171 - 03 - 01 - 24</t>
        </is>
      </c>
      <c r="O675" s="3" t="n">
        <v>4</v>
      </c>
      <c r="P675" s="5" t="n"/>
      <c r="Q675" s="5" t="n"/>
      <c r="R675" s="3" t="inlineStr">
        <is>
          <t>Baik</t>
        </is>
      </c>
      <c r="S675" s="3" t="inlineStr">
        <is>
          <t>Aktif</t>
        </is>
      </c>
      <c r="T675" s="3" t="n"/>
      <c r="U675" s="3" t="inlineStr">
        <is>
          <t>ASSET TKIA-24 2025(1).xlsx | ASET TKIA (3)</t>
        </is>
      </c>
    </row>
    <row r="676">
      <c r="A676" s="3" t="n">
        <v>673</v>
      </c>
      <c r="B676" s="3" t="inlineStr">
        <is>
          <t>171 - 03 - 01 - 24</t>
        </is>
      </c>
      <c r="C676" s="3" t="inlineStr">
        <is>
          <t>TKIA 24 JATIKRAMAT</t>
        </is>
      </c>
      <c r="D676" s="3" t="inlineStr">
        <is>
          <t>I / 7 / TOILET</t>
        </is>
      </c>
      <c r="E676" s="3" t="inlineStr">
        <is>
          <t>Cermin</t>
        </is>
      </c>
      <c r="F676" s="3" t="inlineStr">
        <is>
          <t>Cermin</t>
        </is>
      </c>
      <c r="G676" s="3" t="inlineStr">
        <is>
          <t>Kaca/Kayu</t>
        </is>
      </c>
      <c r="H676" s="3" t="inlineStr">
        <is>
          <t>45 cm x 60 cm</t>
        </is>
      </c>
      <c r="I676" s="3" t="inlineStr">
        <is>
          <t>1 Unit</t>
        </is>
      </c>
      <c r="J676" s="4" t="n"/>
      <c r="K676" s="3" t="n"/>
      <c r="L676" s="5" t="n"/>
      <c r="M676" s="5" t="n"/>
      <c r="N676" s="3" t="inlineStr">
        <is>
          <t>171 - 03 - 01 - 24</t>
        </is>
      </c>
      <c r="O676" s="3" t="n">
        <v>4</v>
      </c>
      <c r="P676" s="5" t="n"/>
      <c r="Q676" s="5" t="n"/>
      <c r="R676" s="3" t="inlineStr">
        <is>
          <t>Baik</t>
        </is>
      </c>
      <c r="S676" s="3" t="inlineStr">
        <is>
          <t>Aktif</t>
        </is>
      </c>
      <c r="T676" s="3" t="n"/>
      <c r="U676" s="3" t="inlineStr">
        <is>
          <t>ASSET TKIA-24 2025(1).xlsx | ASET TKIA (3)</t>
        </is>
      </c>
    </row>
    <row r="677">
      <c r="A677" s="3" t="n">
        <v>674</v>
      </c>
      <c r="B677" s="3" t="inlineStr">
        <is>
          <t>171 - 03 - 01 - 24</t>
        </is>
      </c>
      <c r="C677" s="3" t="inlineStr">
        <is>
          <t>TKIA 24 JATIKRAMAT</t>
        </is>
      </c>
      <c r="D677" s="3" t="inlineStr">
        <is>
          <t>I / 7 / TOILET</t>
        </is>
      </c>
      <c r="E677" s="3" t="inlineStr">
        <is>
          <t>Wastafell</t>
        </is>
      </c>
      <c r="F677" s="3" t="inlineStr">
        <is>
          <t>Wastafell</t>
        </is>
      </c>
      <c r="G677" s="3" t="inlineStr">
        <is>
          <t>Keramik</t>
        </is>
      </c>
      <c r="H677" s="3" t="n"/>
      <c r="I677" s="3" t="inlineStr">
        <is>
          <t>1 Unit</t>
        </is>
      </c>
      <c r="J677" s="4" t="n"/>
      <c r="K677" s="3" t="n"/>
      <c r="L677" s="5" t="n"/>
      <c r="M677" s="5" t="n"/>
      <c r="N677" s="3" t="inlineStr">
        <is>
          <t>171 - 03 - 01 - 24</t>
        </is>
      </c>
      <c r="O677" s="3" t="n">
        <v>4</v>
      </c>
      <c r="P677" s="5" t="n"/>
      <c r="Q677" s="5" t="n"/>
      <c r="R677" s="3" t="inlineStr">
        <is>
          <t>Baik</t>
        </is>
      </c>
      <c r="S677" s="3" t="inlineStr">
        <is>
          <t>Aktif</t>
        </is>
      </c>
      <c r="T677" s="3" t="n"/>
      <c r="U677" s="3" t="inlineStr">
        <is>
          <t>ASSET TKIA-24 2025(1).xlsx | ASET TKIA (3)</t>
        </is>
      </c>
    </row>
    <row r="678">
      <c r="A678" s="3" t="n">
        <v>675</v>
      </c>
      <c r="B678" s="3" t="inlineStr">
        <is>
          <t>171 - 03 - 01 - 24</t>
        </is>
      </c>
      <c r="C678" s="3" t="inlineStr">
        <is>
          <t>TKIA 24 JATIKRAMAT</t>
        </is>
      </c>
      <c r="D678" s="3" t="inlineStr">
        <is>
          <t>I / 7 / TOILET</t>
        </is>
      </c>
      <c r="E678" s="3" t="inlineStr">
        <is>
          <t>Tempat Sampah</t>
        </is>
      </c>
      <c r="F678" s="3" t="inlineStr">
        <is>
          <t>Tempat Sampah</t>
        </is>
      </c>
      <c r="G678" s="3" t="inlineStr">
        <is>
          <t>Plastik</t>
        </is>
      </c>
      <c r="H678" s="3" t="inlineStr">
        <is>
          <t>Sedang</t>
        </is>
      </c>
      <c r="I678" s="3" t="inlineStr">
        <is>
          <t>1 Unit</t>
        </is>
      </c>
      <c r="J678" s="4" t="n"/>
      <c r="K678" s="3" t="n"/>
      <c r="L678" s="5" t="n"/>
      <c r="M678" s="5" t="n"/>
      <c r="N678" s="3" t="inlineStr">
        <is>
          <t>171 - 03 - 01 - 24</t>
        </is>
      </c>
      <c r="O678" s="3" t="n">
        <v>4</v>
      </c>
      <c r="P678" s="5" t="n"/>
      <c r="Q678" s="5" t="n"/>
      <c r="R678" s="3" t="inlineStr">
        <is>
          <t>Baik</t>
        </is>
      </c>
      <c r="S678" s="3" t="inlineStr">
        <is>
          <t>Aktif</t>
        </is>
      </c>
      <c r="T678" s="3" t="n"/>
      <c r="U678" s="3" t="inlineStr">
        <is>
          <t>ASSET TKIA-24 2025(1).xlsx | ASET TKIA (3)</t>
        </is>
      </c>
    </row>
    <row r="679">
      <c r="A679" s="3" t="n">
        <v>676</v>
      </c>
      <c r="B679" s="3" t="inlineStr">
        <is>
          <t>171 - 03 - 01 - 24</t>
        </is>
      </c>
      <c r="C679" s="3" t="inlineStr">
        <is>
          <t>TKIA 24 JATIKRAMAT</t>
        </is>
      </c>
      <c r="D679" s="3" t="inlineStr">
        <is>
          <t>I / 7 / TOILET</t>
        </is>
      </c>
      <c r="E679" s="3" t="inlineStr">
        <is>
          <t>Ember dan Gayung</t>
        </is>
      </c>
      <c r="F679" s="3" t="inlineStr">
        <is>
          <t>Ember dan Gayung</t>
        </is>
      </c>
      <c r="G679" s="3" t="inlineStr">
        <is>
          <t>Plastik</t>
        </is>
      </c>
      <c r="H679" s="3" t="inlineStr">
        <is>
          <t>Sedang</t>
        </is>
      </c>
      <c r="I679" s="3" t="inlineStr">
        <is>
          <t>5 Unit</t>
        </is>
      </c>
      <c r="J679" s="4" t="n"/>
      <c r="K679" s="3" t="n"/>
      <c r="L679" s="5" t="n"/>
      <c r="M679" s="5" t="n"/>
      <c r="N679" s="3" t="inlineStr">
        <is>
          <t>171 - 03 - 01 - 24</t>
        </is>
      </c>
      <c r="O679" s="3" t="n">
        <v>4</v>
      </c>
      <c r="P679" s="5" t="n"/>
      <c r="Q679" s="5" t="n"/>
      <c r="R679" s="3" t="inlineStr">
        <is>
          <t>Baik</t>
        </is>
      </c>
      <c r="S679" s="3" t="inlineStr">
        <is>
          <t>Aktif</t>
        </is>
      </c>
      <c r="T679" s="3" t="n"/>
      <c r="U679" s="3" t="inlineStr">
        <is>
          <t>ASSET TKIA-24 2025(1).xlsx | ASET TKIA (3)</t>
        </is>
      </c>
    </row>
    <row r="680">
      <c r="A680" s="3" t="n">
        <v>677</v>
      </c>
      <c r="B680" s="3" t="inlineStr">
        <is>
          <t>171 - 03 - 01 - 24</t>
        </is>
      </c>
      <c r="C680" s="3" t="inlineStr">
        <is>
          <t>TKIA 24 JATIKRAMAT</t>
        </is>
      </c>
      <c r="D680" s="3" t="inlineStr">
        <is>
          <t>I / 7 / TOILET</t>
        </is>
      </c>
      <c r="E680" s="3" t="inlineStr">
        <is>
          <t>Gantungan</t>
        </is>
      </c>
      <c r="F680" s="3" t="inlineStr">
        <is>
          <t>Gantungan</t>
        </is>
      </c>
      <c r="G680" s="3" t="inlineStr">
        <is>
          <t>Logam</t>
        </is>
      </c>
      <c r="H680" s="3" t="n"/>
      <c r="I680" s="3" t="inlineStr">
        <is>
          <t>3 Unit</t>
        </is>
      </c>
      <c r="J680" s="4" t="n"/>
      <c r="K680" s="3" t="n"/>
      <c r="L680" s="5" t="n"/>
      <c r="M680" s="5" t="n"/>
      <c r="N680" s="3" t="inlineStr">
        <is>
          <t>171 - 03 - 01 - 24</t>
        </is>
      </c>
      <c r="O680" s="3" t="n">
        <v>4</v>
      </c>
      <c r="P680" s="5" t="n"/>
      <c r="Q680" s="5" t="n"/>
      <c r="R680" s="3" t="inlineStr">
        <is>
          <t>Baik</t>
        </is>
      </c>
      <c r="S680" s="3" t="inlineStr">
        <is>
          <t>Aktif</t>
        </is>
      </c>
      <c r="T680" s="3" t="n"/>
      <c r="U680" s="3" t="inlineStr">
        <is>
          <t>ASSET TKIA-24 2025(1).xlsx | ASET TKIA (3)</t>
        </is>
      </c>
    </row>
    <row r="681">
      <c r="A681" s="3" t="n">
        <v>678</v>
      </c>
      <c r="B681" s="3" t="inlineStr">
        <is>
          <t>171 - 03 - 01 - 24</t>
        </is>
      </c>
      <c r="C681" s="3" t="inlineStr">
        <is>
          <t>TKIA 24 JATIKRAMAT</t>
        </is>
      </c>
      <c r="D681" s="3" t="inlineStr">
        <is>
          <t>I / 7 / TOILET</t>
        </is>
      </c>
      <c r="E681" s="3" t="inlineStr">
        <is>
          <t>Closet Jongkok</t>
        </is>
      </c>
      <c r="F681" s="3" t="inlineStr">
        <is>
          <t>Closet Jongkok</t>
        </is>
      </c>
      <c r="G681" s="3" t="inlineStr">
        <is>
          <t>Keramik</t>
        </is>
      </c>
      <c r="H681" s="3" t="n"/>
      <c r="I681" s="3" t="inlineStr">
        <is>
          <t>1 Unit</t>
        </is>
      </c>
      <c r="J681" s="4" t="n"/>
      <c r="K681" s="3" t="n"/>
      <c r="L681" s="5" t="n"/>
      <c r="M681" s="5" t="n"/>
      <c r="N681" s="3" t="inlineStr">
        <is>
          <t>171 - 03 - 01 - 24</t>
        </is>
      </c>
      <c r="O681" s="3" t="n">
        <v>4</v>
      </c>
      <c r="P681" s="5" t="n"/>
      <c r="Q681" s="5" t="n"/>
      <c r="R681" s="3" t="inlineStr">
        <is>
          <t>Baik</t>
        </is>
      </c>
      <c r="S681" s="3" t="inlineStr">
        <is>
          <t>Aktif</t>
        </is>
      </c>
      <c r="T681" s="3" t="n"/>
      <c r="U681" s="3" t="inlineStr">
        <is>
          <t>ASSET TKIA-24 2025(1).xlsx | ASET TKIA (3)</t>
        </is>
      </c>
    </row>
    <row r="682">
      <c r="A682" s="3" t="n">
        <v>679</v>
      </c>
      <c r="B682" s="3" t="inlineStr">
        <is>
          <t>171 - 03 - 01 - 24</t>
        </is>
      </c>
      <c r="C682" s="3" t="inlineStr">
        <is>
          <t>TKIA 24 JATIKRAMAT</t>
        </is>
      </c>
      <c r="D682" s="3" t="inlineStr">
        <is>
          <t>I / 7 / TOILET</t>
        </is>
      </c>
      <c r="E682" s="3" t="inlineStr">
        <is>
          <t>Closet Duduk</t>
        </is>
      </c>
      <c r="F682" s="3" t="inlineStr">
        <is>
          <t>Closet Duduk</t>
        </is>
      </c>
      <c r="G682" s="3" t="inlineStr">
        <is>
          <t>Keramik</t>
        </is>
      </c>
      <c r="H682" s="3" t="n"/>
      <c r="I682" s="3" t="inlineStr">
        <is>
          <t>1 Unit</t>
        </is>
      </c>
      <c r="J682" s="4" t="n"/>
      <c r="K682" s="3" t="n"/>
      <c r="L682" s="5" t="n"/>
      <c r="M682" s="5" t="n"/>
      <c r="N682" s="3" t="inlineStr">
        <is>
          <t>171 - 03 - 01 - 24</t>
        </is>
      </c>
      <c r="O682" s="3" t="n">
        <v>4</v>
      </c>
      <c r="P682" s="5" t="n"/>
      <c r="Q682" s="5" t="n"/>
      <c r="R682" s="3" t="inlineStr">
        <is>
          <t>Baik</t>
        </is>
      </c>
      <c r="S682" s="3" t="inlineStr">
        <is>
          <t>Aktif</t>
        </is>
      </c>
      <c r="T682" s="3" t="n"/>
      <c r="U682" s="3" t="inlineStr">
        <is>
          <t>ASSET TKIA-24 2025(1).xlsx | ASET TKIA (3)</t>
        </is>
      </c>
    </row>
    <row r="683">
      <c r="A683" s="3" t="n">
        <v>680</v>
      </c>
      <c r="B683" s="3" t="inlineStr">
        <is>
          <t>171 - 03 - 01 - 24</t>
        </is>
      </c>
      <c r="C683" s="3" t="inlineStr">
        <is>
          <t>TKIA 24 JATIKRAMAT</t>
        </is>
      </c>
      <c r="D683" s="3" t="inlineStr">
        <is>
          <t>I / 8 / PLAYGROUND INDOOR</t>
        </is>
      </c>
      <c r="E683" s="3" t="inlineStr">
        <is>
          <t>STEP 2</t>
        </is>
      </c>
      <c r="F683" s="3" t="inlineStr">
        <is>
          <t>STEP 2</t>
        </is>
      </c>
      <c r="G683" s="3" t="inlineStr">
        <is>
          <t>Plastik</t>
        </is>
      </c>
      <c r="H683" s="3" t="n"/>
      <c r="I683" s="3" t="inlineStr">
        <is>
          <t>1 Unit</t>
        </is>
      </c>
      <c r="J683" s="4" t="n"/>
      <c r="K683" s="3" t="n"/>
      <c r="L683" s="5" t="n"/>
      <c r="M683" s="5" t="n"/>
      <c r="N683" s="3" t="inlineStr">
        <is>
          <t>171 - 03 - 01 - 24</t>
        </is>
      </c>
      <c r="O683" s="3" t="n">
        <v>4</v>
      </c>
      <c r="P683" s="5" t="n"/>
      <c r="Q683" s="5" t="n"/>
      <c r="R683" s="3" t="inlineStr">
        <is>
          <t>Baik</t>
        </is>
      </c>
      <c r="S683" s="3" t="inlineStr">
        <is>
          <t>Aktif</t>
        </is>
      </c>
      <c r="T683" s="3" t="n"/>
      <c r="U683" s="3" t="inlineStr">
        <is>
          <t>ASSET TKIA-24 2025(1).xlsx | ASET TKIA (3)</t>
        </is>
      </c>
    </row>
    <row r="684">
      <c r="A684" s="3" t="n">
        <v>681</v>
      </c>
      <c r="B684" s="3" t="inlineStr">
        <is>
          <t>171 - 03 - 01 - 24</t>
        </is>
      </c>
      <c r="C684" s="3" t="inlineStr">
        <is>
          <t>TKIA 24 JATIKRAMAT</t>
        </is>
      </c>
      <c r="D684" s="3" t="inlineStr">
        <is>
          <t>I / 8 / PLAYGROUND INDOOR</t>
        </is>
      </c>
      <c r="E684" s="3" t="inlineStr">
        <is>
          <t>Little Teq</t>
        </is>
      </c>
      <c r="F684" s="3" t="inlineStr">
        <is>
          <t>Little Teq</t>
        </is>
      </c>
      <c r="G684" s="3" t="inlineStr">
        <is>
          <t>Plastik</t>
        </is>
      </c>
      <c r="H684" s="3" t="n"/>
      <c r="I684" s="3" t="inlineStr">
        <is>
          <t>2 Unit</t>
        </is>
      </c>
      <c r="J684" s="4" t="n"/>
      <c r="K684" s="3" t="n"/>
      <c r="L684" s="5" t="n"/>
      <c r="M684" s="5" t="n"/>
      <c r="N684" s="3" t="inlineStr">
        <is>
          <t>171 - 03 - 01 - 24</t>
        </is>
      </c>
      <c r="O684" s="3" t="n">
        <v>4</v>
      </c>
      <c r="P684" s="5" t="n"/>
      <c r="Q684" s="5" t="n"/>
      <c r="R684" s="3" t="inlineStr">
        <is>
          <t>Baik</t>
        </is>
      </c>
      <c r="S684" s="3" t="inlineStr">
        <is>
          <t>Aktif</t>
        </is>
      </c>
      <c r="T684" s="3" t="n"/>
      <c r="U684" s="3" t="inlineStr">
        <is>
          <t>ASSET TKIA-24 2025(1).xlsx | ASET TKIA (3)</t>
        </is>
      </c>
    </row>
    <row r="685">
      <c r="A685" s="3" t="n">
        <v>682</v>
      </c>
      <c r="B685" s="3" t="inlineStr">
        <is>
          <t>171 - 03 - 01 - 24</t>
        </is>
      </c>
      <c r="C685" s="3" t="inlineStr">
        <is>
          <t>TKIA 24 JATIKRAMAT</t>
        </is>
      </c>
      <c r="D685" s="3" t="inlineStr">
        <is>
          <t>I / 8 / PLAYGROUND INDOOR</t>
        </is>
      </c>
      <c r="E685" s="3" t="inlineStr">
        <is>
          <t>Ching-ching</t>
        </is>
      </c>
      <c r="F685" s="3" t="inlineStr">
        <is>
          <t>Ching-ching</t>
        </is>
      </c>
      <c r="G685" s="3" t="inlineStr">
        <is>
          <t>Plastik</t>
        </is>
      </c>
      <c r="H685" s="3" t="n"/>
      <c r="I685" s="3" t="inlineStr">
        <is>
          <t>1 Unit</t>
        </is>
      </c>
      <c r="J685" s="4" t="n"/>
      <c r="K685" s="3" t="n"/>
      <c r="L685" s="5" t="n"/>
      <c r="M685" s="5" t="n"/>
      <c r="N685" s="3" t="inlineStr">
        <is>
          <t>171 - 03 - 01 - 24</t>
        </is>
      </c>
      <c r="O685" s="3" t="n">
        <v>4</v>
      </c>
      <c r="P685" s="5" t="n"/>
      <c r="Q685" s="5" t="n"/>
      <c r="R685" s="3" t="inlineStr">
        <is>
          <t>Baik</t>
        </is>
      </c>
      <c r="S685" s="3" t="inlineStr">
        <is>
          <t>Aktif</t>
        </is>
      </c>
      <c r="T685" s="3" t="n"/>
      <c r="U685" s="3" t="inlineStr">
        <is>
          <t>ASSET TKIA-24 2025(1).xlsx | ASET TKIA (3)</t>
        </is>
      </c>
    </row>
    <row r="686">
      <c r="A686" s="3" t="n">
        <v>683</v>
      </c>
      <c r="B686" s="3" t="inlineStr">
        <is>
          <t>171 - 03 - 01 - 24</t>
        </is>
      </c>
      <c r="C686" s="3" t="inlineStr">
        <is>
          <t>TKIA 24 JATIKRAMAT</t>
        </is>
      </c>
      <c r="D686" s="3" t="inlineStr">
        <is>
          <t>I / 8 / PLAYGROUND INDOOR</t>
        </is>
      </c>
      <c r="E686" s="3" t="inlineStr">
        <is>
          <t>Labeille</t>
        </is>
      </c>
      <c r="F686" s="3" t="inlineStr">
        <is>
          <t>Labeille</t>
        </is>
      </c>
      <c r="G686" s="3" t="inlineStr">
        <is>
          <t>Plastik</t>
        </is>
      </c>
      <c r="H686" s="3" t="n"/>
      <c r="I686" s="3" t="inlineStr">
        <is>
          <t>1 Unit</t>
        </is>
      </c>
      <c r="J686" s="4" t="n"/>
      <c r="K686" s="3" t="n"/>
      <c r="L686" s="5" t="n"/>
      <c r="M686" s="5" t="n"/>
      <c r="N686" s="3" t="inlineStr">
        <is>
          <t>171 - 03 - 01 - 24</t>
        </is>
      </c>
      <c r="O686" s="3" t="n">
        <v>4</v>
      </c>
      <c r="P686" s="5" t="n"/>
      <c r="Q686" s="5" t="n"/>
      <c r="R686" s="3" t="inlineStr">
        <is>
          <t>Baik</t>
        </is>
      </c>
      <c r="S686" s="3" t="inlineStr">
        <is>
          <t>Aktif</t>
        </is>
      </c>
      <c r="T686" s="3" t="n"/>
      <c r="U686" s="3" t="inlineStr">
        <is>
          <t>ASSET TKIA-24 2025(1).xlsx | ASET TKIA (3)</t>
        </is>
      </c>
    </row>
    <row r="687">
      <c r="A687" s="3" t="n">
        <v>684</v>
      </c>
      <c r="B687" s="3" t="inlineStr">
        <is>
          <t>171 - 03 - 01 - 24</t>
        </is>
      </c>
      <c r="C687" s="3" t="inlineStr">
        <is>
          <t>TKIA 24 JATIKRAMAT</t>
        </is>
      </c>
      <c r="D687" s="3" t="inlineStr">
        <is>
          <t>I / 8 / PLAYGROUND INDOOR</t>
        </is>
      </c>
      <c r="E687" s="3" t="inlineStr">
        <is>
          <t>Trambolin</t>
        </is>
      </c>
      <c r="F687" s="3" t="inlineStr">
        <is>
          <t>Trambolin</t>
        </is>
      </c>
      <c r="G687" s="3" t="inlineStr">
        <is>
          <t>Plastik</t>
        </is>
      </c>
      <c r="H687" s="3" t="n"/>
      <c r="I687" s="3" t="inlineStr">
        <is>
          <t>1 Unit</t>
        </is>
      </c>
      <c r="J687" s="4" t="n"/>
      <c r="K687" s="3" t="n"/>
      <c r="L687" s="5" t="n"/>
      <c r="M687" s="5" t="n"/>
      <c r="N687" s="3" t="inlineStr">
        <is>
          <t>171 - 03 - 01 - 24</t>
        </is>
      </c>
      <c r="O687" s="3" t="n">
        <v>4</v>
      </c>
      <c r="P687" s="5" t="n"/>
      <c r="Q687" s="5" t="n"/>
      <c r="R687" s="3" t="inlineStr">
        <is>
          <t>Baik</t>
        </is>
      </c>
      <c r="S687" s="3" t="inlineStr">
        <is>
          <t>Aktif</t>
        </is>
      </c>
      <c r="T687" s="3" t="n"/>
      <c r="U687" s="3" t="inlineStr">
        <is>
          <t>ASSET TKIA-24 2025(1).xlsx | ASET TKIA (3)</t>
        </is>
      </c>
    </row>
    <row r="688">
      <c r="A688" s="3" t="n">
        <v>685</v>
      </c>
      <c r="B688" s="3" t="inlineStr">
        <is>
          <t>171 - 03 - 01 - 24</t>
        </is>
      </c>
      <c r="C688" s="3" t="inlineStr">
        <is>
          <t>TKIA 24 JATIKRAMAT</t>
        </is>
      </c>
      <c r="D688" s="3" t="inlineStr">
        <is>
          <t>I / 8 / PLAYGROUND INDOOR</t>
        </is>
      </c>
      <c r="E688" s="3" t="inlineStr">
        <is>
          <t>Tangga kayu</t>
        </is>
      </c>
      <c r="F688" s="3" t="inlineStr">
        <is>
          <t>Tangga kayu</t>
        </is>
      </c>
      <c r="G688" s="3" t="inlineStr">
        <is>
          <t>Kayu</t>
        </is>
      </c>
      <c r="H688" s="3" t="inlineStr">
        <is>
          <t>3 injakan</t>
        </is>
      </c>
      <c r="I688" s="3" t="inlineStr">
        <is>
          <t>1 Unit</t>
        </is>
      </c>
      <c r="J688" s="4" t="n"/>
      <c r="K688" s="3" t="n"/>
      <c r="L688" s="5" t="n"/>
      <c r="M688" s="5" t="n"/>
      <c r="N688" s="3" t="inlineStr">
        <is>
          <t>171 - 03 - 01 - 24</t>
        </is>
      </c>
      <c r="O688" s="3" t="n">
        <v>4</v>
      </c>
      <c r="P688" s="5" t="n"/>
      <c r="Q688" s="5" t="n"/>
      <c r="R688" s="3" t="inlineStr">
        <is>
          <t>Baik</t>
        </is>
      </c>
      <c r="S688" s="3" t="inlineStr">
        <is>
          <t>Aktif</t>
        </is>
      </c>
      <c r="T688" s="3" t="n"/>
      <c r="U688" s="3" t="inlineStr">
        <is>
          <t>ASSET TKIA-24 2025(1).xlsx | ASET TKIA (3)</t>
        </is>
      </c>
    </row>
    <row r="689">
      <c r="A689" s="3" t="n">
        <v>686</v>
      </c>
      <c r="B689" s="3" t="inlineStr">
        <is>
          <t>171 - 03 - 01 - 24</t>
        </is>
      </c>
      <c r="C689" s="3" t="inlineStr">
        <is>
          <t>TKIA 24 JATIKRAMAT</t>
        </is>
      </c>
      <c r="D689" s="3" t="inlineStr">
        <is>
          <t>I / 8 / PLAYGROUND INDOOR</t>
        </is>
      </c>
      <c r="E689" s="3" t="inlineStr">
        <is>
          <t>Pagar pembatas</t>
        </is>
      </c>
      <c r="F689" s="3" t="inlineStr">
        <is>
          <t>Pagar pembatas</t>
        </is>
      </c>
      <c r="G689" s="3" t="inlineStr">
        <is>
          <t>Kayu</t>
        </is>
      </c>
      <c r="H689" s="3" t="n"/>
      <c r="I689" s="3" t="inlineStr">
        <is>
          <t>6 Unit</t>
        </is>
      </c>
      <c r="J689" s="4" t="n"/>
      <c r="K689" s="3" t="n"/>
      <c r="L689" s="5" t="n"/>
      <c r="M689" s="5" t="n"/>
      <c r="N689" s="3" t="inlineStr">
        <is>
          <t>171 - 03 - 01 - 24</t>
        </is>
      </c>
      <c r="O689" s="3" t="n">
        <v>4</v>
      </c>
      <c r="P689" s="5" t="n"/>
      <c r="Q689" s="5" t="n"/>
      <c r="R689" s="3" t="inlineStr">
        <is>
          <t>Baik</t>
        </is>
      </c>
      <c r="S689" s="3" t="inlineStr">
        <is>
          <t>Aktif</t>
        </is>
      </c>
      <c r="T689" s="3" t="n"/>
      <c r="U689" s="3" t="inlineStr">
        <is>
          <t>ASSET TKIA-24 2025(1).xlsx | ASET TKIA (3)</t>
        </is>
      </c>
    </row>
    <row r="690">
      <c r="A690" s="3" t="n">
        <v>687</v>
      </c>
      <c r="B690" s="3" t="inlineStr">
        <is>
          <t>171 - 03 - 01 - 24</t>
        </is>
      </c>
      <c r="C690" s="3" t="inlineStr">
        <is>
          <t>TKIA 24 JATIKRAMAT</t>
        </is>
      </c>
      <c r="D690" s="3" t="inlineStr">
        <is>
          <t>I / 8 / PLAYGROUND INDOOR</t>
        </is>
      </c>
      <c r="E690" s="3" t="inlineStr">
        <is>
          <t>Partisi pagar</t>
        </is>
      </c>
      <c r="F690" s="3" t="inlineStr">
        <is>
          <t>Partisi pagar</t>
        </is>
      </c>
      <c r="G690" s="3" t="inlineStr">
        <is>
          <t>Kayu</t>
        </is>
      </c>
      <c r="H690" s="3" t="inlineStr">
        <is>
          <t>120 x 300 cm</t>
        </is>
      </c>
      <c r="I690" s="3" t="inlineStr">
        <is>
          <t>4 Unit</t>
        </is>
      </c>
      <c r="J690" s="4" t="n"/>
      <c r="K690" s="3" t="n"/>
      <c r="L690" s="5" t="n"/>
      <c r="M690" s="5" t="n"/>
      <c r="N690" s="3" t="inlineStr">
        <is>
          <t>171 - 03 - 01 - 24</t>
        </is>
      </c>
      <c r="O690" s="3" t="n">
        <v>4</v>
      </c>
      <c r="P690" s="5" t="n"/>
      <c r="Q690" s="5" t="n"/>
      <c r="R690" s="3" t="inlineStr">
        <is>
          <t>Baik</t>
        </is>
      </c>
      <c r="S690" s="3" t="inlineStr">
        <is>
          <t>Aktif</t>
        </is>
      </c>
      <c r="T690" s="3" t="n"/>
      <c r="U690" s="3" t="inlineStr">
        <is>
          <t>ASSET TKIA-24 2025(1).xlsx | ASET TKIA (3)</t>
        </is>
      </c>
    </row>
    <row r="691">
      <c r="A691" s="3" t="n">
        <v>688</v>
      </c>
      <c r="B691" s="3" t="inlineStr">
        <is>
          <t>171 - 03 - 01 - 24</t>
        </is>
      </c>
      <c r="C691" s="3" t="inlineStr">
        <is>
          <t>TKIA 24 JATIKRAMAT</t>
        </is>
      </c>
      <c r="D691" s="3" t="inlineStr">
        <is>
          <t>I / 8 / PLAYGROUND INDOOR</t>
        </is>
      </c>
      <c r="E691" s="3" t="inlineStr">
        <is>
          <t>Mobil-mobilan</t>
        </is>
      </c>
      <c r="F691" s="3" t="inlineStr">
        <is>
          <t>Mobil-mobilan</t>
        </is>
      </c>
      <c r="G691" s="3" t="inlineStr">
        <is>
          <t>Plastik</t>
        </is>
      </c>
      <c r="H691" s="3" t="n"/>
      <c r="I691" s="3" t="inlineStr">
        <is>
          <t>2 Unit</t>
        </is>
      </c>
      <c r="J691" s="4" t="n"/>
      <c r="K691" s="3" t="n"/>
      <c r="L691" s="5" t="n"/>
      <c r="M691" s="5" t="n"/>
      <c r="N691" s="3" t="inlineStr">
        <is>
          <t>171 - 03 - 01 - 24</t>
        </is>
      </c>
      <c r="O691" s="3" t="n">
        <v>4</v>
      </c>
      <c r="P691" s="5" t="n"/>
      <c r="Q691" s="5" t="n"/>
      <c r="R691" s="3" t="inlineStr">
        <is>
          <t>Baik</t>
        </is>
      </c>
      <c r="S691" s="3" t="inlineStr">
        <is>
          <t>Aktif</t>
        </is>
      </c>
      <c r="T691" s="3" t="n"/>
      <c r="U691" s="3" t="inlineStr">
        <is>
          <t>ASSET TKIA-24 2025(1).xlsx | ASET TKIA (3)</t>
        </is>
      </c>
    </row>
    <row r="692">
      <c r="A692" s="3" t="n">
        <v>689</v>
      </c>
      <c r="B692" s="3" t="inlineStr">
        <is>
          <t>171 - 03 - 01 - 24</t>
        </is>
      </c>
      <c r="C692" s="3" t="inlineStr">
        <is>
          <t>TKIA 24 JATIKRAMAT</t>
        </is>
      </c>
      <c r="D692" s="3" t="inlineStr">
        <is>
          <t>I / 8 / PLAYGROUND INDOOR</t>
        </is>
      </c>
      <c r="E692" s="3" t="inlineStr">
        <is>
          <t>Scooter</t>
        </is>
      </c>
      <c r="F692" s="3" t="inlineStr">
        <is>
          <t>Scooter</t>
        </is>
      </c>
      <c r="G692" s="3" t="inlineStr">
        <is>
          <t>Plastik</t>
        </is>
      </c>
      <c r="H692" s="3" t="n"/>
      <c r="I692" s="3" t="inlineStr">
        <is>
          <t>2 Unit</t>
        </is>
      </c>
      <c r="J692" s="4" t="n"/>
      <c r="K692" s="3" t="n"/>
      <c r="L692" s="5" t="n"/>
      <c r="M692" s="5" t="n"/>
      <c r="N692" s="3" t="inlineStr">
        <is>
          <t>171 - 03 - 01 - 24</t>
        </is>
      </c>
      <c r="O692" s="3" t="n">
        <v>4</v>
      </c>
      <c r="P692" s="5" t="n"/>
      <c r="Q692" s="5" t="n"/>
      <c r="R692" s="3" t="inlineStr">
        <is>
          <t>Baik</t>
        </is>
      </c>
      <c r="S692" s="3" t="inlineStr">
        <is>
          <t>Aktif</t>
        </is>
      </c>
      <c r="T692" s="3" t="n"/>
      <c r="U692" s="3" t="inlineStr">
        <is>
          <t>ASSET TKIA-24 2025(1).xlsx | ASET TKIA (3)</t>
        </is>
      </c>
    </row>
    <row r="693">
      <c r="A693" s="3" t="n">
        <v>690</v>
      </c>
      <c r="B693" s="3" t="inlineStr">
        <is>
          <t>171 - 03 - 01 - 24</t>
        </is>
      </c>
      <c r="C693" s="3" t="inlineStr">
        <is>
          <t>TKIA 24 JATIKRAMAT</t>
        </is>
      </c>
      <c r="D693" s="3" t="inlineStr">
        <is>
          <t>I / 8 / PLAYGROUND INDOOR</t>
        </is>
      </c>
      <c r="E693" s="3" t="inlineStr">
        <is>
          <t>Sepeda roda tiga</t>
        </is>
      </c>
      <c r="F693" s="3" t="inlineStr">
        <is>
          <t>Sepeda roda tiga</t>
        </is>
      </c>
      <c r="G693" s="3" t="inlineStr">
        <is>
          <t>Plastik</t>
        </is>
      </c>
      <c r="H693" s="3" t="n"/>
      <c r="I693" s="3" t="inlineStr">
        <is>
          <t>1 Unit</t>
        </is>
      </c>
      <c r="J693" s="4" t="n"/>
      <c r="K693" s="3" t="n"/>
      <c r="L693" s="5" t="n"/>
      <c r="M693" s="5" t="n"/>
      <c r="N693" s="3" t="inlineStr">
        <is>
          <t>171 - 03 - 01 - 24</t>
        </is>
      </c>
      <c r="O693" s="3" t="n">
        <v>4</v>
      </c>
      <c r="P693" s="5" t="n"/>
      <c r="Q693" s="5" t="n"/>
      <c r="R693" s="3" t="inlineStr">
        <is>
          <t>Baik</t>
        </is>
      </c>
      <c r="S693" s="3" t="inlineStr">
        <is>
          <t>Aktif</t>
        </is>
      </c>
      <c r="T693" s="3" t="n"/>
      <c r="U693" s="3" t="inlineStr">
        <is>
          <t>ASSET TKIA-24 2025(1).xlsx | ASET TKIA (3)</t>
        </is>
      </c>
    </row>
    <row r="694">
      <c r="A694" s="3" t="n">
        <v>691</v>
      </c>
      <c r="B694" s="3" t="inlineStr">
        <is>
          <t>171 - 03 - 01 - 24</t>
        </is>
      </c>
      <c r="C694" s="3" t="inlineStr">
        <is>
          <t>TKIA 24 JATIKRAMAT</t>
        </is>
      </c>
      <c r="D694" s="3" t="inlineStr">
        <is>
          <t>I / 8 / PLAYGROUND INDOOR</t>
        </is>
      </c>
      <c r="E694" s="3" t="inlineStr">
        <is>
          <t>Mini balance bike</t>
        </is>
      </c>
      <c r="F694" s="3" t="inlineStr">
        <is>
          <t>Mini balance bike</t>
        </is>
      </c>
      <c r="G694" s="3" t="inlineStr">
        <is>
          <t>Plastik</t>
        </is>
      </c>
      <c r="H694" s="3" t="n"/>
      <c r="I694" s="3" t="inlineStr">
        <is>
          <t>1 Unit</t>
        </is>
      </c>
      <c r="J694" s="4" t="n"/>
      <c r="K694" s="3" t="n"/>
      <c r="L694" s="5" t="n"/>
      <c r="M694" s="5" t="n"/>
      <c r="N694" s="3" t="inlineStr">
        <is>
          <t>171 - 03 - 01 - 24</t>
        </is>
      </c>
      <c r="O694" s="3" t="n">
        <v>4</v>
      </c>
      <c r="P694" s="5" t="n"/>
      <c r="Q694" s="5" t="n"/>
      <c r="R694" s="3" t="inlineStr">
        <is>
          <t>Baik</t>
        </is>
      </c>
      <c r="S694" s="3" t="inlineStr">
        <is>
          <t>Aktif</t>
        </is>
      </c>
      <c r="T694" s="3" t="n"/>
      <c r="U694" s="3" t="inlineStr">
        <is>
          <t>ASSET TKIA-24 2025(1).xlsx | ASET TKIA (3)</t>
        </is>
      </c>
    </row>
    <row r="695">
      <c r="A695" s="3" t="n">
        <v>692</v>
      </c>
      <c r="B695" s="3" t="inlineStr">
        <is>
          <t>171 - 03 - 01 - 24</t>
        </is>
      </c>
      <c r="C695" s="3" t="inlineStr">
        <is>
          <t>TKIA 24 JATIKRAMAT</t>
        </is>
      </c>
      <c r="D695" s="3" t="inlineStr">
        <is>
          <t>I / 8 / PLAYGROUND INDOOR</t>
        </is>
      </c>
      <c r="E695" s="3" t="inlineStr">
        <is>
          <t>Ring basket</t>
        </is>
      </c>
      <c r="F695" s="3" t="inlineStr">
        <is>
          <t>Ring basket</t>
        </is>
      </c>
      <c r="G695" s="3" t="inlineStr">
        <is>
          <t>Plastik</t>
        </is>
      </c>
      <c r="H695" s="3" t="inlineStr">
        <is>
          <t>50 cm</t>
        </is>
      </c>
      <c r="I695" s="3" t="inlineStr">
        <is>
          <t>1 Unit</t>
        </is>
      </c>
      <c r="J695" s="4" t="n"/>
      <c r="K695" s="3" t="n"/>
      <c r="L695" s="5" t="n"/>
      <c r="M695" s="5" t="n"/>
      <c r="N695" s="3" t="inlineStr">
        <is>
          <t>171 - 03 - 01 - 24</t>
        </is>
      </c>
      <c r="O695" s="3" t="n">
        <v>4</v>
      </c>
      <c r="P695" s="5" t="n"/>
      <c r="Q695" s="5" t="n"/>
      <c r="R695" s="3" t="inlineStr">
        <is>
          <t>Baik</t>
        </is>
      </c>
      <c r="S695" s="3" t="inlineStr">
        <is>
          <t>Aktif</t>
        </is>
      </c>
      <c r="T695" s="3" t="n"/>
      <c r="U695" s="3" t="inlineStr">
        <is>
          <t>ASSET TKIA-24 2025(1).xlsx | ASET TKIA (3)</t>
        </is>
      </c>
    </row>
    <row r="696">
      <c r="A696" s="3" t="n">
        <v>693</v>
      </c>
      <c r="B696" s="3" t="inlineStr">
        <is>
          <t>171 - 03 - 01 - 24</t>
        </is>
      </c>
      <c r="C696" s="3" t="inlineStr">
        <is>
          <t>TKIA 24 JATIKRAMAT</t>
        </is>
      </c>
      <c r="D696" s="3" t="inlineStr">
        <is>
          <t>I / 8 / PLAYGROUND INDOOR</t>
        </is>
      </c>
      <c r="E696" s="3" t="inlineStr">
        <is>
          <t>Keranjang bola</t>
        </is>
      </c>
      <c r="F696" s="3" t="inlineStr">
        <is>
          <t>Keranjang bola</t>
        </is>
      </c>
      <c r="G696" s="3" t="inlineStr">
        <is>
          <t>Plastik</t>
        </is>
      </c>
      <c r="H696" s="3" t="inlineStr">
        <is>
          <t>100 x 40 cm</t>
        </is>
      </c>
      <c r="I696" s="3" t="inlineStr">
        <is>
          <t>1 Unit</t>
        </is>
      </c>
      <c r="J696" s="4" t="n"/>
      <c r="K696" s="3" t="n"/>
      <c r="L696" s="5" t="n"/>
      <c r="M696" s="5" t="n"/>
      <c r="N696" s="3" t="inlineStr">
        <is>
          <t>171 - 03 - 01 - 24</t>
        </is>
      </c>
      <c r="O696" s="3" t="n">
        <v>4</v>
      </c>
      <c r="P696" s="5" t="n"/>
      <c r="Q696" s="5" t="n"/>
      <c r="R696" s="3" t="inlineStr">
        <is>
          <t>Baik</t>
        </is>
      </c>
      <c r="S696" s="3" t="inlineStr">
        <is>
          <t>Aktif</t>
        </is>
      </c>
      <c r="T696" s="3" t="n"/>
      <c r="U696" s="3" t="inlineStr">
        <is>
          <t>ASSET TKIA-24 2025(1).xlsx | ASET TKIA (3)</t>
        </is>
      </c>
    </row>
    <row r="697">
      <c r="A697" s="3" t="n">
        <v>694</v>
      </c>
      <c r="B697" s="3" t="inlineStr">
        <is>
          <t>171 - 03 - 01 - 24</t>
        </is>
      </c>
      <c r="C697" s="3" t="inlineStr">
        <is>
          <t>TKIA 24 JATIKRAMAT</t>
        </is>
      </c>
      <c r="D697" s="3" t="inlineStr">
        <is>
          <t>I / 8 / PLAYGROUND INDOOR</t>
        </is>
      </c>
      <c r="E697" s="3" t="inlineStr">
        <is>
          <t>Rak sepatu</t>
        </is>
      </c>
      <c r="F697" s="3" t="inlineStr">
        <is>
          <t>Rak sepatu</t>
        </is>
      </c>
      <c r="G697" s="3" t="inlineStr">
        <is>
          <t>Kayu</t>
        </is>
      </c>
      <c r="H697" s="3" t="inlineStr">
        <is>
          <t>80 x 120 cm</t>
        </is>
      </c>
      <c r="I697" s="3" t="inlineStr">
        <is>
          <t>2 Unit</t>
        </is>
      </c>
      <c r="J697" s="4" t="n"/>
      <c r="K697" s="3" t="n"/>
      <c r="L697" s="5" t="n"/>
      <c r="M697" s="5" t="n"/>
      <c r="N697" s="3" t="inlineStr">
        <is>
          <t>171 - 03 - 01 - 24</t>
        </is>
      </c>
      <c r="O697" s="3" t="n">
        <v>4</v>
      </c>
      <c r="P697" s="5" t="n"/>
      <c r="Q697" s="5" t="n"/>
      <c r="R697" s="3" t="inlineStr">
        <is>
          <t>Baik</t>
        </is>
      </c>
      <c r="S697" s="3" t="inlineStr">
        <is>
          <t>Aktif</t>
        </is>
      </c>
      <c r="T697" s="3" t="n"/>
      <c r="U697" s="3" t="inlineStr">
        <is>
          <t>ASSET TKIA-24 2025(1).xlsx | ASET TKIA (3)</t>
        </is>
      </c>
    </row>
    <row r="698">
      <c r="A698" s="3" t="n">
        <v>695</v>
      </c>
      <c r="B698" s="3" t="inlineStr">
        <is>
          <t>171 - 03 - 01 - 24</t>
        </is>
      </c>
      <c r="C698" s="3" t="inlineStr">
        <is>
          <t>TKIA 24 JATIKRAMAT</t>
        </is>
      </c>
      <c r="D698" s="3" t="inlineStr">
        <is>
          <t>I / 8 / PLAYGROUND INDOOR</t>
        </is>
      </c>
      <c r="E698" s="3" t="inlineStr">
        <is>
          <t>Locker bekal anak</t>
        </is>
      </c>
      <c r="F698" s="3" t="inlineStr">
        <is>
          <t>Locker bekal anak</t>
        </is>
      </c>
      <c r="G698" s="3" t="inlineStr">
        <is>
          <t>Kayu</t>
        </is>
      </c>
      <c r="H698" s="3" t="inlineStr">
        <is>
          <t>200 x 120 cm</t>
        </is>
      </c>
      <c r="I698" s="3" t="inlineStr">
        <is>
          <t>1 Unit</t>
        </is>
      </c>
      <c r="J698" s="4" t="n"/>
      <c r="K698" s="3" t="n"/>
      <c r="L698" s="5" t="n"/>
      <c r="M698" s="5" t="n"/>
      <c r="N698" s="3" t="inlineStr">
        <is>
          <t>171 - 03 - 01 - 24</t>
        </is>
      </c>
      <c r="O698" s="3" t="n">
        <v>4</v>
      </c>
      <c r="P698" s="5" t="n"/>
      <c r="Q698" s="5" t="n"/>
      <c r="R698" s="3" t="inlineStr">
        <is>
          <t>Baik</t>
        </is>
      </c>
      <c r="S698" s="3" t="inlineStr">
        <is>
          <t>Aktif</t>
        </is>
      </c>
      <c r="T698" s="3" t="n"/>
      <c r="U698" s="3" t="inlineStr">
        <is>
          <t>ASSET TKIA-24 2025(1).xlsx | ASET TKIA (3)</t>
        </is>
      </c>
    </row>
    <row r="699">
      <c r="A699" s="3" t="n">
        <v>696</v>
      </c>
      <c r="B699" s="3" t="inlineStr">
        <is>
          <t>171 - 03 - 01 - 24</t>
        </is>
      </c>
      <c r="C699" s="3" t="inlineStr">
        <is>
          <t>TKIA 24 JATIKRAMAT</t>
        </is>
      </c>
      <c r="D699" s="3" t="inlineStr">
        <is>
          <t>I / 8 / PLAYGROUND INDOOR</t>
        </is>
      </c>
      <c r="E699" s="3" t="inlineStr">
        <is>
          <t>Tiang bendera</t>
        </is>
      </c>
      <c r="F699" s="3" t="inlineStr">
        <is>
          <t>Tiang bendera</t>
        </is>
      </c>
      <c r="G699" s="3" t="inlineStr">
        <is>
          <t>Kayu</t>
        </is>
      </c>
      <c r="H699" s="3" t="inlineStr">
        <is>
          <t>150 cm</t>
        </is>
      </c>
      <c r="I699" s="3" t="inlineStr">
        <is>
          <t>1 Unit</t>
        </is>
      </c>
      <c r="J699" s="4" t="n"/>
      <c r="K699" s="3" t="n"/>
      <c r="L699" s="5" t="n"/>
      <c r="M699" s="5" t="n"/>
      <c r="N699" s="3" t="inlineStr">
        <is>
          <t>171 - 03 - 01 - 24</t>
        </is>
      </c>
      <c r="O699" s="3" t="n">
        <v>4</v>
      </c>
      <c r="P699" s="5" t="n"/>
      <c r="Q699" s="5" t="n"/>
      <c r="R699" s="3" t="inlineStr">
        <is>
          <t>Baik</t>
        </is>
      </c>
      <c r="S699" s="3" t="inlineStr">
        <is>
          <t>Aktif</t>
        </is>
      </c>
      <c r="T699" s="3" t="n"/>
      <c r="U699" s="3" t="inlineStr">
        <is>
          <t>ASSET TKIA-24 2025(1).xlsx | ASET TKIA (3)</t>
        </is>
      </c>
    </row>
    <row r="700">
      <c r="A700" s="3" t="n">
        <v>697</v>
      </c>
      <c r="B700" s="3" t="inlineStr">
        <is>
          <t>171 - 03 - 01 - 24</t>
        </is>
      </c>
      <c r="C700" s="3" t="inlineStr">
        <is>
          <t>TKIA 24 JATIKRAMAT</t>
        </is>
      </c>
      <c r="D700" s="3" t="inlineStr">
        <is>
          <t>I / 8 / PLAYGROUND INDOOR</t>
        </is>
      </c>
      <c r="E700" s="3" t="inlineStr">
        <is>
          <t>Mesin pompa air</t>
        </is>
      </c>
      <c r="F700" s="3" t="inlineStr">
        <is>
          <t>Mesin pompa air</t>
        </is>
      </c>
      <c r="G700" s="3" t="inlineStr">
        <is>
          <t>Besi</t>
        </is>
      </c>
      <c r="H700" s="3" t="n"/>
      <c r="I700" s="3" t="inlineStr">
        <is>
          <t>1 Unit</t>
        </is>
      </c>
      <c r="J700" s="4" t="n"/>
      <c r="K700" s="3" t="n"/>
      <c r="L700" s="5" t="n"/>
      <c r="M700" s="5" t="n"/>
      <c r="N700" s="3" t="inlineStr">
        <is>
          <t>171 - 03 - 01 - 24</t>
        </is>
      </c>
      <c r="O700" s="3" t="n">
        <v>4</v>
      </c>
      <c r="P700" s="5" t="n"/>
      <c r="Q700" s="5" t="n"/>
      <c r="R700" s="3" t="inlineStr">
        <is>
          <t>Baik</t>
        </is>
      </c>
      <c r="S700" s="3" t="inlineStr">
        <is>
          <t>Aktif</t>
        </is>
      </c>
      <c r="T700" s="3" t="n"/>
      <c r="U700" s="3" t="inlineStr">
        <is>
          <t>ASSET TKIA-24 2025(1).xlsx | ASET TKIA (3)</t>
        </is>
      </c>
    </row>
    <row r="701">
      <c r="A701" s="3" t="n">
        <v>698</v>
      </c>
      <c r="B701" s="3" t="inlineStr">
        <is>
          <t>171 - 03 - 01 - 24</t>
        </is>
      </c>
      <c r="C701" s="3" t="inlineStr">
        <is>
          <t>TKIA 24 JATIKRAMAT</t>
        </is>
      </c>
      <c r="D701" s="3" t="inlineStr">
        <is>
          <t>I / 8 / PLAYGROUND INDOOR</t>
        </is>
      </c>
      <c r="E701" s="3" t="inlineStr">
        <is>
          <t>Rumput sintetis</t>
        </is>
      </c>
      <c r="F701" s="3" t="inlineStr">
        <is>
          <t>Rumput sintetis</t>
        </is>
      </c>
      <c r="G701" s="3" t="inlineStr">
        <is>
          <t>Plastik</t>
        </is>
      </c>
      <c r="H701" s="3" t="inlineStr">
        <is>
          <t>650 x 650 cm</t>
        </is>
      </c>
      <c r="I701" s="3" t="inlineStr">
        <is>
          <t>1 Unit</t>
        </is>
      </c>
      <c r="J701" s="4" t="n"/>
      <c r="K701" s="3" t="n"/>
      <c r="L701" s="5" t="n"/>
      <c r="M701" s="5" t="n"/>
      <c r="N701" s="3" t="inlineStr">
        <is>
          <t>171 - 03 - 01 - 24</t>
        </is>
      </c>
      <c r="O701" s="3" t="n">
        <v>4</v>
      </c>
      <c r="P701" s="5" t="n"/>
      <c r="Q701" s="5" t="n"/>
      <c r="R701" s="3" t="inlineStr">
        <is>
          <t>Baik</t>
        </is>
      </c>
      <c r="S701" s="3" t="inlineStr">
        <is>
          <t>Aktif</t>
        </is>
      </c>
      <c r="T701" s="3" t="n"/>
      <c r="U701" s="3" t="inlineStr">
        <is>
          <t>ASSET TKIA-24 2025(1).xlsx | ASET TKIA (3)</t>
        </is>
      </c>
    </row>
    <row r="702">
      <c r="A702" s="3" t="n">
        <v>699</v>
      </c>
      <c r="B702" s="3" t="inlineStr">
        <is>
          <t>171 - 03 - 01 - 24</t>
        </is>
      </c>
      <c r="C702" s="3" t="inlineStr">
        <is>
          <t>TKIA 24 JATIKRAMAT</t>
        </is>
      </c>
      <c r="D702" s="3" t="inlineStr">
        <is>
          <t>I / 8 / PLAYGROUND INDOOR</t>
        </is>
      </c>
      <c r="E702" s="3" t="inlineStr">
        <is>
          <t>Tempat simpan bola</t>
        </is>
      </c>
      <c r="F702" s="3" t="inlineStr">
        <is>
          <t>Tempat simpan bola</t>
        </is>
      </c>
      <c r="G702" s="3" t="inlineStr">
        <is>
          <t>Besi</t>
        </is>
      </c>
      <c r="H702" s="3" t="inlineStr">
        <is>
          <t>100 x 100 x 100 cm</t>
        </is>
      </c>
      <c r="I702" s="3" t="inlineStr">
        <is>
          <t>1 Unit</t>
        </is>
      </c>
      <c r="J702" s="4" t="n"/>
      <c r="K702" s="3" t="n"/>
      <c r="L702" s="5" t="n"/>
      <c r="M702" s="5" t="n"/>
      <c r="N702" s="3" t="inlineStr">
        <is>
          <t>171 - 03 - 01 - 24</t>
        </is>
      </c>
      <c r="O702" s="3" t="n">
        <v>4</v>
      </c>
      <c r="P702" s="5" t="n"/>
      <c r="Q702" s="5" t="n"/>
      <c r="R702" s="3" t="inlineStr">
        <is>
          <t>Baik</t>
        </is>
      </c>
      <c r="S702" s="3" t="inlineStr">
        <is>
          <t>Aktif</t>
        </is>
      </c>
      <c r="T702" s="3" t="n"/>
      <c r="U702" s="3" t="inlineStr">
        <is>
          <t>ASSET TKIA-24 2025(1).xlsx | ASET TKIA (3)</t>
        </is>
      </c>
    </row>
    <row r="703">
      <c r="A703" s="3" t="n">
        <v>700</v>
      </c>
      <c r="B703" s="3" t="inlineStr">
        <is>
          <t>171 - 03 - 01 - 24</t>
        </is>
      </c>
      <c r="C703" s="3" t="inlineStr">
        <is>
          <t>TKIA 24 JATIKRAMAT</t>
        </is>
      </c>
      <c r="D703" s="3" t="inlineStr">
        <is>
          <t>I / 9/ GEDUNG EKSKUL - BELAKANG</t>
        </is>
      </c>
      <c r="E703" s="3" t="inlineStr">
        <is>
          <t>Drum Gendong</t>
        </is>
      </c>
      <c r="F703" s="3" t="inlineStr">
        <is>
          <t>Drum Gendong</t>
        </is>
      </c>
      <c r="G703" s="3" t="inlineStr">
        <is>
          <t>Besi/Kulit</t>
        </is>
      </c>
      <c r="H703" s="3" t="inlineStr">
        <is>
          <t>Diameter 50 Cm</t>
        </is>
      </c>
      <c r="I703" s="3" t="inlineStr">
        <is>
          <t>6 Unit</t>
        </is>
      </c>
      <c r="J703" s="4" t="n"/>
      <c r="K703" s="3" t="n"/>
      <c r="L703" s="5" t="n"/>
      <c r="M703" s="5" t="n"/>
      <c r="N703" s="3" t="inlineStr">
        <is>
          <t>171 - 03 - 01 - 24</t>
        </is>
      </c>
      <c r="O703" s="3" t="n">
        <v>4</v>
      </c>
      <c r="P703" s="5" t="n"/>
      <c r="Q703" s="5" t="n"/>
      <c r="R703" s="3" t="inlineStr">
        <is>
          <t>Baik</t>
        </is>
      </c>
      <c r="S703" s="3" t="inlineStr">
        <is>
          <t>Aktif</t>
        </is>
      </c>
      <c r="T703" s="3" t="n"/>
      <c r="U703" s="3" t="inlineStr">
        <is>
          <t>ASSET TKIA-24 2025(1).xlsx | ASET TKIA (3)</t>
        </is>
      </c>
    </row>
    <row r="704">
      <c r="A704" s="3" t="n">
        <v>701</v>
      </c>
      <c r="B704" s="3" t="inlineStr">
        <is>
          <t>171 - 03 - 01 - 24</t>
        </is>
      </c>
      <c r="C704" s="3" t="inlineStr">
        <is>
          <t>TKIA 24 JATIKRAMAT</t>
        </is>
      </c>
      <c r="D704" s="3" t="inlineStr">
        <is>
          <t>I / 9/ GEDUNG EKSKUL - BELAKANG</t>
        </is>
      </c>
      <c r="E704" s="3" t="inlineStr">
        <is>
          <t>Simbal</t>
        </is>
      </c>
      <c r="F704" s="3" t="inlineStr">
        <is>
          <t>Simbal</t>
        </is>
      </c>
      <c r="G704" s="3" t="n"/>
      <c r="H704" s="3" t="n"/>
      <c r="I704" s="3" t="inlineStr">
        <is>
          <t>2 Unit</t>
        </is>
      </c>
      <c r="J704" s="4" t="n"/>
      <c r="K704" s="3" t="n"/>
      <c r="L704" s="5" t="n"/>
      <c r="M704" s="5" t="n"/>
      <c r="N704" s="3" t="inlineStr">
        <is>
          <t>171 - 03 - 01 - 24</t>
        </is>
      </c>
      <c r="O704" s="3" t="n">
        <v>4</v>
      </c>
      <c r="P704" s="5" t="n"/>
      <c r="Q704" s="5" t="n"/>
      <c r="R704" s="3" t="inlineStr">
        <is>
          <t>Baik</t>
        </is>
      </c>
      <c r="S704" s="3" t="inlineStr">
        <is>
          <t>Aktif</t>
        </is>
      </c>
      <c r="T704" s="3" t="n"/>
      <c r="U704" s="3" t="inlineStr">
        <is>
          <t>ASSET TKIA-24 2025(1).xlsx | ASET TKIA (3)</t>
        </is>
      </c>
    </row>
    <row r="705">
      <c r="A705" s="3" t="n">
        <v>702</v>
      </c>
      <c r="B705" s="3" t="inlineStr">
        <is>
          <t>171 - 03 - 01 - 24</t>
        </is>
      </c>
      <c r="C705" s="3" t="inlineStr">
        <is>
          <t>TKIA 24 JATIKRAMAT</t>
        </is>
      </c>
      <c r="D705" s="3" t="inlineStr">
        <is>
          <t>I / 9/ GEDUNG EKSKUL - BELAKANG</t>
        </is>
      </c>
      <c r="E705" s="3" t="inlineStr">
        <is>
          <t>Quadtom</t>
        </is>
      </c>
      <c r="F705" s="3" t="inlineStr">
        <is>
          <t>Quadtom</t>
        </is>
      </c>
      <c r="G705" s="3" t="n"/>
      <c r="H705" s="3" t="n"/>
      <c r="I705" s="3" t="inlineStr">
        <is>
          <t>3 Unit</t>
        </is>
      </c>
      <c r="J705" s="4" t="n"/>
      <c r="K705" s="3" t="n"/>
      <c r="L705" s="5" t="n"/>
      <c r="M705" s="5" t="n"/>
      <c r="N705" s="3" t="inlineStr">
        <is>
          <t>171 - 03 - 01 - 24</t>
        </is>
      </c>
      <c r="O705" s="3" t="n">
        <v>4</v>
      </c>
      <c r="P705" s="5" t="n"/>
      <c r="Q705" s="5" t="n"/>
      <c r="R705" s="3" t="inlineStr">
        <is>
          <t>Baik</t>
        </is>
      </c>
      <c r="S705" s="3" t="inlineStr">
        <is>
          <t>Aktif</t>
        </is>
      </c>
      <c r="T705" s="3" t="n"/>
      <c r="U705" s="3" t="inlineStr">
        <is>
          <t>ASSET TKIA-24 2025(1).xlsx | ASET TKIA (3)</t>
        </is>
      </c>
    </row>
    <row r="706">
      <c r="A706" s="3" t="n">
        <v>703</v>
      </c>
      <c r="B706" s="3" t="inlineStr">
        <is>
          <t>171 - 03 - 01 - 24</t>
        </is>
      </c>
      <c r="C706" s="3" t="inlineStr">
        <is>
          <t>TKIA 24 JATIKRAMAT</t>
        </is>
      </c>
      <c r="D706" s="3" t="inlineStr">
        <is>
          <t>I / 9/ GEDUNG EKSKUL - BELAKANG</t>
        </is>
      </c>
      <c r="E706" s="3" t="inlineStr">
        <is>
          <t>Metalopone</t>
        </is>
      </c>
      <c r="F706" s="3" t="inlineStr">
        <is>
          <t>Metalopone</t>
        </is>
      </c>
      <c r="G706" s="3" t="n"/>
      <c r="H706" s="3" t="n"/>
      <c r="I706" s="3" t="inlineStr">
        <is>
          <t>1 Unit</t>
        </is>
      </c>
      <c r="J706" s="4" t="n"/>
      <c r="K706" s="3" t="n"/>
      <c r="L706" s="5" t="n"/>
      <c r="M706" s="5" t="n"/>
      <c r="N706" s="3" t="inlineStr">
        <is>
          <t>171 - 03 - 01 - 24</t>
        </is>
      </c>
      <c r="O706" s="3" t="n">
        <v>4</v>
      </c>
      <c r="P706" s="5" t="n"/>
      <c r="Q706" s="5" t="n"/>
      <c r="R706" s="3" t="inlineStr">
        <is>
          <t>Baik</t>
        </is>
      </c>
      <c r="S706" s="3" t="inlineStr">
        <is>
          <t>Aktif</t>
        </is>
      </c>
      <c r="T706" s="3" t="n"/>
      <c r="U706" s="3" t="inlineStr">
        <is>
          <t>ASSET TKIA-24 2025(1).xlsx | ASET TKIA (3)</t>
        </is>
      </c>
    </row>
    <row r="707">
      <c r="A707" s="3" t="n">
        <v>704</v>
      </c>
      <c r="B707" s="3" t="inlineStr">
        <is>
          <t>171 - 03 - 01 - 24</t>
        </is>
      </c>
      <c r="C707" s="3" t="inlineStr">
        <is>
          <t>TKIA 24 JATIKRAMAT</t>
        </is>
      </c>
      <c r="D707" s="3" t="inlineStr">
        <is>
          <t>I / 9/ GEDUNG EKSKUL - BELAKANG</t>
        </is>
      </c>
      <c r="E707" s="3" t="inlineStr">
        <is>
          <t>Snar</t>
        </is>
      </c>
      <c r="F707" s="3" t="inlineStr">
        <is>
          <t>Snar</t>
        </is>
      </c>
      <c r="G707" s="3" t="n"/>
      <c r="H707" s="3" t="n"/>
      <c r="I707" s="3" t="inlineStr">
        <is>
          <t>19 Unit</t>
        </is>
      </c>
      <c r="J707" s="4" t="n"/>
      <c r="K707" s="3" t="n"/>
      <c r="L707" s="5" t="n"/>
      <c r="M707" s="5" t="n"/>
      <c r="N707" s="3" t="inlineStr">
        <is>
          <t>171 - 03 - 01 - 24</t>
        </is>
      </c>
      <c r="O707" s="3" t="n">
        <v>4</v>
      </c>
      <c r="P707" s="5" t="n"/>
      <c r="Q707" s="5" t="n"/>
      <c r="R707" s="3" t="inlineStr">
        <is>
          <t>Baik</t>
        </is>
      </c>
      <c r="S707" s="3" t="inlineStr">
        <is>
          <t>Aktif</t>
        </is>
      </c>
      <c r="T707" s="3" t="n"/>
      <c r="U707" s="3" t="inlineStr">
        <is>
          <t>ASSET TKIA-24 2025(1).xlsx | ASET TKIA (3)</t>
        </is>
      </c>
    </row>
    <row r="708">
      <c r="A708" s="3" t="n">
        <v>705</v>
      </c>
      <c r="B708" s="3" t="inlineStr">
        <is>
          <t>171 - 03 - 01 - 24</t>
        </is>
      </c>
      <c r="C708" s="3" t="inlineStr">
        <is>
          <t>TKIA 24 JATIKRAMAT</t>
        </is>
      </c>
      <c r="D708" s="3" t="inlineStr">
        <is>
          <t>I / 9/ GEDUNG EKSKUL - BELAKANG</t>
        </is>
      </c>
      <c r="E708" s="3" t="inlineStr">
        <is>
          <t>Bas Drum</t>
        </is>
      </c>
      <c r="F708" s="3" t="inlineStr">
        <is>
          <t>Bas Drum</t>
        </is>
      </c>
      <c r="G708" s="3" t="n"/>
      <c r="H708" s="3" t="n"/>
      <c r="I708" s="3" t="inlineStr">
        <is>
          <t>5 Unit</t>
        </is>
      </c>
      <c r="J708" s="4" t="n"/>
      <c r="K708" s="3" t="n"/>
      <c r="L708" s="5" t="n"/>
      <c r="M708" s="5" t="n"/>
      <c r="N708" s="3" t="inlineStr">
        <is>
          <t>171 - 03 - 01 - 24</t>
        </is>
      </c>
      <c r="O708" s="3" t="n">
        <v>4</v>
      </c>
      <c r="P708" s="5" t="n"/>
      <c r="Q708" s="5" t="n"/>
      <c r="R708" s="3" t="inlineStr">
        <is>
          <t>Baik</t>
        </is>
      </c>
      <c r="S708" s="3" t="inlineStr">
        <is>
          <t>Aktif</t>
        </is>
      </c>
      <c r="T708" s="3" t="n"/>
      <c r="U708" s="3" t="inlineStr">
        <is>
          <t>ASSET TKIA-24 2025(1).xlsx | ASET TKIA (3)</t>
        </is>
      </c>
    </row>
    <row r="709">
      <c r="A709" s="3" t="n">
        <v>706</v>
      </c>
      <c r="B709" s="3" t="inlineStr">
        <is>
          <t>171 - 03 - 01 - 24</t>
        </is>
      </c>
      <c r="C709" s="3" t="inlineStr">
        <is>
          <t>TKIA 24 JATIKRAMAT</t>
        </is>
      </c>
      <c r="D709" s="3" t="inlineStr">
        <is>
          <t>I / 9/ GEDUNG EKSKUL - BELAKANG</t>
        </is>
      </c>
      <c r="E709" s="3" t="inlineStr">
        <is>
          <t>Anglung</t>
        </is>
      </c>
      <c r="F709" s="3" t="inlineStr">
        <is>
          <t>Anglung</t>
        </is>
      </c>
      <c r="G709" s="3" t="n"/>
      <c r="H709" s="3" t="n"/>
      <c r="I709" s="3" t="inlineStr">
        <is>
          <t>3 Unit</t>
        </is>
      </c>
      <c r="J709" s="4" t="n"/>
      <c r="K709" s="3" t="n"/>
      <c r="L709" s="5" t="n"/>
      <c r="M709" s="5" t="n"/>
      <c r="N709" s="3" t="inlineStr">
        <is>
          <t>171 - 03 - 01 - 24</t>
        </is>
      </c>
      <c r="O709" s="3" t="n">
        <v>4</v>
      </c>
      <c r="P709" s="5" t="n"/>
      <c r="Q709" s="5" t="n"/>
      <c r="R709" s="3" t="inlineStr">
        <is>
          <t>Baik</t>
        </is>
      </c>
      <c r="S709" s="3" t="inlineStr">
        <is>
          <t>Aktif</t>
        </is>
      </c>
      <c r="T709" s="3" t="n"/>
      <c r="U709" s="3" t="inlineStr">
        <is>
          <t>ASSET TKIA-24 2025(1).xlsx | ASET TKIA (3)</t>
        </is>
      </c>
    </row>
    <row r="710">
      <c r="A710" s="3" t="n">
        <v>707</v>
      </c>
      <c r="B710" s="3" t="inlineStr">
        <is>
          <t>171 - 03 - 01 - 24</t>
        </is>
      </c>
      <c r="C710" s="3" t="inlineStr">
        <is>
          <t>TKIA 24 JATIKRAMAT</t>
        </is>
      </c>
      <c r="D710" s="3" t="inlineStr">
        <is>
          <t>I / 9/ GEDUNG EKSKUL - BELAKANG</t>
        </is>
      </c>
      <c r="E710" s="3" t="inlineStr">
        <is>
          <t>Bangku Platik</t>
        </is>
      </c>
      <c r="F710" s="3" t="inlineStr">
        <is>
          <t>Bangku Platik</t>
        </is>
      </c>
      <c r="G710" s="3" t="n"/>
      <c r="H710" s="3" t="n"/>
      <c r="I710" s="3" t="inlineStr">
        <is>
          <t>4 Unit</t>
        </is>
      </c>
      <c r="J710" s="4" t="n"/>
      <c r="K710" s="3" t="n"/>
      <c r="L710" s="5" t="n"/>
      <c r="M710" s="5" t="n"/>
      <c r="N710" s="3" t="inlineStr">
        <is>
          <t>171 - 03 - 01 - 24</t>
        </is>
      </c>
      <c r="O710" s="3" t="n">
        <v>4</v>
      </c>
      <c r="P710" s="5" t="n"/>
      <c r="Q710" s="5" t="n"/>
      <c r="R710" s="3" t="inlineStr">
        <is>
          <t>Baik</t>
        </is>
      </c>
      <c r="S710" s="3" t="inlineStr">
        <is>
          <t>Aktif</t>
        </is>
      </c>
      <c r="T710" s="3" t="n"/>
      <c r="U710" s="3" t="inlineStr">
        <is>
          <t>ASSET TKIA-24 2025(1).xlsx | ASET TKIA (3)</t>
        </is>
      </c>
    </row>
    <row r="711">
      <c r="A711" s="3" t="n">
        <v>708</v>
      </c>
      <c r="B711" s="3" t="inlineStr">
        <is>
          <t>171 - 03 - 01 - 24</t>
        </is>
      </c>
      <c r="C711" s="3" t="inlineStr">
        <is>
          <t>TKIA 24 JATIKRAMAT</t>
        </is>
      </c>
      <c r="D711" s="3" t="inlineStr">
        <is>
          <t>I / 9/ GEDUNG EKSKUL - BELAKANG</t>
        </is>
      </c>
      <c r="E711" s="3" t="inlineStr">
        <is>
          <t>APAR</t>
        </is>
      </c>
      <c r="F711" s="3" t="inlineStr">
        <is>
          <t>APAR</t>
        </is>
      </c>
      <c r="G711" s="3" t="n"/>
      <c r="H711" s="3" t="n"/>
      <c r="I711" s="3" t="inlineStr">
        <is>
          <t>1 Unit</t>
        </is>
      </c>
      <c r="J711" s="4" t="n"/>
      <c r="K711" s="3" t="n"/>
      <c r="L711" s="5" t="n"/>
      <c r="M711" s="5" t="n"/>
      <c r="N711" s="3" t="inlineStr">
        <is>
          <t>171 - 03 - 01 - 24</t>
        </is>
      </c>
      <c r="O711" s="3" t="n">
        <v>4</v>
      </c>
      <c r="P711" s="5" t="n"/>
      <c r="Q711" s="5" t="n"/>
      <c r="R711" s="3" t="inlineStr">
        <is>
          <t>Baik</t>
        </is>
      </c>
      <c r="S711" s="3" t="inlineStr">
        <is>
          <t>Aktif</t>
        </is>
      </c>
      <c r="T711" s="3" t="n"/>
      <c r="U711" s="3" t="inlineStr">
        <is>
          <t>ASSET TKIA-24 2025(1).xlsx | ASET TKIA (3)</t>
        </is>
      </c>
    </row>
    <row r="712">
      <c r="A712" s="3" t="n">
        <v>709</v>
      </c>
      <c r="B712" s="3" t="inlineStr">
        <is>
          <t>171 - 03 - 01 - 24</t>
        </is>
      </c>
      <c r="C712" s="3" t="inlineStr">
        <is>
          <t>TKIA 24 JATIKRAMAT</t>
        </is>
      </c>
      <c r="D712" s="3" t="inlineStr">
        <is>
          <t>I / 9/ GEDUNG EKSKUL - BELAKANG</t>
        </is>
      </c>
      <c r="E712" s="3" t="inlineStr">
        <is>
          <t>Papan Standing Lukis</t>
        </is>
      </c>
      <c r="F712" s="3" t="inlineStr">
        <is>
          <t>Papan Standing Lukis</t>
        </is>
      </c>
      <c r="G712" s="3" t="n"/>
      <c r="H712" s="3" t="n"/>
      <c r="I712" s="3" t="inlineStr">
        <is>
          <t>1 Unit</t>
        </is>
      </c>
      <c r="J712" s="4" t="n"/>
      <c r="K712" s="3" t="n"/>
      <c r="L712" s="5" t="n"/>
      <c r="M712" s="5" t="n"/>
      <c r="N712" s="3" t="inlineStr">
        <is>
          <t>171 - 03 - 01 - 24</t>
        </is>
      </c>
      <c r="O712" s="3" t="n">
        <v>4</v>
      </c>
      <c r="P712" s="5" t="n"/>
      <c r="Q712" s="5" t="n"/>
      <c r="R712" s="3" t="inlineStr">
        <is>
          <t>Baik</t>
        </is>
      </c>
      <c r="S712" s="3" t="inlineStr">
        <is>
          <t>Aktif</t>
        </is>
      </c>
      <c r="T712" s="3" t="n"/>
      <c r="U712" s="3" t="inlineStr">
        <is>
          <t>ASSET TKIA-24 2025(1).xlsx | ASET TKIA (3)</t>
        </is>
      </c>
    </row>
    <row r="713">
      <c r="A713" s="3" t="n">
        <v>710</v>
      </c>
      <c r="B713" s="3" t="inlineStr">
        <is>
          <t>171 - 03 - 01 - 24</t>
        </is>
      </c>
      <c r="C713" s="3" t="inlineStr">
        <is>
          <t>TKIA 24 JATIKRAMAT</t>
        </is>
      </c>
      <c r="D713" s="3" t="inlineStr">
        <is>
          <t>I / 9/ GEDUNG EKSKUL - BELAKANG</t>
        </is>
      </c>
      <c r="E713" s="3" t="inlineStr">
        <is>
          <t>Rak Buku</t>
        </is>
      </c>
      <c r="F713" s="3" t="inlineStr">
        <is>
          <t>Rak Buku</t>
        </is>
      </c>
      <c r="G713" s="3" t="n"/>
      <c r="H713" s="3" t="inlineStr">
        <is>
          <t>150 Cm X 110 Cm</t>
        </is>
      </c>
      <c r="I713" s="3" t="inlineStr">
        <is>
          <t>2 Unit</t>
        </is>
      </c>
      <c r="J713" s="4" t="n"/>
      <c r="K713" s="3" t="n"/>
      <c r="L713" s="5" t="n"/>
      <c r="M713" s="5" t="n"/>
      <c r="N713" s="3" t="inlineStr">
        <is>
          <t>171 - 03 - 01 - 24</t>
        </is>
      </c>
      <c r="O713" s="3" t="n">
        <v>4</v>
      </c>
      <c r="P713" s="5" t="n"/>
      <c r="Q713" s="5" t="n"/>
      <c r="R713" s="3" t="inlineStr">
        <is>
          <t>Baik</t>
        </is>
      </c>
      <c r="S713" s="3" t="inlineStr">
        <is>
          <t>Aktif</t>
        </is>
      </c>
      <c r="T713" s="3" t="n"/>
      <c r="U713" s="3" t="inlineStr">
        <is>
          <t>ASSET TKIA-24 2025(1).xlsx | ASET TKIA (3)</t>
        </is>
      </c>
    </row>
    <row r="714">
      <c r="A714" s="3" t="n">
        <v>711</v>
      </c>
      <c r="B714" s="3" t="inlineStr">
        <is>
          <t>171 - 03 - 01 - 24</t>
        </is>
      </c>
      <c r="C714" s="3" t="inlineStr">
        <is>
          <t>TKIA 24 JATIKRAMAT</t>
        </is>
      </c>
      <c r="D714" s="3" t="inlineStr">
        <is>
          <t>I / 9/ GEDUNG EKSKUL - BELAKANG</t>
        </is>
      </c>
      <c r="E714" s="3" t="inlineStr">
        <is>
          <t>Jam Dinding</t>
        </is>
      </c>
      <c r="F714" s="3" t="inlineStr">
        <is>
          <t>Jam Dinding</t>
        </is>
      </c>
      <c r="G714" s="3" t="n"/>
      <c r="H714" s="3" t="n"/>
      <c r="I714" s="3" t="inlineStr">
        <is>
          <t>1 Unit</t>
        </is>
      </c>
      <c r="J714" s="4" t="n"/>
      <c r="K714" s="3" t="n"/>
      <c r="L714" s="5" t="n"/>
      <c r="M714" s="5" t="n"/>
      <c r="N714" s="3" t="inlineStr">
        <is>
          <t>171 - 03 - 01 - 24</t>
        </is>
      </c>
      <c r="O714" s="3" t="n">
        <v>4</v>
      </c>
      <c r="P714" s="5" t="n"/>
      <c r="Q714" s="5" t="n"/>
      <c r="R714" s="3" t="inlineStr">
        <is>
          <t>Baik</t>
        </is>
      </c>
      <c r="S714" s="3" t="inlineStr">
        <is>
          <t>Aktif</t>
        </is>
      </c>
      <c r="T714" s="3" t="n"/>
      <c r="U714" s="3" t="inlineStr">
        <is>
          <t>ASSET TKIA-24 2025(1).xlsx | ASET TKIA (3)</t>
        </is>
      </c>
    </row>
    <row r="715">
      <c r="A715" s="3" t="n">
        <v>712</v>
      </c>
      <c r="B715" s="3" t="inlineStr">
        <is>
          <t>171 - 03 - 01 - 24</t>
        </is>
      </c>
      <c r="C715" s="3" t="inlineStr">
        <is>
          <t>TKIA 24 JATIKRAMAT</t>
        </is>
      </c>
      <c r="D715" s="3" t="inlineStr">
        <is>
          <t>I / 9/ GEDUNG EKSKUL - BELAKANG</t>
        </is>
      </c>
      <c r="E715" s="3" t="inlineStr">
        <is>
          <t>Kaligrafi</t>
        </is>
      </c>
      <c r="F715" s="3" t="inlineStr">
        <is>
          <t>Kaligrafi</t>
        </is>
      </c>
      <c r="G715" s="3" t="n"/>
      <c r="H715" s="3" t="n"/>
      <c r="I715" s="3" t="inlineStr">
        <is>
          <t>1 Unit</t>
        </is>
      </c>
      <c r="J715" s="4" t="n"/>
      <c r="K715" s="3" t="n"/>
      <c r="L715" s="5" t="n"/>
      <c r="M715" s="5" t="n"/>
      <c r="N715" s="3" t="inlineStr">
        <is>
          <t>171 - 03 - 01 - 24</t>
        </is>
      </c>
      <c r="O715" s="3" t="n">
        <v>4</v>
      </c>
      <c r="P715" s="5" t="n"/>
      <c r="Q715" s="5" t="n"/>
      <c r="R715" s="3" t="inlineStr">
        <is>
          <t>Baik</t>
        </is>
      </c>
      <c r="S715" s="3" t="inlineStr">
        <is>
          <t>Aktif</t>
        </is>
      </c>
      <c r="T715" s="3" t="n"/>
      <c r="U715" s="3" t="inlineStr">
        <is>
          <t>ASSET TKIA-24 2025(1).xlsx | ASET TKIA (3)</t>
        </is>
      </c>
    </row>
    <row r="716">
      <c r="A716" s="3" t="n">
        <v>713</v>
      </c>
      <c r="B716" s="3" t="inlineStr">
        <is>
          <t>171 - 03 - 01 - 24</t>
        </is>
      </c>
      <c r="C716" s="3" t="inlineStr">
        <is>
          <t>TKIA 24 JATIKRAMAT</t>
        </is>
      </c>
      <c r="D716" s="3" t="inlineStr">
        <is>
          <t>I / 9/ GEDUNG EKSKUL - BELAKANG</t>
        </is>
      </c>
      <c r="E716" s="3" t="inlineStr">
        <is>
          <t>Lemari Pajangan</t>
        </is>
      </c>
      <c r="F716" s="3" t="inlineStr">
        <is>
          <t>Lemari Pajangan</t>
        </is>
      </c>
      <c r="G716" s="3" t="n"/>
      <c r="H716" s="3" t="inlineStr">
        <is>
          <t>240 Cm X 250 Cm</t>
        </is>
      </c>
      <c r="I716" s="3" t="inlineStr">
        <is>
          <t>6 Unit</t>
        </is>
      </c>
      <c r="J716" s="4" t="n"/>
      <c r="K716" s="3" t="n"/>
      <c r="L716" s="5" t="n"/>
      <c r="M716" s="5" t="n"/>
      <c r="N716" s="3" t="inlineStr">
        <is>
          <t>171 - 03 - 01 - 24</t>
        </is>
      </c>
      <c r="O716" s="3" t="n">
        <v>4</v>
      </c>
      <c r="P716" s="5" t="n"/>
      <c r="Q716" s="5" t="n"/>
      <c r="R716" s="3" t="inlineStr">
        <is>
          <t>Baik</t>
        </is>
      </c>
      <c r="S716" s="3" t="inlineStr">
        <is>
          <t>Aktif</t>
        </is>
      </c>
      <c r="T716" s="3" t="n"/>
      <c r="U716" s="3" t="inlineStr">
        <is>
          <t>ASSET TKIA-24 2025(1).xlsx | ASET TKIA (3)</t>
        </is>
      </c>
    </row>
    <row r="717">
      <c r="A717" s="3" t="n">
        <v>714</v>
      </c>
      <c r="B717" s="3" t="inlineStr">
        <is>
          <t>171 - 03 - 01 - 24</t>
        </is>
      </c>
      <c r="C717" s="3" t="inlineStr">
        <is>
          <t>TKIA 24 JATIKRAMAT</t>
        </is>
      </c>
      <c r="D717" s="3" t="inlineStr">
        <is>
          <t>I / 9/ GEDUNG EKSKUL - BELAKANG</t>
        </is>
      </c>
      <c r="E717" s="3" t="inlineStr">
        <is>
          <t>Rak Gantung</t>
        </is>
      </c>
      <c r="F717" s="3" t="inlineStr">
        <is>
          <t>Rak Gantung</t>
        </is>
      </c>
      <c r="G717" s="3" t="n"/>
      <c r="H717" s="3" t="inlineStr">
        <is>
          <t>260 Cm X 50 Cm</t>
        </is>
      </c>
      <c r="I717" s="3" t="inlineStr">
        <is>
          <t>14 Unit</t>
        </is>
      </c>
      <c r="J717" s="4" t="n"/>
      <c r="K717" s="3" t="n"/>
      <c r="L717" s="5" t="n"/>
      <c r="M717" s="5" t="n"/>
      <c r="N717" s="3" t="inlineStr">
        <is>
          <t>171 - 03 - 01 - 24</t>
        </is>
      </c>
      <c r="O717" s="3" t="n">
        <v>4</v>
      </c>
      <c r="P717" s="5" t="n"/>
      <c r="Q717" s="5" t="n"/>
      <c r="R717" s="3" t="inlineStr">
        <is>
          <t>Baik</t>
        </is>
      </c>
      <c r="S717" s="3" t="inlineStr">
        <is>
          <t>Aktif</t>
        </is>
      </c>
      <c r="T717" s="3" t="n"/>
      <c r="U717" s="3" t="inlineStr">
        <is>
          <t>ASSET TKIA-24 2025(1).xlsx | ASET TKIA (3)</t>
        </is>
      </c>
    </row>
    <row r="718">
      <c r="A718" s="3" t="n">
        <v>715</v>
      </c>
      <c r="B718" s="3" t="inlineStr">
        <is>
          <t>171 - 03 - 01 - 24</t>
        </is>
      </c>
      <c r="C718" s="3" t="inlineStr">
        <is>
          <t>TKIA 24 JATIKRAMAT</t>
        </is>
      </c>
      <c r="D718" s="3" t="inlineStr">
        <is>
          <t>I / 9/ GEDUNG EKSKUL - BELAKANG</t>
        </is>
      </c>
      <c r="E718" s="3" t="inlineStr">
        <is>
          <t>Standing Bas Drum</t>
        </is>
      </c>
      <c r="F718" s="3" t="inlineStr">
        <is>
          <t>Standing Bas Drum</t>
        </is>
      </c>
      <c r="G718" s="3" t="n"/>
      <c r="H718" s="3" t="n"/>
      <c r="I718" s="3" t="inlineStr">
        <is>
          <t>5 Unit</t>
        </is>
      </c>
      <c r="J718" s="4" t="n"/>
      <c r="K718" s="3" t="n"/>
      <c r="L718" s="5" t="n"/>
      <c r="M718" s="5" t="n"/>
      <c r="N718" s="3" t="inlineStr">
        <is>
          <t>171 - 03 - 01 - 24</t>
        </is>
      </c>
      <c r="O718" s="3" t="n">
        <v>4</v>
      </c>
      <c r="P718" s="5" t="n"/>
      <c r="Q718" s="5" t="n"/>
      <c r="R718" s="3" t="inlineStr">
        <is>
          <t>Baik</t>
        </is>
      </c>
      <c r="S718" s="3" t="inlineStr">
        <is>
          <t>Aktif</t>
        </is>
      </c>
      <c r="T718" s="3" t="n"/>
      <c r="U718" s="3" t="inlineStr">
        <is>
          <t>ASSET TKIA-24 2025(1).xlsx | ASET TKIA (3)</t>
        </is>
      </c>
    </row>
    <row r="719">
      <c r="A719" s="3" t="n">
        <v>716</v>
      </c>
      <c r="B719" s="3" t="inlineStr">
        <is>
          <t>171 - 03 - 01 - 24</t>
        </is>
      </c>
      <c r="C719" s="3" t="inlineStr">
        <is>
          <t>TKIA 24 JATIKRAMAT</t>
        </is>
      </c>
      <c r="D719" s="3" t="inlineStr">
        <is>
          <t>I / 9/ GEDUNG EKSKUL - BELAKANG</t>
        </is>
      </c>
      <c r="E719" s="3" t="inlineStr">
        <is>
          <t>Standing Maching Belt</t>
        </is>
      </c>
      <c r="F719" s="3" t="inlineStr">
        <is>
          <t>Standing Maching Belt</t>
        </is>
      </c>
      <c r="G719" s="3" t="n"/>
      <c r="H719" s="3" t="n"/>
      <c r="I719" s="3" t="inlineStr">
        <is>
          <t>5 Unit</t>
        </is>
      </c>
      <c r="J719" s="4" t="n"/>
      <c r="K719" s="3" t="n"/>
      <c r="L719" s="5" t="n"/>
      <c r="M719" s="5" t="n"/>
      <c r="N719" s="3" t="inlineStr">
        <is>
          <t>171 - 03 - 01 - 24</t>
        </is>
      </c>
      <c r="O719" s="3" t="n">
        <v>4</v>
      </c>
      <c r="P719" s="5" t="n"/>
      <c r="Q719" s="5" t="n"/>
      <c r="R719" s="3" t="inlineStr">
        <is>
          <t>Baik</t>
        </is>
      </c>
      <c r="S719" s="3" t="inlineStr">
        <is>
          <t>Aktif</t>
        </is>
      </c>
      <c r="T719" s="3" t="n"/>
      <c r="U719" s="3" t="inlineStr">
        <is>
          <t>ASSET TKIA-24 2025(1).xlsx | ASET TKIA (3)</t>
        </is>
      </c>
    </row>
    <row r="720">
      <c r="A720" s="3" t="n">
        <v>717</v>
      </c>
      <c r="B720" s="3" t="inlineStr">
        <is>
          <t>171 - 03 - 01 - 24</t>
        </is>
      </c>
      <c r="C720" s="3" t="inlineStr">
        <is>
          <t>TKIA 24 JATIKRAMAT</t>
        </is>
      </c>
      <c r="D720" s="3" t="inlineStr">
        <is>
          <t>I / 9/ GEDUNG EKSKUL - BELAKANG</t>
        </is>
      </c>
      <c r="E720" s="3" t="inlineStr">
        <is>
          <t>Standing Quadtom</t>
        </is>
      </c>
      <c r="F720" s="3" t="inlineStr">
        <is>
          <t>Standing Quadtom</t>
        </is>
      </c>
      <c r="G720" s="3" t="n"/>
      <c r="H720" s="3" t="n"/>
      <c r="I720" s="3" t="inlineStr">
        <is>
          <t>2 Unit</t>
        </is>
      </c>
      <c r="J720" s="4" t="n"/>
      <c r="K720" s="3" t="n"/>
      <c r="L720" s="5" t="n"/>
      <c r="M720" s="5" t="n"/>
      <c r="N720" s="3" t="inlineStr">
        <is>
          <t>171 - 03 - 01 - 24</t>
        </is>
      </c>
      <c r="O720" s="3" t="n">
        <v>4</v>
      </c>
      <c r="P720" s="5" t="n"/>
      <c r="Q720" s="5" t="n"/>
      <c r="R720" s="3" t="inlineStr">
        <is>
          <t>Baik</t>
        </is>
      </c>
      <c r="S720" s="3" t="inlineStr">
        <is>
          <t>Aktif</t>
        </is>
      </c>
      <c r="T720" s="3" t="n"/>
      <c r="U720" s="3" t="inlineStr">
        <is>
          <t>ASSET TKIA-24 2025(1).xlsx | ASET TKIA (3)</t>
        </is>
      </c>
    </row>
    <row r="721">
      <c r="A721" s="3" t="n">
        <v>718</v>
      </c>
      <c r="B721" s="3" t="inlineStr">
        <is>
          <t>171 - 03 - 01 - 24</t>
        </is>
      </c>
      <c r="C721" s="3" t="inlineStr">
        <is>
          <t>TKIA 24 JATIKRAMAT</t>
        </is>
      </c>
      <c r="D721" s="3" t="inlineStr">
        <is>
          <t>I / 9/ GEDUNG EKSKUL - BELAKANG</t>
        </is>
      </c>
      <c r="E721" s="3" t="inlineStr">
        <is>
          <t>Vinnil</t>
        </is>
      </c>
      <c r="F721" s="3" t="inlineStr">
        <is>
          <t>Vinnil</t>
        </is>
      </c>
      <c r="G721" s="3" t="n"/>
      <c r="H721" s="3" t="inlineStr">
        <is>
          <t>580 Cm X 630 Cm</t>
        </is>
      </c>
      <c r="I721" s="3" t="inlineStr">
        <is>
          <t>1 Unit</t>
        </is>
      </c>
      <c r="J721" s="4" t="n"/>
      <c r="K721" s="3" t="n"/>
      <c r="L721" s="5" t="n"/>
      <c r="M721" s="5" t="n"/>
      <c r="N721" s="3" t="inlineStr">
        <is>
          <t>171 - 03 - 01 - 24</t>
        </is>
      </c>
      <c r="O721" s="3" t="n">
        <v>4</v>
      </c>
      <c r="P721" s="5" t="n"/>
      <c r="Q721" s="5" t="n"/>
      <c r="R721" s="3" t="inlineStr">
        <is>
          <t>Baik</t>
        </is>
      </c>
      <c r="S721" s="3" t="inlineStr">
        <is>
          <t>Aktif</t>
        </is>
      </c>
      <c r="T721" s="3" t="n"/>
      <c r="U721" s="3" t="inlineStr">
        <is>
          <t>ASSET TKIA-24 2025(1).xlsx | ASET TKIA (3)</t>
        </is>
      </c>
    </row>
    <row r="722">
      <c r="A722" s="3" t="n">
        <v>719</v>
      </c>
      <c r="B722" s="3" t="inlineStr">
        <is>
          <t>171 - 03 - 01 - 24</t>
        </is>
      </c>
      <c r="C722" s="3" t="inlineStr">
        <is>
          <t>TKIA 24 JATIKRAMAT</t>
        </is>
      </c>
      <c r="D722" s="3" t="inlineStr">
        <is>
          <t>I / 9/ GEDUNG EKSKUL - BELAKANG</t>
        </is>
      </c>
      <c r="E722" s="3" t="inlineStr">
        <is>
          <t>Cekar</t>
        </is>
      </c>
      <c r="F722" s="3" t="inlineStr">
        <is>
          <t>Cekar</t>
        </is>
      </c>
      <c r="G722" s="3" t="n"/>
      <c r="H722" s="3" t="n"/>
      <c r="I722" s="3" t="inlineStr">
        <is>
          <t>12 Unit</t>
        </is>
      </c>
      <c r="J722" s="4" t="n"/>
      <c r="K722" s="3" t="n"/>
      <c r="L722" s="5" t="n"/>
      <c r="M722" s="5" t="n"/>
      <c r="N722" s="3" t="inlineStr">
        <is>
          <t>171 - 03 - 01 - 24</t>
        </is>
      </c>
      <c r="O722" s="3" t="n">
        <v>4</v>
      </c>
      <c r="P722" s="5" t="n"/>
      <c r="Q722" s="5" t="n"/>
      <c r="R722" s="3" t="inlineStr">
        <is>
          <t>Baik</t>
        </is>
      </c>
      <c r="S722" s="3" t="inlineStr">
        <is>
          <t>Aktif</t>
        </is>
      </c>
      <c r="T722" s="3" t="n"/>
      <c r="U722" s="3" t="inlineStr">
        <is>
          <t>ASSET TKIA-24 2025(1).xlsx | ASET TKIA (3)</t>
        </is>
      </c>
    </row>
    <row r="723">
      <c r="A723" s="3" t="n">
        <v>720</v>
      </c>
      <c r="B723" s="3" t="inlineStr">
        <is>
          <t>171 - 03 - 01 - 24</t>
        </is>
      </c>
      <c r="C723" s="3" t="inlineStr">
        <is>
          <t>TKIA 24 JATIKRAMAT</t>
        </is>
      </c>
      <c r="D723" s="3" t="inlineStr">
        <is>
          <t>I / 10/ GEDUNG EKSKUL - BELAKANG</t>
        </is>
      </c>
      <c r="E723" s="3" t="inlineStr">
        <is>
          <t>Locker</t>
        </is>
      </c>
      <c r="F723" s="3" t="inlineStr">
        <is>
          <t>Locker</t>
        </is>
      </c>
      <c r="G723" s="3" t="inlineStr">
        <is>
          <t>Kayu</t>
        </is>
      </c>
      <c r="H723" s="3" t="inlineStr">
        <is>
          <t>120 Cm X90 cm</t>
        </is>
      </c>
      <c r="I723" s="3" t="inlineStr">
        <is>
          <t>1 Unit</t>
        </is>
      </c>
      <c r="J723" s="4" t="n"/>
      <c r="K723" s="3" t="n"/>
      <c r="L723" s="5" t="n"/>
      <c r="M723" s="5" t="n"/>
      <c r="N723" s="3" t="inlineStr">
        <is>
          <t>171 - 03 - 01 - 24</t>
        </is>
      </c>
      <c r="O723" s="3" t="n">
        <v>4</v>
      </c>
      <c r="P723" s="5" t="n"/>
      <c r="Q723" s="5" t="n"/>
      <c r="R723" s="3" t="inlineStr">
        <is>
          <t>Baik</t>
        </is>
      </c>
      <c r="S723" s="3" t="inlineStr">
        <is>
          <t>Aktif</t>
        </is>
      </c>
      <c r="T723" s="3" t="n"/>
      <c r="U723" s="3" t="inlineStr">
        <is>
          <t>ASSET TKIA-24 2025(1).xlsx | ASET TKIA (3)</t>
        </is>
      </c>
    </row>
    <row r="724">
      <c r="A724" s="3" t="n">
        <v>721</v>
      </c>
      <c r="B724" s="3" t="inlineStr">
        <is>
          <t>171 - 03 - 01 - 24</t>
        </is>
      </c>
      <c r="C724" s="3" t="inlineStr">
        <is>
          <t>TKIA 24 JATIKRAMAT</t>
        </is>
      </c>
      <c r="D724" s="3" t="inlineStr">
        <is>
          <t>I / 10/ GEDUNG EKSKUL - BELAKANG</t>
        </is>
      </c>
      <c r="E724" s="3" t="inlineStr">
        <is>
          <t>Timbangan</t>
        </is>
      </c>
      <c r="F724" s="3" t="inlineStr">
        <is>
          <t>Timbangan</t>
        </is>
      </c>
      <c r="G724" s="3" t="inlineStr">
        <is>
          <t>Campur</t>
        </is>
      </c>
      <c r="H724" s="3" t="n"/>
      <c r="I724" s="3" t="inlineStr">
        <is>
          <t>1 Unit</t>
        </is>
      </c>
      <c r="J724" s="4" t="n"/>
      <c r="K724" s="3" t="n"/>
      <c r="L724" s="5" t="n"/>
      <c r="M724" s="5" t="n"/>
      <c r="N724" s="3" t="inlineStr">
        <is>
          <t>171 - 03 - 01 - 24</t>
        </is>
      </c>
      <c r="O724" s="3" t="n">
        <v>4</v>
      </c>
      <c r="P724" s="5" t="n"/>
      <c r="Q724" s="5" t="n"/>
      <c r="R724" s="3" t="inlineStr">
        <is>
          <t>Baik</t>
        </is>
      </c>
      <c r="S724" s="3" t="inlineStr">
        <is>
          <t>Aktif</t>
        </is>
      </c>
      <c r="T724" s="3" t="n"/>
      <c r="U724" s="3" t="inlineStr">
        <is>
          <t>ASSET TKIA-24 2025(1).xlsx | ASET TKIA (3)</t>
        </is>
      </c>
    </row>
    <row r="725">
      <c r="A725" s="3" t="n">
        <v>722</v>
      </c>
      <c r="B725" s="3" t="inlineStr">
        <is>
          <t>171 - 03 - 01 - 24</t>
        </is>
      </c>
      <c r="C725" s="3" t="inlineStr">
        <is>
          <t>TKIA 24 JATIKRAMAT</t>
        </is>
      </c>
      <c r="D725" s="3" t="inlineStr">
        <is>
          <t>I / 10/ GEDUNG EKSKUL - BELAKANG</t>
        </is>
      </c>
      <c r="E725" s="3" t="inlineStr">
        <is>
          <t>Tempat Tidur Periksa</t>
        </is>
      </c>
      <c r="F725" s="3" t="inlineStr">
        <is>
          <t>Tempat Tidur Periksa</t>
        </is>
      </c>
      <c r="G725" s="3" t="inlineStr">
        <is>
          <t>Besi / Kulit</t>
        </is>
      </c>
      <c r="H725" s="3" t="inlineStr">
        <is>
          <t>L 70 Cm X T 100 CM X P 200 Cm</t>
        </is>
      </c>
      <c r="I725" s="3" t="inlineStr">
        <is>
          <t>1 Unit</t>
        </is>
      </c>
      <c r="J725" s="4" t="n"/>
      <c r="K725" s="3" t="n"/>
      <c r="L725" s="5" t="n"/>
      <c r="M725" s="5" t="n"/>
      <c r="N725" s="3" t="inlineStr">
        <is>
          <t>171 - 03 - 01 - 24</t>
        </is>
      </c>
      <c r="O725" s="3" t="n">
        <v>4</v>
      </c>
      <c r="P725" s="5" t="n"/>
      <c r="Q725" s="5" t="n"/>
      <c r="R725" s="3" t="inlineStr">
        <is>
          <t>Baik</t>
        </is>
      </c>
      <c r="S725" s="3" t="inlineStr">
        <is>
          <t>Aktif</t>
        </is>
      </c>
      <c r="T725" s="3" t="n"/>
      <c r="U725" s="3" t="inlineStr">
        <is>
          <t>ASSET TKIA-24 2025(1).xlsx | ASET TKIA (3)</t>
        </is>
      </c>
    </row>
    <row r="726">
      <c r="A726" s="3" t="n">
        <v>723</v>
      </c>
      <c r="B726" s="3" t="inlineStr">
        <is>
          <t>171 - 03 - 01 - 24</t>
        </is>
      </c>
      <c r="C726" s="3" t="inlineStr">
        <is>
          <t>TKIA 24 JATIKRAMAT</t>
        </is>
      </c>
      <c r="D726" s="3" t="inlineStr">
        <is>
          <t>I / 10/ GEDUNG EKSKUL - BELAKANG</t>
        </is>
      </c>
      <c r="E726" s="3" t="inlineStr">
        <is>
          <t>Meja</t>
        </is>
      </c>
      <c r="F726" s="3" t="inlineStr">
        <is>
          <t>Meja</t>
        </is>
      </c>
      <c r="G726" s="3" t="inlineStr">
        <is>
          <t>Kayu</t>
        </is>
      </c>
      <c r="H726" s="3" t="inlineStr">
        <is>
          <t>1/2 Biro</t>
        </is>
      </c>
      <c r="I726" s="3" t="inlineStr">
        <is>
          <t>1 Unit</t>
        </is>
      </c>
      <c r="J726" s="4" t="n"/>
      <c r="K726" s="3" t="n"/>
      <c r="L726" s="5" t="n"/>
      <c r="M726" s="5" t="n"/>
      <c r="N726" s="3" t="inlineStr">
        <is>
          <t>171 - 03 - 01 - 24</t>
        </is>
      </c>
      <c r="O726" s="3" t="n">
        <v>4</v>
      </c>
      <c r="P726" s="5" t="n"/>
      <c r="Q726" s="5" t="n"/>
      <c r="R726" s="3" t="inlineStr">
        <is>
          <t>Baik</t>
        </is>
      </c>
      <c r="S726" s="3" t="inlineStr">
        <is>
          <t>Aktif</t>
        </is>
      </c>
      <c r="T726" s="3" t="n"/>
      <c r="U726" s="3" t="inlineStr">
        <is>
          <t>ASSET TKIA-24 2025(1).xlsx | ASET TKIA (3)</t>
        </is>
      </c>
    </row>
    <row r="727">
      <c r="A727" s="3" t="n">
        <v>724</v>
      </c>
      <c r="B727" s="3" t="inlineStr">
        <is>
          <t>171 - 03 - 01 - 24</t>
        </is>
      </c>
      <c r="C727" s="3" t="inlineStr">
        <is>
          <t>TKIA 24 JATIKRAMAT</t>
        </is>
      </c>
      <c r="D727" s="3" t="inlineStr">
        <is>
          <t>I / 10/ GEDUNG EKSKUL - BELAKANG</t>
        </is>
      </c>
      <c r="E727" s="3" t="inlineStr">
        <is>
          <t>Kotak P3K</t>
        </is>
      </c>
      <c r="F727" s="3" t="inlineStr">
        <is>
          <t>Kotak P3K</t>
        </is>
      </c>
      <c r="G727" s="3" t="inlineStr">
        <is>
          <t>Kayu</t>
        </is>
      </c>
      <c r="H727" s="3" t="inlineStr">
        <is>
          <t>30 Cm X 50 Cm</t>
        </is>
      </c>
      <c r="I727" s="3" t="inlineStr">
        <is>
          <t>1 Unit</t>
        </is>
      </c>
      <c r="J727" s="4" t="n"/>
      <c r="K727" s="3" t="n"/>
      <c r="L727" s="5" t="n"/>
      <c r="M727" s="5" t="n"/>
      <c r="N727" s="3" t="inlineStr">
        <is>
          <t>171 - 03 - 01 - 24</t>
        </is>
      </c>
      <c r="O727" s="3" t="n">
        <v>4</v>
      </c>
      <c r="P727" s="5" t="n"/>
      <c r="Q727" s="5" t="n"/>
      <c r="R727" s="3" t="inlineStr">
        <is>
          <t>Baik</t>
        </is>
      </c>
      <c r="S727" s="3" t="inlineStr">
        <is>
          <t>Aktif</t>
        </is>
      </c>
      <c r="T727" s="3" t="n"/>
      <c r="U727" s="3" t="inlineStr">
        <is>
          <t>ASSET TKIA-24 2025(1).xlsx | ASET TKIA (3)</t>
        </is>
      </c>
    </row>
    <row r="728">
      <c r="A728" s="3" t="n">
        <v>725</v>
      </c>
      <c r="B728" s="3" t="inlineStr">
        <is>
          <t>171 - 03 - 01 - 24</t>
        </is>
      </c>
      <c r="C728" s="3" t="inlineStr">
        <is>
          <t>TKIA 24 JATIKRAMAT</t>
        </is>
      </c>
      <c r="D728" s="3" t="inlineStr">
        <is>
          <t>I / 10/ GEDUNG EKSKUL - BELAKANG</t>
        </is>
      </c>
      <c r="E728" s="3" t="inlineStr">
        <is>
          <t>Karpet</t>
        </is>
      </c>
      <c r="F728" s="3" t="inlineStr">
        <is>
          <t>Karpet</t>
        </is>
      </c>
      <c r="G728" s="3" t="inlineStr">
        <is>
          <t>Benang</t>
        </is>
      </c>
      <c r="H728" s="3" t="inlineStr">
        <is>
          <t>150 Cm X 110 Cm</t>
        </is>
      </c>
      <c r="I728" s="3" t="inlineStr">
        <is>
          <t>1 Unit</t>
        </is>
      </c>
      <c r="J728" s="4" t="n"/>
      <c r="K728" s="3" t="n"/>
      <c r="L728" s="5" t="n"/>
      <c r="M728" s="5" t="n"/>
      <c r="N728" s="3" t="inlineStr">
        <is>
          <t>171 - 03 - 01 - 24</t>
        </is>
      </c>
      <c r="O728" s="3" t="n">
        <v>4</v>
      </c>
      <c r="P728" s="5" t="n"/>
      <c r="Q728" s="5" t="n"/>
      <c r="R728" s="3" t="inlineStr">
        <is>
          <t>Baik</t>
        </is>
      </c>
      <c r="S728" s="3" t="inlineStr">
        <is>
          <t>Aktif</t>
        </is>
      </c>
      <c r="T728" s="3" t="n"/>
      <c r="U728" s="3" t="inlineStr">
        <is>
          <t>ASSET TKIA-24 2025(1).xlsx | ASET TKIA (3)</t>
        </is>
      </c>
    </row>
    <row r="729">
      <c r="A729" s="3" t="n">
        <v>726</v>
      </c>
      <c r="B729" s="3" t="inlineStr">
        <is>
          <t>171 - 03 - 01 - 24</t>
        </is>
      </c>
      <c r="C729" s="3" t="inlineStr">
        <is>
          <t>TKIA 24 JATIKRAMAT</t>
        </is>
      </c>
      <c r="D729" s="3" t="inlineStr">
        <is>
          <t>I / 10/ GEDUNG EKSKUL - BELAKANG</t>
        </is>
      </c>
      <c r="E729" s="3" t="inlineStr">
        <is>
          <t>Karpet</t>
        </is>
      </c>
      <c r="F729" s="3" t="inlineStr">
        <is>
          <t>Karpet</t>
        </is>
      </c>
      <c r="G729" s="3" t="inlineStr">
        <is>
          <t>Benang</t>
        </is>
      </c>
      <c r="H729" s="3" t="inlineStr">
        <is>
          <t>220 Cm X 150 Cm</t>
        </is>
      </c>
      <c r="I729" s="3" t="inlineStr">
        <is>
          <t>1 Unit</t>
        </is>
      </c>
      <c r="J729" s="4" t="n"/>
      <c r="K729" s="3" t="n"/>
      <c r="L729" s="5" t="n"/>
      <c r="M729" s="5" t="n"/>
      <c r="N729" s="3" t="inlineStr">
        <is>
          <t>171 - 03 - 01 - 24</t>
        </is>
      </c>
      <c r="O729" s="3" t="n">
        <v>4</v>
      </c>
      <c r="P729" s="5" t="n"/>
      <c r="Q729" s="5" t="n"/>
      <c r="R729" s="3" t="inlineStr">
        <is>
          <t>Baik</t>
        </is>
      </c>
      <c r="S729" s="3" t="inlineStr">
        <is>
          <t>Aktif</t>
        </is>
      </c>
      <c r="T729" s="3" t="n"/>
      <c r="U729" s="3" t="inlineStr">
        <is>
          <t>ASSET TKIA-24 2025(1).xlsx | ASET TKIA (3)</t>
        </is>
      </c>
    </row>
    <row r="730">
      <c r="A730" s="3" t="n">
        <v>727</v>
      </c>
      <c r="B730" s="3" t="inlineStr">
        <is>
          <t>171 - 03 - 01 - 24</t>
        </is>
      </c>
      <c r="C730" s="3" t="inlineStr">
        <is>
          <t>TKIA 24 JATIKRAMAT</t>
        </is>
      </c>
      <c r="D730" s="3" t="inlineStr">
        <is>
          <t>I / 10/ GEDUNG EKSKUL - BELAKANG</t>
        </is>
      </c>
      <c r="E730" s="3" t="inlineStr">
        <is>
          <t>Alat Cuci Tangan Berdiri - Biru</t>
        </is>
      </c>
      <c r="F730" s="3" t="inlineStr">
        <is>
          <t>Alat Cuci Tangan Berdiri - Biru</t>
        </is>
      </c>
      <c r="G730" s="3" t="inlineStr">
        <is>
          <t>Besi</t>
        </is>
      </c>
      <c r="H730" s="3" t="inlineStr">
        <is>
          <t>Tinggi 100 cm x 50 cm x 40 cm</t>
        </is>
      </c>
      <c r="I730" s="3" t="inlineStr">
        <is>
          <t>1 Unit</t>
        </is>
      </c>
      <c r="J730" s="4" t="n"/>
      <c r="K730" s="3" t="n"/>
      <c r="L730" s="5" t="n"/>
      <c r="M730" s="5" t="n"/>
      <c r="N730" s="3" t="inlineStr">
        <is>
          <t>171 - 03 - 01 - 24</t>
        </is>
      </c>
      <c r="O730" s="3" t="n">
        <v>4</v>
      </c>
      <c r="P730" s="5" t="n"/>
      <c r="Q730" s="5" t="n"/>
      <c r="R730" s="3" t="n"/>
      <c r="S730" s="3" t="inlineStr">
        <is>
          <t>Aktif</t>
        </is>
      </c>
      <c r="T730" s="3" t="n"/>
      <c r="U730" s="3" t="inlineStr">
        <is>
          <t>ASSET TKIA-24 2025(1).xlsx | ASET TKIA (3)</t>
        </is>
      </c>
    </row>
    <row r="731">
      <c r="A731" s="3" t="n">
        <v>728</v>
      </c>
      <c r="B731" s="3" t="inlineStr">
        <is>
          <t>171 - 02 - 02</t>
        </is>
      </c>
      <c r="C731" s="3" t="inlineStr">
        <is>
          <t>TKIA 24 JATIKRAMAT</t>
        </is>
      </c>
      <c r="D731" s="3" t="inlineStr">
        <is>
          <t>I / 1 / RUANG TOILET</t>
        </is>
      </c>
      <c r="E731" s="3" t="inlineStr">
        <is>
          <t>Cermin</t>
        </is>
      </c>
      <c r="F731" s="3" t="inlineStr">
        <is>
          <t>Cermin</t>
        </is>
      </c>
      <c r="G731" s="3" t="inlineStr">
        <is>
          <t>Kaca/Kayu</t>
        </is>
      </c>
      <c r="H731" s="3" t="inlineStr">
        <is>
          <t>45 cm x 60 cm</t>
        </is>
      </c>
      <c r="I731" s="3" t="inlineStr">
        <is>
          <t>1 Unit</t>
        </is>
      </c>
      <c r="J731" s="4" t="n"/>
      <c r="K731" s="3" t="n"/>
      <c r="L731" s="5" t="n"/>
      <c r="M731" s="5" t="n"/>
      <c r="N731" s="3" t="inlineStr">
        <is>
          <t>171 - 02 - 02</t>
        </is>
      </c>
      <c r="O731" s="3" t="n">
        <v>4</v>
      </c>
      <c r="P731" s="5" t="n"/>
      <c r="Q731" s="5" t="n"/>
      <c r="R731" s="3" t="inlineStr">
        <is>
          <t>Baik</t>
        </is>
      </c>
      <c r="S731" s="3" t="inlineStr">
        <is>
          <t>Aktif</t>
        </is>
      </c>
      <c r="T731" s="3" t="n"/>
      <c r="U731" s="3" t="inlineStr">
        <is>
          <t>ASSET TKIA-24 2025(1).xlsx | ASET TKIA</t>
        </is>
      </c>
    </row>
    <row r="732">
      <c r="A732" s="3" t="n">
        <v>729</v>
      </c>
      <c r="B732" s="3" t="inlineStr">
        <is>
          <t>171 - 02 - 02</t>
        </is>
      </c>
      <c r="C732" s="3" t="inlineStr">
        <is>
          <t>TKIA 24 JATIKRAMAT</t>
        </is>
      </c>
      <c r="D732" s="3" t="inlineStr">
        <is>
          <t>I / 1 / RUANG TOILET</t>
        </is>
      </c>
      <c r="E732" s="3" t="inlineStr">
        <is>
          <t>Wastafell</t>
        </is>
      </c>
      <c r="F732" s="3" t="inlineStr">
        <is>
          <t>Wastafell</t>
        </is>
      </c>
      <c r="G732" s="3" t="inlineStr">
        <is>
          <t>Keramik</t>
        </is>
      </c>
      <c r="H732" s="3" t="n"/>
      <c r="I732" s="3" t="inlineStr">
        <is>
          <t>1 Unit</t>
        </is>
      </c>
      <c r="J732" s="4" t="n"/>
      <c r="K732" s="3" t="n"/>
      <c r="L732" s="5" t="n"/>
      <c r="M732" s="5" t="n"/>
      <c r="N732" s="3" t="inlineStr">
        <is>
          <t>171 - 02 - 02</t>
        </is>
      </c>
      <c r="O732" s="3" t="n">
        <v>4</v>
      </c>
      <c r="P732" s="5" t="n"/>
      <c r="Q732" s="5" t="n"/>
      <c r="R732" s="3" t="inlineStr">
        <is>
          <t>Baik</t>
        </is>
      </c>
      <c r="S732" s="3" t="inlineStr">
        <is>
          <t>Aktif</t>
        </is>
      </c>
      <c r="T732" s="3" t="n"/>
      <c r="U732" s="3" t="inlineStr">
        <is>
          <t>ASSET TKIA-24 2025(1).xlsx | ASET TKIA</t>
        </is>
      </c>
    </row>
    <row r="733">
      <c r="A733" s="3" t="n">
        <v>730</v>
      </c>
      <c r="B733" s="3" t="inlineStr">
        <is>
          <t>171 - 02 - 02</t>
        </is>
      </c>
      <c r="C733" s="3" t="inlineStr">
        <is>
          <t>TKIA 24 JATIKRAMAT</t>
        </is>
      </c>
      <c r="D733" s="3" t="inlineStr">
        <is>
          <t>I / 1 / RUANG TOILET</t>
        </is>
      </c>
      <c r="E733" s="3" t="inlineStr">
        <is>
          <t>Tempat Sampah</t>
        </is>
      </c>
      <c r="F733" s="3" t="inlineStr">
        <is>
          <t>Tempat Sampah</t>
        </is>
      </c>
      <c r="G733" s="3" t="inlineStr">
        <is>
          <t>Plastik</t>
        </is>
      </c>
      <c r="H733" s="3" t="inlineStr">
        <is>
          <t>Sedang</t>
        </is>
      </c>
      <c r="I733" s="3" t="inlineStr">
        <is>
          <t>1 Unit</t>
        </is>
      </c>
      <c r="J733" s="4" t="n"/>
      <c r="K733" s="3" t="n"/>
      <c r="L733" s="5" t="n"/>
      <c r="M733" s="5" t="n"/>
      <c r="N733" s="3" t="inlineStr">
        <is>
          <t>171 - 02 - 02</t>
        </is>
      </c>
      <c r="O733" s="3" t="n">
        <v>4</v>
      </c>
      <c r="P733" s="5" t="n"/>
      <c r="Q733" s="5" t="n"/>
      <c r="R733" s="3" t="inlineStr">
        <is>
          <t>Baik</t>
        </is>
      </c>
      <c r="S733" s="3" t="inlineStr">
        <is>
          <t>Aktif</t>
        </is>
      </c>
      <c r="T733" s="3" t="n"/>
      <c r="U733" s="3" t="inlineStr">
        <is>
          <t>ASSET TKIA-24 2025(1).xlsx | ASET TKIA</t>
        </is>
      </c>
    </row>
    <row r="734">
      <c r="A734" s="3" t="n">
        <v>731</v>
      </c>
      <c r="B734" s="3" t="inlineStr">
        <is>
          <t>171 - 02 - 02</t>
        </is>
      </c>
      <c r="C734" s="3" t="inlineStr">
        <is>
          <t>TKIA 24 JATIKRAMAT</t>
        </is>
      </c>
      <c r="D734" s="3" t="inlineStr">
        <is>
          <t>I / 1 / RUANG TOILET</t>
        </is>
      </c>
      <c r="E734" s="3" t="inlineStr">
        <is>
          <t>Ember dan Gayung</t>
        </is>
      </c>
      <c r="F734" s="3" t="inlineStr">
        <is>
          <t>Ember dan Gayung</t>
        </is>
      </c>
      <c r="G734" s="3" t="inlineStr">
        <is>
          <t>Plastik</t>
        </is>
      </c>
      <c r="H734" s="3" t="inlineStr">
        <is>
          <t>Sedang</t>
        </is>
      </c>
      <c r="I734" s="3" t="inlineStr">
        <is>
          <t>5 Unit</t>
        </is>
      </c>
      <c r="J734" s="4" t="n"/>
      <c r="K734" s="3" t="n"/>
      <c r="L734" s="5" t="n"/>
      <c r="M734" s="5" t="n"/>
      <c r="N734" s="3" t="inlineStr">
        <is>
          <t>171 - 02 - 02</t>
        </is>
      </c>
      <c r="O734" s="3" t="n">
        <v>4</v>
      </c>
      <c r="P734" s="5" t="n"/>
      <c r="Q734" s="5" t="n"/>
      <c r="R734" s="3" t="inlineStr">
        <is>
          <t>Baik</t>
        </is>
      </c>
      <c r="S734" s="3" t="inlineStr">
        <is>
          <t>Aktif</t>
        </is>
      </c>
      <c r="T734" s="3" t="n"/>
      <c r="U734" s="3" t="inlineStr">
        <is>
          <t>ASSET TKIA-24 2025(1).xlsx | ASET TKIA</t>
        </is>
      </c>
    </row>
    <row r="735">
      <c r="A735" s="3" t="n">
        <v>732</v>
      </c>
      <c r="B735" s="3" t="inlineStr">
        <is>
          <t>171 - 02 - 02</t>
        </is>
      </c>
      <c r="C735" s="3" t="inlineStr">
        <is>
          <t>TKIA 24 JATIKRAMAT</t>
        </is>
      </c>
      <c r="D735" s="3" t="inlineStr">
        <is>
          <t>I / 1 / RUANG TOILET</t>
        </is>
      </c>
      <c r="E735" s="3" t="inlineStr">
        <is>
          <t>Gantungan</t>
        </is>
      </c>
      <c r="F735" s="3" t="inlineStr">
        <is>
          <t>Gantungan</t>
        </is>
      </c>
      <c r="G735" s="3" t="inlineStr">
        <is>
          <t>Logam</t>
        </is>
      </c>
      <c r="H735" s="3" t="n"/>
      <c r="I735" s="3" t="inlineStr">
        <is>
          <t>3 Unit</t>
        </is>
      </c>
      <c r="J735" s="4" t="n"/>
      <c r="K735" s="3" t="n"/>
      <c r="L735" s="5" t="n"/>
      <c r="M735" s="5" t="n"/>
      <c r="N735" s="3" t="inlineStr">
        <is>
          <t>171 - 02 - 02</t>
        </is>
      </c>
      <c r="O735" s="3" t="n">
        <v>4</v>
      </c>
      <c r="P735" s="5" t="n"/>
      <c r="Q735" s="5" t="n"/>
      <c r="R735" s="3" t="inlineStr">
        <is>
          <t>Baik</t>
        </is>
      </c>
      <c r="S735" s="3" t="inlineStr">
        <is>
          <t>Aktif</t>
        </is>
      </c>
      <c r="T735" s="3" t="n"/>
      <c r="U735" s="3" t="inlineStr">
        <is>
          <t>ASSET TKIA-24 2025(1).xlsx | ASET TKIA</t>
        </is>
      </c>
    </row>
    <row r="736">
      <c r="A736" s="3" t="n">
        <v>733</v>
      </c>
      <c r="B736" s="3" t="inlineStr">
        <is>
          <t>171 - 02 - 02</t>
        </is>
      </c>
      <c r="C736" s="3" t="inlineStr">
        <is>
          <t>TKIA 24 JATIKRAMAT</t>
        </is>
      </c>
      <c r="D736" s="3" t="inlineStr">
        <is>
          <t>II / SULAIMAN / B</t>
        </is>
      </c>
      <c r="E736" s="3" t="inlineStr">
        <is>
          <t>Infokus</t>
        </is>
      </c>
      <c r="F736" s="3" t="inlineStr">
        <is>
          <t>Infokus</t>
        </is>
      </c>
      <c r="G736" s="3" t="inlineStr">
        <is>
          <t>Elektro</t>
        </is>
      </c>
      <c r="H736" s="3" t="n"/>
      <c r="I736" s="3" t="inlineStr">
        <is>
          <t>1 Unit</t>
        </is>
      </c>
      <c r="J736" s="4" t="n"/>
      <c r="K736" s="3" t="n"/>
      <c r="L736" s="5" t="n"/>
      <c r="M736" s="5" t="n"/>
      <c r="N736" s="3" t="inlineStr">
        <is>
          <t>171 - 02 - 02</t>
        </is>
      </c>
      <c r="O736" s="3" t="n">
        <v>4</v>
      </c>
      <c r="P736" s="5" t="n"/>
      <c r="Q736" s="5" t="n"/>
      <c r="R736" s="3" t="inlineStr">
        <is>
          <t>Baik</t>
        </is>
      </c>
      <c r="S736" s="3" t="inlineStr">
        <is>
          <t>Aktif</t>
        </is>
      </c>
      <c r="T736" s="3" t="n"/>
      <c r="U736" s="3" t="inlineStr">
        <is>
          <t>ASSET TKIA-24 2025(1).xlsx | ASET TKIA</t>
        </is>
      </c>
    </row>
    <row r="737">
      <c r="A737" s="3" t="n">
        <v>734</v>
      </c>
      <c r="B737" s="3" t="inlineStr">
        <is>
          <t>171 - 02 - 02</t>
        </is>
      </c>
      <c r="C737" s="3" t="inlineStr">
        <is>
          <t>TKIA 24 JATIKRAMAT</t>
        </is>
      </c>
      <c r="D737" s="3" t="inlineStr">
        <is>
          <t>II / SULAIMAN / B</t>
        </is>
      </c>
      <c r="E737" s="3" t="inlineStr">
        <is>
          <t>Screen Shoot</t>
        </is>
      </c>
      <c r="F737" s="3" t="inlineStr">
        <is>
          <t>Screen Shoot</t>
        </is>
      </c>
      <c r="G737" s="3" t="inlineStr">
        <is>
          <t>Plastik</t>
        </is>
      </c>
      <c r="H737" s="3" t="inlineStr">
        <is>
          <t>175 cm x 180 cm</t>
        </is>
      </c>
      <c r="I737" s="3" t="inlineStr">
        <is>
          <t>1 Unit</t>
        </is>
      </c>
      <c r="J737" s="4" t="n"/>
      <c r="K737" s="3" t="n"/>
      <c r="L737" s="5" t="n"/>
      <c r="M737" s="5" t="n"/>
      <c r="N737" s="3" t="inlineStr">
        <is>
          <t>171 - 02 - 02</t>
        </is>
      </c>
      <c r="O737" s="3" t="n">
        <v>4</v>
      </c>
      <c r="P737" s="5" t="n"/>
      <c r="Q737" s="5" t="n"/>
      <c r="R737" s="3" t="inlineStr">
        <is>
          <t>Baik</t>
        </is>
      </c>
      <c r="S737" s="3" t="inlineStr">
        <is>
          <t>Aktif</t>
        </is>
      </c>
      <c r="T737" s="3" t="n"/>
      <c r="U737" s="3" t="inlineStr">
        <is>
          <t>ASSET TKIA-24 2025(1).xlsx | ASET TKIA</t>
        </is>
      </c>
    </row>
    <row r="738">
      <c r="A738" s="3" t="n">
        <v>735</v>
      </c>
      <c r="B738" s="3" t="inlineStr">
        <is>
          <t>171 - 02 - 02</t>
        </is>
      </c>
      <c r="C738" s="3" t="inlineStr">
        <is>
          <t>TKIA 24 JATIKRAMAT</t>
        </is>
      </c>
      <c r="D738" s="3" t="inlineStr">
        <is>
          <t>II / SULAIMAN / B</t>
        </is>
      </c>
      <c r="E738" s="3" t="inlineStr">
        <is>
          <t>Pengeras Suara</t>
        </is>
      </c>
      <c r="F738" s="3" t="inlineStr">
        <is>
          <t>Pengeras Suara</t>
        </is>
      </c>
      <c r="G738" s="3" t="inlineStr">
        <is>
          <t>Elektro China</t>
        </is>
      </c>
      <c r="H738" s="3" t="n"/>
      <c r="I738" s="3" t="inlineStr">
        <is>
          <t>1 Unit</t>
        </is>
      </c>
      <c r="J738" s="4" t="n"/>
      <c r="K738" s="3" t="n"/>
      <c r="L738" s="5" t="n"/>
      <c r="M738" s="5" t="n"/>
      <c r="N738" s="3" t="inlineStr">
        <is>
          <t>171 - 02 - 02</t>
        </is>
      </c>
      <c r="O738" s="3" t="n">
        <v>4</v>
      </c>
      <c r="P738" s="5" t="n"/>
      <c r="Q738" s="5" t="n"/>
      <c r="R738" s="3" t="inlineStr">
        <is>
          <t>Baik</t>
        </is>
      </c>
      <c r="S738" s="3" t="inlineStr">
        <is>
          <t>Aktif</t>
        </is>
      </c>
      <c r="T738" s="3" t="n"/>
      <c r="U738" s="3" t="inlineStr">
        <is>
          <t>ASSET TKIA-24 2025(1).xlsx | ASET TKIA</t>
        </is>
      </c>
    </row>
    <row r="739">
      <c r="A739" s="3" t="n">
        <v>736</v>
      </c>
      <c r="B739" s="3" t="inlineStr">
        <is>
          <t>171 - 02 - 02</t>
        </is>
      </c>
      <c r="C739" s="3" t="inlineStr">
        <is>
          <t>TKIA 24 JATIKRAMAT</t>
        </is>
      </c>
      <c r="D739" s="3" t="inlineStr">
        <is>
          <t>II / SULAIMAN / B</t>
        </is>
      </c>
      <c r="E739" s="3" t="inlineStr">
        <is>
          <t>Locker</t>
        </is>
      </c>
      <c r="F739" s="3" t="inlineStr">
        <is>
          <t>Locker</t>
        </is>
      </c>
      <c r="G739" s="3" t="inlineStr">
        <is>
          <t>Kayu Lokal</t>
        </is>
      </c>
      <c r="H739" s="3" t="inlineStr">
        <is>
          <t>85 cm x 150 cm</t>
        </is>
      </c>
      <c r="I739" s="3" t="inlineStr">
        <is>
          <t>5 Unit</t>
        </is>
      </c>
      <c r="J739" s="4" t="n"/>
      <c r="K739" s="3" t="n"/>
      <c r="L739" s="5" t="n"/>
      <c r="M739" s="5" t="n"/>
      <c r="N739" s="3" t="inlineStr">
        <is>
          <t>171 - 02 - 02</t>
        </is>
      </c>
      <c r="O739" s="3" t="n">
        <v>4</v>
      </c>
      <c r="P739" s="5" t="n"/>
      <c r="Q739" s="5" t="n"/>
      <c r="R739" s="3" t="inlineStr">
        <is>
          <t>Baik</t>
        </is>
      </c>
      <c r="S739" s="3" t="inlineStr">
        <is>
          <t>Aktif</t>
        </is>
      </c>
      <c r="T739" s="3" t="n"/>
      <c r="U739" s="3" t="inlineStr">
        <is>
          <t>ASSET TKIA-24 2025(1).xlsx | ASET TKIA</t>
        </is>
      </c>
    </row>
    <row r="740">
      <c r="A740" s="3" t="n">
        <v>737</v>
      </c>
      <c r="B740" s="3" t="inlineStr">
        <is>
          <t>171 - 02 - 02</t>
        </is>
      </c>
      <c r="C740" s="3" t="inlineStr">
        <is>
          <t>TKIA 24 JATIKRAMAT</t>
        </is>
      </c>
      <c r="D740" s="3" t="inlineStr">
        <is>
          <t>II / SULAIMAN / B</t>
        </is>
      </c>
      <c r="E740" s="3" t="inlineStr">
        <is>
          <t>Rak Buku</t>
        </is>
      </c>
      <c r="F740" s="3" t="inlineStr">
        <is>
          <t>Rak Buku</t>
        </is>
      </c>
      <c r="G740" s="3" t="inlineStr">
        <is>
          <t>Lokal</t>
        </is>
      </c>
      <c r="H740" s="3" t="inlineStr">
        <is>
          <t>83 cm x 131 cm</t>
        </is>
      </c>
      <c r="I740" s="3" t="inlineStr">
        <is>
          <t>3 Unit</t>
        </is>
      </c>
      <c r="J740" s="4" t="n"/>
      <c r="K740" s="3" t="n"/>
      <c r="L740" s="5" t="n"/>
      <c r="M740" s="5" t="n"/>
      <c r="N740" s="3" t="inlineStr">
        <is>
          <t>171 - 02 - 02</t>
        </is>
      </c>
      <c r="O740" s="3" t="n">
        <v>4</v>
      </c>
      <c r="P740" s="5" t="n"/>
      <c r="Q740" s="5" t="n"/>
      <c r="R740" s="3" t="inlineStr">
        <is>
          <t>Baik</t>
        </is>
      </c>
      <c r="S740" s="3" t="inlineStr">
        <is>
          <t>Aktif</t>
        </is>
      </c>
      <c r="T740" s="3" t="n"/>
      <c r="U740" s="3" t="inlineStr">
        <is>
          <t>ASSET TKIA-24 2025(1).xlsx | ASET TKIA</t>
        </is>
      </c>
    </row>
    <row r="741">
      <c r="A741" s="3" t="n">
        <v>738</v>
      </c>
      <c r="B741" s="3" t="inlineStr">
        <is>
          <t>171 - 02 - 02</t>
        </is>
      </c>
      <c r="C741" s="3" t="inlineStr">
        <is>
          <t>TKIA 24 JATIKRAMAT</t>
        </is>
      </c>
      <c r="D741" s="3" t="inlineStr">
        <is>
          <t>II / SULAIMAN / B</t>
        </is>
      </c>
      <c r="E741" s="3" t="inlineStr">
        <is>
          <t>Kichen Set Anak</t>
        </is>
      </c>
      <c r="F741" s="3" t="inlineStr">
        <is>
          <t>Kichen Set Anak</t>
        </is>
      </c>
      <c r="G741" s="3" t="inlineStr">
        <is>
          <t>Taiwan</t>
        </is>
      </c>
      <c r="H741" s="3" t="n"/>
      <c r="I741" s="3" t="inlineStr">
        <is>
          <t>1 Unit</t>
        </is>
      </c>
      <c r="J741" s="4" t="n"/>
      <c r="K741" s="3" t="n"/>
      <c r="L741" s="5" t="n"/>
      <c r="M741" s="5" t="n"/>
      <c r="N741" s="3" t="inlineStr">
        <is>
          <t>171 - 02 - 02</t>
        </is>
      </c>
      <c r="O741" s="3" t="n">
        <v>4</v>
      </c>
      <c r="P741" s="5" t="n"/>
      <c r="Q741" s="5" t="n"/>
      <c r="R741" s="3" t="inlineStr">
        <is>
          <t>Baik</t>
        </is>
      </c>
      <c r="S741" s="3" t="inlineStr">
        <is>
          <t>Aktif</t>
        </is>
      </c>
      <c r="T741" s="3" t="n"/>
      <c r="U741" s="3" t="inlineStr">
        <is>
          <t>ASSET TKIA-24 2025(1).xlsx | ASET TKIA</t>
        </is>
      </c>
    </row>
    <row r="742">
      <c r="A742" s="3" t="n">
        <v>739</v>
      </c>
      <c r="B742" s="3" t="inlineStr">
        <is>
          <t>171 - 02 - 02</t>
        </is>
      </c>
      <c r="C742" s="3" t="inlineStr">
        <is>
          <t>TKIA 24 JATIKRAMAT</t>
        </is>
      </c>
      <c r="D742" s="3" t="inlineStr">
        <is>
          <t>II / SULAIMAN / B</t>
        </is>
      </c>
      <c r="E742" s="3" t="inlineStr">
        <is>
          <t>With Board</t>
        </is>
      </c>
      <c r="F742" s="3" t="inlineStr">
        <is>
          <t>With Board</t>
        </is>
      </c>
      <c r="G742" s="3" t="inlineStr">
        <is>
          <t>Lokal</t>
        </is>
      </c>
      <c r="H742" s="3" t="inlineStr">
        <is>
          <t>120 cm x 240 cm</t>
        </is>
      </c>
      <c r="I742" s="3" t="inlineStr">
        <is>
          <t>1 Unit</t>
        </is>
      </c>
      <c r="J742" s="4" t="n"/>
      <c r="K742" s="3" t="n"/>
      <c r="L742" s="5" t="n"/>
      <c r="M742" s="5" t="n"/>
      <c r="N742" s="3" t="inlineStr">
        <is>
          <t>171 - 02 - 02</t>
        </is>
      </c>
      <c r="O742" s="3" t="n">
        <v>4</v>
      </c>
      <c r="P742" s="5" t="n"/>
      <c r="Q742" s="5" t="n"/>
      <c r="R742" s="3" t="inlineStr">
        <is>
          <t>Baik</t>
        </is>
      </c>
      <c r="S742" s="3" t="inlineStr">
        <is>
          <t>Aktif</t>
        </is>
      </c>
      <c r="T742" s="3" t="n"/>
      <c r="U742" s="3" t="inlineStr">
        <is>
          <t>ASSET TKIA-24 2025(1).xlsx | ASET TKIA</t>
        </is>
      </c>
    </row>
    <row r="743">
      <c r="A743" s="3" t="n">
        <v>740</v>
      </c>
      <c r="B743" s="3" t="inlineStr">
        <is>
          <t>171 - 02 - 02</t>
        </is>
      </c>
      <c r="C743" s="3" t="inlineStr">
        <is>
          <t>TKIA 24 JATIKRAMAT</t>
        </is>
      </c>
      <c r="D743" s="3" t="inlineStr">
        <is>
          <t>II / SULAIMAN / B</t>
        </is>
      </c>
      <c r="E743" s="3" t="inlineStr">
        <is>
          <t>Meja Bundar</t>
        </is>
      </c>
      <c r="F743" s="3" t="inlineStr">
        <is>
          <t>Meja Bundar</t>
        </is>
      </c>
      <c r="G743" s="3" t="inlineStr">
        <is>
          <t>Plastik Taiwan</t>
        </is>
      </c>
      <c r="H743" s="3" t="inlineStr">
        <is>
          <t>Diameter 114</t>
        </is>
      </c>
      <c r="I743" s="3" t="inlineStr">
        <is>
          <t>1 Unit</t>
        </is>
      </c>
      <c r="J743" s="4" t="n"/>
      <c r="K743" s="3" t="n"/>
      <c r="L743" s="5" t="n"/>
      <c r="M743" s="5" t="n"/>
      <c r="N743" s="3" t="inlineStr">
        <is>
          <t>171 - 02 - 02</t>
        </is>
      </c>
      <c r="O743" s="3" t="n">
        <v>4</v>
      </c>
      <c r="P743" s="5" t="n"/>
      <c r="Q743" s="5" t="n"/>
      <c r="R743" s="3" t="inlineStr">
        <is>
          <t>Baik</t>
        </is>
      </c>
      <c r="S743" s="3" t="inlineStr">
        <is>
          <t>Aktif</t>
        </is>
      </c>
      <c r="T743" s="3" t="n"/>
      <c r="U743" s="3" t="inlineStr">
        <is>
          <t>ASSET TKIA-24 2025(1).xlsx | ASET TKIA</t>
        </is>
      </c>
    </row>
    <row r="744">
      <c r="A744" s="3" t="n">
        <v>741</v>
      </c>
      <c r="B744" s="3" t="inlineStr">
        <is>
          <t>171 - 02 - 02</t>
        </is>
      </c>
      <c r="C744" s="3" t="inlineStr">
        <is>
          <t>TKIA 24 JATIKRAMAT</t>
        </is>
      </c>
      <c r="D744" s="3" t="inlineStr">
        <is>
          <t>II / SULAIMAN / B</t>
        </is>
      </c>
      <c r="E744" s="3" t="inlineStr">
        <is>
          <t>Meja Bundar</t>
        </is>
      </c>
      <c r="F744" s="3" t="inlineStr">
        <is>
          <t>Meja Bundar</t>
        </is>
      </c>
      <c r="G744" s="3" t="inlineStr">
        <is>
          <t>Kayu Lokal</t>
        </is>
      </c>
      <c r="H744" s="3" t="inlineStr">
        <is>
          <t>Diameter 120</t>
        </is>
      </c>
      <c r="I744" s="3" t="inlineStr">
        <is>
          <t>1 Unit</t>
        </is>
      </c>
      <c r="J744" s="4" t="n"/>
      <c r="K744" s="3" t="n"/>
      <c r="L744" s="5" t="n"/>
      <c r="M744" s="5" t="n"/>
      <c r="N744" s="3" t="inlineStr">
        <is>
          <t>171 - 02 - 02</t>
        </is>
      </c>
      <c r="O744" s="3" t="n">
        <v>4</v>
      </c>
      <c r="P744" s="5" t="n"/>
      <c r="Q744" s="5" t="n"/>
      <c r="R744" s="3" t="inlineStr">
        <is>
          <t>Baik</t>
        </is>
      </c>
      <c r="S744" s="3" t="inlineStr">
        <is>
          <t>Aktif</t>
        </is>
      </c>
      <c r="T744" s="3" t="n"/>
      <c r="U744" s="3" t="inlineStr">
        <is>
          <t>ASSET TKIA-24 2025(1).xlsx | ASET TKIA</t>
        </is>
      </c>
    </row>
    <row r="745">
      <c r="A745" s="3" t="n">
        <v>742</v>
      </c>
      <c r="B745" s="3" t="inlineStr">
        <is>
          <t>171 - 02 - 02</t>
        </is>
      </c>
      <c r="C745" s="3" t="inlineStr">
        <is>
          <t>TKIA 24 JATIKRAMAT</t>
        </is>
      </c>
      <c r="D745" s="3" t="inlineStr">
        <is>
          <t>II / SULAIMAN / B</t>
        </is>
      </c>
      <c r="E745" s="3" t="inlineStr">
        <is>
          <t>Kursi</t>
        </is>
      </c>
      <c r="F745" s="3" t="inlineStr">
        <is>
          <t>Kursi</t>
        </is>
      </c>
      <c r="G745" s="3" t="inlineStr">
        <is>
          <t>Plastik</t>
        </is>
      </c>
      <c r="H745" s="3" t="inlineStr">
        <is>
          <t>31 cm x 26 cm x 26 cm</t>
        </is>
      </c>
      <c r="I745" s="3" t="inlineStr">
        <is>
          <t>5 Unit</t>
        </is>
      </c>
      <c r="J745" s="4" t="n"/>
      <c r="K745" s="3" t="n"/>
      <c r="L745" s="5" t="n"/>
      <c r="M745" s="5" t="n"/>
      <c r="N745" s="3" t="inlineStr">
        <is>
          <t>171 - 02 - 02</t>
        </is>
      </c>
      <c r="O745" s="3" t="n">
        <v>4</v>
      </c>
      <c r="P745" s="5" t="n"/>
      <c r="Q745" s="5" t="n"/>
      <c r="R745" s="3" t="inlineStr">
        <is>
          <t>Baik</t>
        </is>
      </c>
      <c r="S745" s="3" t="inlineStr">
        <is>
          <t>Aktif</t>
        </is>
      </c>
      <c r="T745" s="3" t="n"/>
      <c r="U745" s="3" t="inlineStr">
        <is>
          <t>ASSET TKIA-24 2025(1).xlsx | ASET TKIA</t>
        </is>
      </c>
    </row>
    <row r="746">
      <c r="A746" s="3" t="n">
        <v>743</v>
      </c>
      <c r="B746" s="3" t="inlineStr">
        <is>
          <t>171 - 02 - 02</t>
        </is>
      </c>
      <c r="C746" s="3" t="inlineStr">
        <is>
          <t>TKIA 24 JATIKRAMAT</t>
        </is>
      </c>
      <c r="D746" s="3" t="inlineStr">
        <is>
          <t>II / SULAIMAN / B</t>
        </is>
      </c>
      <c r="E746" s="3" t="inlineStr">
        <is>
          <t>Kursi</t>
        </is>
      </c>
      <c r="F746" s="3" t="inlineStr">
        <is>
          <t>Kursi</t>
        </is>
      </c>
      <c r="G746" s="3" t="inlineStr">
        <is>
          <t>Kayu</t>
        </is>
      </c>
      <c r="H746" s="3" t="inlineStr">
        <is>
          <t>30 cm x 30 cm x 30 cm</t>
        </is>
      </c>
      <c r="I746" s="3" t="inlineStr">
        <is>
          <t>2 Unit</t>
        </is>
      </c>
      <c r="J746" s="4" t="n"/>
      <c r="K746" s="3" t="n"/>
      <c r="L746" s="5" t="n"/>
      <c r="M746" s="5" t="n"/>
      <c r="N746" s="3" t="inlineStr">
        <is>
          <t>171 - 02 - 02</t>
        </is>
      </c>
      <c r="O746" s="3" t="n">
        <v>4</v>
      </c>
      <c r="P746" s="5" t="n"/>
      <c r="Q746" s="5" t="n"/>
      <c r="R746" s="3" t="inlineStr">
        <is>
          <t>Baik</t>
        </is>
      </c>
      <c r="S746" s="3" t="inlineStr">
        <is>
          <t>Aktif</t>
        </is>
      </c>
      <c r="T746" s="3" t="n"/>
      <c r="U746" s="3" t="inlineStr">
        <is>
          <t>ASSET TKIA-24 2025(1).xlsx | ASET TKIA</t>
        </is>
      </c>
    </row>
    <row r="747">
      <c r="A747" s="3" t="n">
        <v>744</v>
      </c>
      <c r="B747" s="3" t="inlineStr">
        <is>
          <t>171 - 02 - 02</t>
        </is>
      </c>
      <c r="C747" s="3" t="inlineStr">
        <is>
          <t>TKIA 24 JATIKRAMAT</t>
        </is>
      </c>
      <c r="D747" s="3" t="inlineStr">
        <is>
          <t>II / SULAIMAN / B</t>
        </is>
      </c>
      <c r="E747" s="3" t="inlineStr">
        <is>
          <t>White Board</t>
        </is>
      </c>
      <c r="F747" s="3" t="inlineStr">
        <is>
          <t>White Board</t>
        </is>
      </c>
      <c r="G747" s="3" t="inlineStr">
        <is>
          <t>Mika</t>
        </is>
      </c>
      <c r="H747" s="3" t="inlineStr">
        <is>
          <t>60 cm x 40 cm</t>
        </is>
      </c>
      <c r="I747" s="3" t="inlineStr">
        <is>
          <t>1 Unit</t>
        </is>
      </c>
      <c r="J747" s="4" t="n"/>
      <c r="K747" s="3" t="n"/>
      <c r="L747" s="5" t="n"/>
      <c r="M747" s="5" t="n"/>
      <c r="N747" s="3" t="inlineStr">
        <is>
          <t>171 - 02 - 02</t>
        </is>
      </c>
      <c r="O747" s="3" t="n">
        <v>4</v>
      </c>
      <c r="P747" s="5" t="n"/>
      <c r="Q747" s="5" t="n"/>
      <c r="R747" s="3" t="n"/>
      <c r="S747" s="3" t="inlineStr">
        <is>
          <t>Aktif</t>
        </is>
      </c>
      <c r="T747" s="3" t="n"/>
      <c r="U747" s="3" t="inlineStr">
        <is>
          <t>ASSET TKIA-24 2025(1).xlsx | ASET TKIA</t>
        </is>
      </c>
    </row>
    <row r="748">
      <c r="A748" s="3" t="n">
        <v>745</v>
      </c>
      <c r="B748" s="3" t="inlineStr">
        <is>
          <t>171 - 02 - 02</t>
        </is>
      </c>
      <c r="C748" s="3" t="inlineStr">
        <is>
          <t>TKIA 24 JATIKRAMAT</t>
        </is>
      </c>
      <c r="D748" s="3" t="inlineStr">
        <is>
          <t>II / SULAIMAN / B</t>
        </is>
      </c>
      <c r="E748" s="3" t="inlineStr">
        <is>
          <t>WIFI</t>
        </is>
      </c>
      <c r="F748" s="3" t="inlineStr">
        <is>
          <t>WIFI</t>
        </is>
      </c>
      <c r="G748" s="3" t="inlineStr">
        <is>
          <t>Canpur</t>
        </is>
      </c>
      <c r="H748" s="3" t="n"/>
      <c r="I748" s="3" t="inlineStr">
        <is>
          <t>1 Unit</t>
        </is>
      </c>
      <c r="J748" s="4" t="n"/>
      <c r="K748" s="3" t="n"/>
      <c r="L748" s="5" t="n"/>
      <c r="M748" s="5" t="n"/>
      <c r="N748" s="3" t="inlineStr">
        <is>
          <t>171 - 02 - 02</t>
        </is>
      </c>
      <c r="O748" s="3" t="n">
        <v>4</v>
      </c>
      <c r="P748" s="5" t="n"/>
      <c r="Q748" s="5" t="n"/>
      <c r="R748" s="3" t="n"/>
      <c r="S748" s="3" t="inlineStr">
        <is>
          <t>Aktif</t>
        </is>
      </c>
      <c r="T748" s="3" t="n"/>
      <c r="U748" s="3" t="inlineStr">
        <is>
          <t>ASSET TKIA-24 2025(1).xlsx | ASET TKIA</t>
        </is>
      </c>
    </row>
    <row r="749">
      <c r="A749" s="3" t="n">
        <v>746</v>
      </c>
      <c r="B749" s="3" t="inlineStr">
        <is>
          <t>171 - 02 - 02</t>
        </is>
      </c>
      <c r="C749" s="3" t="inlineStr">
        <is>
          <t>TKIA 24 JATIKRAMAT</t>
        </is>
      </c>
      <c r="D749" s="3" t="inlineStr">
        <is>
          <t>II / MUHAMMAD / B</t>
        </is>
      </c>
      <c r="E749" s="3" t="inlineStr">
        <is>
          <t>Infokus</t>
        </is>
      </c>
      <c r="F749" s="3" t="inlineStr">
        <is>
          <t>Infokus</t>
        </is>
      </c>
      <c r="G749" s="3" t="inlineStr">
        <is>
          <t>Elektrik</t>
        </is>
      </c>
      <c r="H749" s="3" t="n"/>
      <c r="I749" s="3" t="inlineStr">
        <is>
          <t>1 Unit</t>
        </is>
      </c>
      <c r="J749" s="4" t="n"/>
      <c r="K749" s="3" t="n"/>
      <c r="L749" s="5" t="n"/>
      <c r="M749" s="5" t="n"/>
      <c r="N749" s="3" t="inlineStr">
        <is>
          <t>171 - 02 - 02</t>
        </is>
      </c>
      <c r="O749" s="3" t="n">
        <v>4</v>
      </c>
      <c r="P749" s="5" t="n"/>
      <c r="Q749" s="5" t="n"/>
      <c r="R749" s="3" t="inlineStr">
        <is>
          <t>Baik</t>
        </is>
      </c>
      <c r="S749" s="3" t="inlineStr">
        <is>
          <t>Aktif</t>
        </is>
      </c>
      <c r="T749" s="3" t="n"/>
      <c r="U749" s="3" t="inlineStr">
        <is>
          <t>ASSET TKIA-24 2025(1).xlsx | ASET TKIA</t>
        </is>
      </c>
    </row>
    <row r="750">
      <c r="A750" s="3" t="n">
        <v>747</v>
      </c>
      <c r="B750" s="3" t="inlineStr">
        <is>
          <t>171 - 02 - 02</t>
        </is>
      </c>
      <c r="C750" s="3" t="inlineStr">
        <is>
          <t>TKIA 24 JATIKRAMAT</t>
        </is>
      </c>
      <c r="D750" s="3" t="inlineStr">
        <is>
          <t>II / MUHAMMAD / B</t>
        </is>
      </c>
      <c r="E750" s="3" t="inlineStr">
        <is>
          <t>Screen Shoot</t>
        </is>
      </c>
      <c r="F750" s="3" t="inlineStr">
        <is>
          <t>Screen Shoot</t>
        </is>
      </c>
      <c r="G750" s="3" t="inlineStr">
        <is>
          <t>Plastik</t>
        </is>
      </c>
      <c r="H750" s="3" t="inlineStr">
        <is>
          <t>175 cm x 180 cm</t>
        </is>
      </c>
      <c r="I750" s="3" t="inlineStr">
        <is>
          <t>1 Unit</t>
        </is>
      </c>
      <c r="J750" s="4" t="n"/>
      <c r="K750" s="3" t="n"/>
      <c r="L750" s="5" t="n"/>
      <c r="M750" s="5" t="n"/>
      <c r="N750" s="3" t="inlineStr">
        <is>
          <t>171 - 02 - 02</t>
        </is>
      </c>
      <c r="O750" s="3" t="n">
        <v>4</v>
      </c>
      <c r="P750" s="5" t="n"/>
      <c r="Q750" s="5" t="n"/>
      <c r="R750" s="3" t="inlineStr">
        <is>
          <t>Baik</t>
        </is>
      </c>
      <c r="S750" s="3" t="inlineStr">
        <is>
          <t>Aktif</t>
        </is>
      </c>
      <c r="T750" s="3" t="n"/>
      <c r="U750" s="3" t="inlineStr">
        <is>
          <t>ASSET TKIA-24 2025(1).xlsx | ASET TKIA</t>
        </is>
      </c>
    </row>
    <row r="751">
      <c r="A751" s="3" t="n">
        <v>748</v>
      </c>
      <c r="B751" s="3" t="inlineStr">
        <is>
          <t>171 - 02 - 02</t>
        </is>
      </c>
      <c r="C751" s="3" t="inlineStr">
        <is>
          <t>TKIA 24 JATIKRAMAT</t>
        </is>
      </c>
      <c r="D751" s="3" t="inlineStr">
        <is>
          <t>II / MUHAMMAD / B</t>
        </is>
      </c>
      <c r="E751" s="3" t="inlineStr">
        <is>
          <t>White Board</t>
        </is>
      </c>
      <c r="F751" s="3" t="inlineStr">
        <is>
          <t>White Board</t>
        </is>
      </c>
      <c r="G751" s="3" t="inlineStr">
        <is>
          <t>Kayu</t>
        </is>
      </c>
      <c r="H751" s="3" t="inlineStr">
        <is>
          <t>240 cm x 120 cm</t>
        </is>
      </c>
      <c r="I751" s="3" t="inlineStr">
        <is>
          <t>1 Unit</t>
        </is>
      </c>
      <c r="J751" s="4" t="n"/>
      <c r="K751" s="3" t="n"/>
      <c r="L751" s="5" t="n"/>
      <c r="M751" s="5" t="n"/>
      <c r="N751" s="3" t="inlineStr">
        <is>
          <t>171 - 02 - 02</t>
        </is>
      </c>
      <c r="O751" s="3" t="n">
        <v>4</v>
      </c>
      <c r="P751" s="5" t="n"/>
      <c r="Q751" s="5" t="n"/>
      <c r="R751" s="3" t="inlineStr">
        <is>
          <t>Baik</t>
        </is>
      </c>
      <c r="S751" s="3" t="inlineStr">
        <is>
          <t>Aktif</t>
        </is>
      </c>
      <c r="T751" s="3" t="n"/>
      <c r="U751" s="3" t="inlineStr">
        <is>
          <t>ASSET TKIA-24 2025(1).xlsx | ASET TKIA</t>
        </is>
      </c>
    </row>
    <row r="752">
      <c r="A752" s="3" t="n">
        <v>749</v>
      </c>
      <c r="B752" s="3" t="inlineStr">
        <is>
          <t>171 - 02 - 02</t>
        </is>
      </c>
      <c r="C752" s="3" t="inlineStr">
        <is>
          <t>TKIA 24 JATIKRAMAT</t>
        </is>
      </c>
      <c r="D752" s="3" t="inlineStr">
        <is>
          <t>II / MUHAMMAD / B</t>
        </is>
      </c>
      <c r="E752" s="3" t="inlineStr">
        <is>
          <t>Loker</t>
        </is>
      </c>
      <c r="F752" s="3" t="inlineStr">
        <is>
          <t>Loker</t>
        </is>
      </c>
      <c r="G752" s="3" t="inlineStr">
        <is>
          <t>Kayu</t>
        </is>
      </c>
      <c r="H752" s="3" t="inlineStr">
        <is>
          <t>100 cm x 150 cm</t>
        </is>
      </c>
      <c r="I752" s="3" t="inlineStr">
        <is>
          <t>6 Unit</t>
        </is>
      </c>
      <c r="J752" s="4" t="n"/>
      <c r="K752" s="3" t="n"/>
      <c r="L752" s="5" t="n"/>
      <c r="M752" s="5" t="n"/>
      <c r="N752" s="3" t="inlineStr">
        <is>
          <t>171 - 02 - 02</t>
        </is>
      </c>
      <c r="O752" s="3" t="n">
        <v>4</v>
      </c>
      <c r="P752" s="5" t="n"/>
      <c r="Q752" s="5" t="n"/>
      <c r="R752" s="3" t="inlineStr">
        <is>
          <t>Baik</t>
        </is>
      </c>
      <c r="S752" s="3" t="inlineStr">
        <is>
          <t>Aktif</t>
        </is>
      </c>
      <c r="T752" s="3" t="n"/>
      <c r="U752" s="3" t="inlineStr">
        <is>
          <t>ASSET TKIA-24 2025(1).xlsx | ASET TKIA</t>
        </is>
      </c>
    </row>
    <row r="753">
      <c r="A753" s="3" t="n">
        <v>750</v>
      </c>
      <c r="B753" s="3" t="inlineStr">
        <is>
          <t>171 - 02 - 02</t>
        </is>
      </c>
      <c r="C753" s="3" t="inlineStr">
        <is>
          <t>TKIA 24 JATIKRAMAT</t>
        </is>
      </c>
      <c r="D753" s="3" t="inlineStr">
        <is>
          <t>II / MUHAMMAD / B</t>
        </is>
      </c>
      <c r="E753" s="3" t="inlineStr">
        <is>
          <t>Rak Buku</t>
        </is>
      </c>
      <c r="F753" s="3" t="inlineStr">
        <is>
          <t>Rak Buku</t>
        </is>
      </c>
      <c r="G753" s="3" t="inlineStr">
        <is>
          <t>Kayu</t>
        </is>
      </c>
      <c r="H753" s="3" t="inlineStr">
        <is>
          <t>170 cm x 110 cm</t>
        </is>
      </c>
      <c r="I753" s="3" t="inlineStr">
        <is>
          <t>1 Unit</t>
        </is>
      </c>
      <c r="J753" s="4" t="n"/>
      <c r="K753" s="3" t="n"/>
      <c r="L753" s="5" t="n"/>
      <c r="M753" s="5" t="n"/>
      <c r="N753" s="3" t="inlineStr">
        <is>
          <t>171 - 02 - 02</t>
        </is>
      </c>
      <c r="O753" s="3" t="n">
        <v>4</v>
      </c>
      <c r="P753" s="5" t="n"/>
      <c r="Q753" s="5" t="n"/>
      <c r="R753" s="3" t="inlineStr">
        <is>
          <t>Baik</t>
        </is>
      </c>
      <c r="S753" s="3" t="inlineStr">
        <is>
          <t>Aktif</t>
        </is>
      </c>
      <c r="T753" s="3" t="n"/>
      <c r="U753" s="3" t="inlineStr">
        <is>
          <t>ASSET TKIA-24 2025(1).xlsx | ASET TKIA</t>
        </is>
      </c>
    </row>
    <row r="754">
      <c r="A754" s="3" t="n">
        <v>751</v>
      </c>
      <c r="B754" s="3" t="inlineStr">
        <is>
          <t>171 - 02 - 02</t>
        </is>
      </c>
      <c r="C754" s="3" t="inlineStr">
        <is>
          <t>TKIA 24 JATIKRAMAT</t>
        </is>
      </c>
      <c r="D754" s="3" t="inlineStr">
        <is>
          <t>II / MUHAMMAD / B</t>
        </is>
      </c>
      <c r="E754" s="3" t="inlineStr">
        <is>
          <t>Meja Bundar</t>
        </is>
      </c>
      <c r="F754" s="3" t="inlineStr">
        <is>
          <t>Meja Bundar</t>
        </is>
      </c>
      <c r="G754" s="3" t="inlineStr">
        <is>
          <t>Plastik</t>
        </is>
      </c>
      <c r="H754" s="3" t="inlineStr">
        <is>
          <t>Diameter 114</t>
        </is>
      </c>
      <c r="I754" s="3" t="inlineStr">
        <is>
          <t>1 Unit</t>
        </is>
      </c>
      <c r="J754" s="4" t="n"/>
      <c r="K754" s="3" t="n"/>
      <c r="L754" s="5" t="n"/>
      <c r="M754" s="5" t="n"/>
      <c r="N754" s="3" t="inlineStr">
        <is>
          <t>171 - 02 - 02</t>
        </is>
      </c>
      <c r="O754" s="3" t="n">
        <v>4</v>
      </c>
      <c r="P754" s="5" t="n"/>
      <c r="Q754" s="5" t="n"/>
      <c r="R754" s="3" t="inlineStr">
        <is>
          <t>Baik</t>
        </is>
      </c>
      <c r="S754" s="3" t="inlineStr">
        <is>
          <t>Aktif</t>
        </is>
      </c>
      <c r="T754" s="3" t="n"/>
      <c r="U754" s="3" t="inlineStr">
        <is>
          <t>ASSET TKIA-24 2025(1).xlsx | ASET TKIA</t>
        </is>
      </c>
    </row>
    <row r="755">
      <c r="A755" s="3" t="n">
        <v>752</v>
      </c>
      <c r="B755" s="3" t="inlineStr">
        <is>
          <t>171 - 02 - 02</t>
        </is>
      </c>
      <c r="C755" s="3" t="inlineStr">
        <is>
          <t>TKIA 24 JATIKRAMAT</t>
        </is>
      </c>
      <c r="D755" s="3" t="inlineStr">
        <is>
          <t>II / MUHAMMAD / B</t>
        </is>
      </c>
      <c r="E755" s="3" t="inlineStr">
        <is>
          <t>Meja Persegi</t>
        </is>
      </c>
      <c r="F755" s="3" t="inlineStr">
        <is>
          <t>Meja Persegi</t>
        </is>
      </c>
      <c r="G755" s="3" t="inlineStr">
        <is>
          <t>Plastik</t>
        </is>
      </c>
      <c r="H755" s="3" t="inlineStr">
        <is>
          <t>120 cm x 60 cm</t>
        </is>
      </c>
      <c r="I755" s="3" t="inlineStr">
        <is>
          <t>1 Unit</t>
        </is>
      </c>
      <c r="J755" s="4" t="n"/>
      <c r="K755" s="3" t="n"/>
      <c r="L755" s="5" t="n"/>
      <c r="M755" s="5" t="n"/>
      <c r="N755" s="3" t="inlineStr">
        <is>
          <t>171 - 02 - 02</t>
        </is>
      </c>
      <c r="O755" s="3" t="n">
        <v>4</v>
      </c>
      <c r="P755" s="5" t="n"/>
      <c r="Q755" s="5" t="n"/>
      <c r="R755" s="3" t="inlineStr">
        <is>
          <t>Baik</t>
        </is>
      </c>
      <c r="S755" s="3" t="inlineStr">
        <is>
          <t>Aktif</t>
        </is>
      </c>
      <c r="T755" s="3" t="n"/>
      <c r="U755" s="3" t="inlineStr">
        <is>
          <t>ASSET TKIA-24 2025(1).xlsx | ASET TKIA</t>
        </is>
      </c>
    </row>
    <row r="756">
      <c r="A756" s="3" t="n">
        <v>753</v>
      </c>
      <c r="B756" s="3" t="inlineStr">
        <is>
          <t>171 - 02 - 02</t>
        </is>
      </c>
      <c r="C756" s="3" t="inlineStr">
        <is>
          <t>TKIA 24 JATIKRAMAT</t>
        </is>
      </c>
      <c r="D756" s="3" t="inlineStr">
        <is>
          <t>II / MUHAMMAD / B</t>
        </is>
      </c>
      <c r="E756" s="3" t="inlineStr">
        <is>
          <t>Meja Bundar</t>
        </is>
      </c>
      <c r="F756" s="3" t="inlineStr">
        <is>
          <t>Meja Bundar</t>
        </is>
      </c>
      <c r="G756" s="3" t="inlineStr">
        <is>
          <t>Kayu</t>
        </is>
      </c>
      <c r="H756" s="3" t="inlineStr">
        <is>
          <t>Diameter 102 cm</t>
        </is>
      </c>
      <c r="I756" s="3" t="inlineStr">
        <is>
          <t>1 Unit</t>
        </is>
      </c>
      <c r="J756" s="4" t="n"/>
      <c r="K756" s="3" t="n"/>
      <c r="L756" s="5" t="n"/>
      <c r="M756" s="5" t="n"/>
      <c r="N756" s="3" t="inlineStr">
        <is>
          <t>171 - 02 - 02</t>
        </is>
      </c>
      <c r="O756" s="3" t="n">
        <v>4</v>
      </c>
      <c r="P756" s="5" t="n"/>
      <c r="Q756" s="5" t="n"/>
      <c r="R756" s="3" t="inlineStr">
        <is>
          <t>Baik</t>
        </is>
      </c>
      <c r="S756" s="3" t="inlineStr">
        <is>
          <t>Aktif</t>
        </is>
      </c>
      <c r="T756" s="3" t="n"/>
      <c r="U756" s="3" t="inlineStr">
        <is>
          <t>ASSET TKIA-24 2025(1).xlsx | ASET TKIA</t>
        </is>
      </c>
    </row>
    <row r="757">
      <c r="A757" s="3" t="n">
        <v>754</v>
      </c>
      <c r="B757" s="3" t="inlineStr">
        <is>
          <t>171 - 02 - 02</t>
        </is>
      </c>
      <c r="C757" s="3" t="inlineStr">
        <is>
          <t>TKIA 24 JATIKRAMAT</t>
        </is>
      </c>
      <c r="D757" s="3" t="inlineStr">
        <is>
          <t>II / MUHAMMAD / B</t>
        </is>
      </c>
      <c r="E757" s="3" t="inlineStr">
        <is>
          <t>Meja Persegi</t>
        </is>
      </c>
      <c r="F757" s="3" t="inlineStr">
        <is>
          <t>Meja Persegi</t>
        </is>
      </c>
      <c r="G757" s="3" t="inlineStr">
        <is>
          <t>Kayu</t>
        </is>
      </c>
      <c r="H757" s="3" t="inlineStr">
        <is>
          <t>80 cm c 40 cm</t>
        </is>
      </c>
      <c r="I757" s="3" t="inlineStr">
        <is>
          <t>1 Unit</t>
        </is>
      </c>
      <c r="J757" s="4" t="n"/>
      <c r="K757" s="3" t="n"/>
      <c r="L757" s="5" t="n"/>
      <c r="M757" s="5" t="n"/>
      <c r="N757" s="3" t="inlineStr">
        <is>
          <t>171 - 02 - 02</t>
        </is>
      </c>
      <c r="O757" s="3" t="n">
        <v>4</v>
      </c>
      <c r="P757" s="5" t="n"/>
      <c r="Q757" s="5" t="n"/>
      <c r="R757" s="3" t="inlineStr">
        <is>
          <t>Baik</t>
        </is>
      </c>
      <c r="S757" s="3" t="inlineStr">
        <is>
          <t>Aktif</t>
        </is>
      </c>
      <c r="T757" s="3" t="n"/>
      <c r="U757" s="3" t="inlineStr">
        <is>
          <t>ASSET TKIA-24 2025(1).xlsx | ASET TKIA</t>
        </is>
      </c>
    </row>
    <row r="758">
      <c r="A758" s="3" t="n">
        <v>755</v>
      </c>
      <c r="B758" s="3" t="inlineStr">
        <is>
          <t>171 - 02 - 02</t>
        </is>
      </c>
      <c r="C758" s="3" t="inlineStr">
        <is>
          <t>TKIA 24 JATIKRAMAT</t>
        </is>
      </c>
      <c r="D758" s="3" t="inlineStr">
        <is>
          <t>II / MUHAMMAD / B</t>
        </is>
      </c>
      <c r="E758" s="3" t="inlineStr">
        <is>
          <t>Kursi</t>
        </is>
      </c>
      <c r="F758" s="3" t="inlineStr">
        <is>
          <t>Kursi</t>
        </is>
      </c>
      <c r="G758" s="3" t="inlineStr">
        <is>
          <t>Plastik</t>
        </is>
      </c>
      <c r="H758" s="3" t="n"/>
      <c r="I758" s="3" t="inlineStr">
        <is>
          <t>12 Unit</t>
        </is>
      </c>
      <c r="J758" s="4" t="n"/>
      <c r="K758" s="3" t="n"/>
      <c r="L758" s="5" t="n"/>
      <c r="M758" s="5" t="n"/>
      <c r="N758" s="3" t="inlineStr">
        <is>
          <t>171 - 02 - 02</t>
        </is>
      </c>
      <c r="O758" s="3" t="n">
        <v>4</v>
      </c>
      <c r="P758" s="5" t="n"/>
      <c r="Q758" s="5" t="n"/>
      <c r="R758" s="3" t="inlineStr">
        <is>
          <t>Baik</t>
        </is>
      </c>
      <c r="S758" s="3" t="inlineStr">
        <is>
          <t>Aktif</t>
        </is>
      </c>
      <c r="T758" s="3" t="n"/>
      <c r="U758" s="3" t="inlineStr">
        <is>
          <t>ASSET TKIA-24 2025(1).xlsx | ASET TKIA</t>
        </is>
      </c>
    </row>
    <row r="759">
      <c r="A759" s="3" t="n">
        <v>756</v>
      </c>
      <c r="B759" s="3" t="inlineStr">
        <is>
          <t>171 - 02 - 02</t>
        </is>
      </c>
      <c r="C759" s="3" t="inlineStr">
        <is>
          <t>TKIA 24 JATIKRAMAT</t>
        </is>
      </c>
      <c r="D759" s="3" t="inlineStr">
        <is>
          <t>II / MUHAMMAD / B</t>
        </is>
      </c>
      <c r="E759" s="3" t="inlineStr">
        <is>
          <t>Kursi Kayu</t>
        </is>
      </c>
      <c r="F759" s="3" t="inlineStr">
        <is>
          <t>Kursi Kayu</t>
        </is>
      </c>
      <c r="G759" s="3" t="inlineStr">
        <is>
          <t>Kayu</t>
        </is>
      </c>
      <c r="H759" s="3" t="n"/>
      <c r="I759" s="3" t="inlineStr">
        <is>
          <t>1 Unit</t>
        </is>
      </c>
      <c r="J759" s="4" t="n"/>
      <c r="K759" s="3" t="n"/>
      <c r="L759" s="5" t="n"/>
      <c r="M759" s="5" t="n"/>
      <c r="N759" s="3" t="inlineStr">
        <is>
          <t>171 - 02 - 02</t>
        </is>
      </c>
      <c r="O759" s="3" t="n">
        <v>4</v>
      </c>
      <c r="P759" s="5" t="n"/>
      <c r="Q759" s="5" t="n"/>
      <c r="R759" s="3" t="inlineStr">
        <is>
          <t>Baik</t>
        </is>
      </c>
      <c r="S759" s="3" t="inlineStr">
        <is>
          <t>Aktif</t>
        </is>
      </c>
      <c r="T759" s="3" t="n"/>
      <c r="U759" s="3" t="inlineStr">
        <is>
          <t>ASSET TKIA-24 2025(1).xlsx | ASET TKIA</t>
        </is>
      </c>
    </row>
    <row r="760">
      <c r="A760" s="3" t="n">
        <v>757</v>
      </c>
      <c r="B760" s="3" t="inlineStr">
        <is>
          <t>171 - 02 - 02</t>
        </is>
      </c>
      <c r="C760" s="3" t="inlineStr">
        <is>
          <t>TKIA 24 JATIKRAMAT</t>
        </is>
      </c>
      <c r="D760" s="3" t="inlineStr">
        <is>
          <t>II / MUHAMMAD / B</t>
        </is>
      </c>
      <c r="E760" s="3" t="inlineStr">
        <is>
          <t>KitchenSet Anak2</t>
        </is>
      </c>
      <c r="F760" s="3" t="inlineStr">
        <is>
          <t>KitchenSet Anak2</t>
        </is>
      </c>
      <c r="G760" s="3" t="inlineStr">
        <is>
          <t>Plastik</t>
        </is>
      </c>
      <c r="H760" s="3" t="n"/>
      <c r="I760" s="3" t="inlineStr">
        <is>
          <t>1 Unit</t>
        </is>
      </c>
      <c r="J760" s="4" t="n"/>
      <c r="K760" s="3" t="n"/>
      <c r="L760" s="5" t="n"/>
      <c r="M760" s="5" t="n"/>
      <c r="N760" s="3" t="inlineStr">
        <is>
          <t>171 - 02 - 02</t>
        </is>
      </c>
      <c r="O760" s="3" t="n">
        <v>4</v>
      </c>
      <c r="P760" s="5" t="n"/>
      <c r="Q760" s="5" t="n"/>
      <c r="R760" s="3" t="inlineStr">
        <is>
          <t>Baik</t>
        </is>
      </c>
      <c r="S760" s="3" t="inlineStr">
        <is>
          <t>Aktif</t>
        </is>
      </c>
      <c r="T760" s="3" t="n"/>
      <c r="U760" s="3" t="inlineStr">
        <is>
          <t>ASSET TKIA-24 2025(1).xlsx | ASET TKIA</t>
        </is>
      </c>
    </row>
    <row r="761">
      <c r="A761" s="3" t="n">
        <v>758</v>
      </c>
      <c r="B761" s="3" t="inlineStr">
        <is>
          <t>171 - 02 - 02</t>
        </is>
      </c>
      <c r="C761" s="3" t="inlineStr">
        <is>
          <t>TKIA 24 JATIKRAMAT</t>
        </is>
      </c>
      <c r="D761" s="3" t="inlineStr">
        <is>
          <t>II / ISMAIL / A</t>
        </is>
      </c>
      <c r="E761" s="3" t="inlineStr">
        <is>
          <t>Pengferas Suara</t>
        </is>
      </c>
      <c r="F761" s="3" t="inlineStr">
        <is>
          <t>Pengferas Suara</t>
        </is>
      </c>
      <c r="G761" s="3" t="inlineStr">
        <is>
          <t>Besi</t>
        </is>
      </c>
      <c r="H761" s="3" t="n"/>
      <c r="I761" s="3" t="inlineStr">
        <is>
          <t>1 Unit</t>
        </is>
      </c>
      <c r="J761" s="4" t="n"/>
      <c r="K761" s="3" t="n"/>
      <c r="L761" s="5" t="n"/>
      <c r="M761" s="5" t="n"/>
      <c r="N761" s="3" t="inlineStr">
        <is>
          <t>171 - 02 - 02</t>
        </is>
      </c>
      <c r="O761" s="3" t="n">
        <v>4</v>
      </c>
      <c r="P761" s="5" t="n"/>
      <c r="Q761" s="5" t="n"/>
      <c r="R761" s="3" t="inlineStr">
        <is>
          <t>Baik</t>
        </is>
      </c>
      <c r="S761" s="3" t="inlineStr">
        <is>
          <t>Aktif</t>
        </is>
      </c>
      <c r="T761" s="3" t="n"/>
      <c r="U761" s="3" t="inlineStr">
        <is>
          <t>ASSET TKIA-24 2025(1).xlsx | ASET TKIA</t>
        </is>
      </c>
    </row>
    <row r="762">
      <c r="A762" s="3" t="n">
        <v>759</v>
      </c>
      <c r="B762" s="3" t="inlineStr">
        <is>
          <t>171 - 02 - 02</t>
        </is>
      </c>
      <c r="C762" s="3" t="inlineStr">
        <is>
          <t>TKIA 24 JATIKRAMAT</t>
        </is>
      </c>
      <c r="D762" s="3" t="inlineStr">
        <is>
          <t>II / ISMAIL / A</t>
        </is>
      </c>
      <c r="E762" s="3" t="inlineStr">
        <is>
          <t>Locker</t>
        </is>
      </c>
      <c r="F762" s="3" t="inlineStr">
        <is>
          <t>Locker</t>
        </is>
      </c>
      <c r="G762" s="3" t="inlineStr">
        <is>
          <t>Kayu</t>
        </is>
      </c>
      <c r="H762" s="3" t="inlineStr">
        <is>
          <t>100 cm x 150 cm</t>
        </is>
      </c>
      <c r="I762" s="3" t="inlineStr">
        <is>
          <t>3 Unit</t>
        </is>
      </c>
      <c r="J762" s="4" t="n"/>
      <c r="K762" s="3" t="n"/>
      <c r="L762" s="5" t="n"/>
      <c r="M762" s="5" t="n"/>
      <c r="N762" s="3" t="inlineStr">
        <is>
          <t>171 - 02 - 02</t>
        </is>
      </c>
      <c r="O762" s="3" t="n">
        <v>4</v>
      </c>
      <c r="P762" s="5" t="n"/>
      <c r="Q762" s="5" t="n"/>
      <c r="R762" s="3" t="inlineStr">
        <is>
          <t>Baik</t>
        </is>
      </c>
      <c r="S762" s="3" t="inlineStr">
        <is>
          <t>Aktif</t>
        </is>
      </c>
      <c r="T762" s="3" t="n"/>
      <c r="U762" s="3" t="inlineStr">
        <is>
          <t>ASSET TKIA-24 2025(1).xlsx | ASET TKIA</t>
        </is>
      </c>
    </row>
    <row r="763">
      <c r="A763" s="3" t="n">
        <v>760</v>
      </c>
      <c r="B763" s="3" t="inlineStr">
        <is>
          <t>171 - 02 - 02</t>
        </is>
      </c>
      <c r="C763" s="3" t="inlineStr">
        <is>
          <t>TKIA 24 JATIKRAMAT</t>
        </is>
      </c>
      <c r="D763" s="3" t="inlineStr">
        <is>
          <t>II / ISMAIL / A</t>
        </is>
      </c>
      <c r="E763" s="3" t="inlineStr">
        <is>
          <t>Rak Buku Anak</t>
        </is>
      </c>
      <c r="F763" s="3" t="inlineStr">
        <is>
          <t>Rak Buku Anak</t>
        </is>
      </c>
      <c r="G763" s="3" t="inlineStr">
        <is>
          <t>Kayu</t>
        </is>
      </c>
      <c r="H763" s="3" t="inlineStr">
        <is>
          <t>120 cm x 80 cm</t>
        </is>
      </c>
      <c r="I763" s="3" t="inlineStr">
        <is>
          <t>3 Unit</t>
        </is>
      </c>
      <c r="J763" s="4" t="n"/>
      <c r="K763" s="3" t="n"/>
      <c r="L763" s="5" t="n"/>
      <c r="M763" s="5" t="n"/>
      <c r="N763" s="3" t="inlineStr">
        <is>
          <t>171 - 02 - 02</t>
        </is>
      </c>
      <c r="O763" s="3" t="n">
        <v>4</v>
      </c>
      <c r="P763" s="5" t="n"/>
      <c r="Q763" s="5" t="n"/>
      <c r="R763" s="3" t="inlineStr">
        <is>
          <t>Baik</t>
        </is>
      </c>
      <c r="S763" s="3" t="inlineStr">
        <is>
          <t>Aktif</t>
        </is>
      </c>
      <c r="T763" s="3" t="n"/>
      <c r="U763" s="3" t="inlineStr">
        <is>
          <t>ASSET TKIA-24 2025(1).xlsx | ASET TKIA</t>
        </is>
      </c>
    </row>
    <row r="764">
      <c r="A764" s="3" t="n">
        <v>761</v>
      </c>
      <c r="B764" s="3" t="inlineStr">
        <is>
          <t>171 - 02 - 02</t>
        </is>
      </c>
      <c r="C764" s="3" t="inlineStr">
        <is>
          <t>TKIA 24 JATIKRAMAT</t>
        </is>
      </c>
      <c r="D764" s="3" t="inlineStr">
        <is>
          <t>II / ISMAIL / A</t>
        </is>
      </c>
      <c r="E764" s="3" t="inlineStr">
        <is>
          <t>Kitchenset Anak</t>
        </is>
      </c>
      <c r="F764" s="3" t="inlineStr">
        <is>
          <t>Kitchenset Anak</t>
        </is>
      </c>
      <c r="G764" s="3" t="inlineStr">
        <is>
          <t>Plastik</t>
        </is>
      </c>
      <c r="H764" s="3" t="n"/>
      <c r="I764" s="3" t="inlineStr">
        <is>
          <t>1 Unit</t>
        </is>
      </c>
      <c r="J764" s="4" t="n"/>
      <c r="K764" s="3" t="n"/>
      <c r="L764" s="5" t="n"/>
      <c r="M764" s="5" t="n"/>
      <c r="N764" s="3" t="inlineStr">
        <is>
          <t>171 - 02 - 02</t>
        </is>
      </c>
      <c r="O764" s="3" t="n">
        <v>4</v>
      </c>
      <c r="P764" s="5" t="n"/>
      <c r="Q764" s="5" t="n"/>
      <c r="R764" s="3" t="inlineStr">
        <is>
          <t>Baik</t>
        </is>
      </c>
      <c r="S764" s="3" t="inlineStr">
        <is>
          <t>Aktif</t>
        </is>
      </c>
      <c r="T764" s="3" t="n"/>
      <c r="U764" s="3" t="inlineStr">
        <is>
          <t>ASSET TKIA-24 2025(1).xlsx | ASET TKIA</t>
        </is>
      </c>
    </row>
    <row r="765">
      <c r="A765" s="3" t="n">
        <v>762</v>
      </c>
      <c r="B765" s="3" t="inlineStr">
        <is>
          <t>171 - 02 - 02</t>
        </is>
      </c>
      <c r="C765" s="3" t="inlineStr">
        <is>
          <t>TKIA 24 JATIKRAMAT</t>
        </is>
      </c>
      <c r="D765" s="3" t="inlineStr">
        <is>
          <t>II / ISMAIL / A</t>
        </is>
      </c>
      <c r="E765" s="3" t="inlineStr">
        <is>
          <t>Meja Bundar</t>
        </is>
      </c>
      <c r="F765" s="3" t="inlineStr">
        <is>
          <t>Meja Bundar</t>
        </is>
      </c>
      <c r="G765" s="3" t="inlineStr">
        <is>
          <t>Kayu</t>
        </is>
      </c>
      <c r="H765" s="3" t="n"/>
      <c r="I765" s="3" t="inlineStr">
        <is>
          <t>2 Unit</t>
        </is>
      </c>
      <c r="J765" s="4" t="n"/>
      <c r="K765" s="3" t="n"/>
      <c r="L765" s="5" t="n"/>
      <c r="M765" s="5" t="n"/>
      <c r="N765" s="3" t="inlineStr">
        <is>
          <t>171 - 02 - 02</t>
        </is>
      </c>
      <c r="O765" s="3" t="n">
        <v>4</v>
      </c>
      <c r="P765" s="5" t="n"/>
      <c r="Q765" s="5" t="n"/>
      <c r="R765" s="3" t="inlineStr">
        <is>
          <t>Baik</t>
        </is>
      </c>
      <c r="S765" s="3" t="inlineStr">
        <is>
          <t>Aktif</t>
        </is>
      </c>
      <c r="T765" s="3" t="n"/>
      <c r="U765" s="3" t="inlineStr">
        <is>
          <t>ASSET TKIA-24 2025(1).xlsx | ASET TKIA</t>
        </is>
      </c>
    </row>
    <row r="766">
      <c r="A766" s="3" t="n">
        <v>763</v>
      </c>
      <c r="B766" s="3" t="inlineStr">
        <is>
          <t>171 - 02 - 02</t>
        </is>
      </c>
      <c r="C766" s="3" t="inlineStr">
        <is>
          <t>TKIA 24 JATIKRAMAT</t>
        </is>
      </c>
      <c r="D766" s="3" t="inlineStr">
        <is>
          <t>II / ISMAIL / A</t>
        </is>
      </c>
      <c r="E766" s="3" t="inlineStr">
        <is>
          <t>Meja Bundar</t>
        </is>
      </c>
      <c r="F766" s="3" t="inlineStr">
        <is>
          <t>Meja Bundar</t>
        </is>
      </c>
      <c r="G766" s="3" t="inlineStr">
        <is>
          <t>Plastik</t>
        </is>
      </c>
      <c r="H766" s="3" t="n"/>
      <c r="I766" s="3" t="inlineStr">
        <is>
          <t>1 Unit</t>
        </is>
      </c>
      <c r="J766" s="4" t="n"/>
      <c r="K766" s="3" t="n"/>
      <c r="L766" s="5" t="n"/>
      <c r="M766" s="5" t="n"/>
      <c r="N766" s="3" t="inlineStr">
        <is>
          <t>171 - 02 - 02</t>
        </is>
      </c>
      <c r="O766" s="3" t="n">
        <v>4</v>
      </c>
      <c r="P766" s="5" t="n"/>
      <c r="Q766" s="5" t="n"/>
      <c r="R766" s="3" t="inlineStr">
        <is>
          <t>Baik</t>
        </is>
      </c>
      <c r="S766" s="3" t="inlineStr">
        <is>
          <t>Aktif</t>
        </is>
      </c>
      <c r="T766" s="3" t="n"/>
      <c r="U766" s="3" t="inlineStr">
        <is>
          <t>ASSET TKIA-24 2025(1).xlsx | ASET TKIA</t>
        </is>
      </c>
    </row>
    <row r="767">
      <c r="A767" s="3" t="n">
        <v>764</v>
      </c>
      <c r="B767" s="3" t="inlineStr">
        <is>
          <t>171 - 02 - 02</t>
        </is>
      </c>
      <c r="C767" s="3" t="inlineStr">
        <is>
          <t>TKIA 24 JATIKRAMAT</t>
        </is>
      </c>
      <c r="D767" s="3" t="inlineStr">
        <is>
          <t>II / ISMAIL / A</t>
        </is>
      </c>
      <c r="E767" s="3" t="inlineStr">
        <is>
          <t>Kursi</t>
        </is>
      </c>
      <c r="F767" s="3" t="inlineStr">
        <is>
          <t>Kursi</t>
        </is>
      </c>
      <c r="G767" s="3" t="inlineStr">
        <is>
          <t>Plastik</t>
        </is>
      </c>
      <c r="H767" s="3" t="inlineStr">
        <is>
          <t>30 cm x 25 cm x 25 cm</t>
        </is>
      </c>
      <c r="I767" s="3" t="inlineStr">
        <is>
          <t>3 Unit</t>
        </is>
      </c>
      <c r="J767" s="4" t="n"/>
      <c r="K767" s="3" t="n"/>
      <c r="L767" s="5" t="n"/>
      <c r="M767" s="5" t="n"/>
      <c r="N767" s="3" t="inlineStr">
        <is>
          <t>171 - 02 - 02</t>
        </is>
      </c>
      <c r="O767" s="3" t="n">
        <v>4</v>
      </c>
      <c r="P767" s="5" t="n"/>
      <c r="Q767" s="5" t="n"/>
      <c r="R767" s="3" t="inlineStr">
        <is>
          <t>Baik</t>
        </is>
      </c>
      <c r="S767" s="3" t="inlineStr">
        <is>
          <t>Aktif</t>
        </is>
      </c>
      <c r="T767" s="3" t="n"/>
      <c r="U767" s="3" t="inlineStr">
        <is>
          <t>ASSET TKIA-24 2025(1).xlsx | ASET TKIA</t>
        </is>
      </c>
    </row>
    <row r="768">
      <c r="A768" s="3" t="n">
        <v>765</v>
      </c>
      <c r="B768" s="3" t="inlineStr">
        <is>
          <t>171 - 02 - 02</t>
        </is>
      </c>
      <c r="C768" s="3" t="inlineStr">
        <is>
          <t>TKIA 24 JATIKRAMAT</t>
        </is>
      </c>
      <c r="D768" s="3" t="inlineStr">
        <is>
          <t>II / ISMAIL / A</t>
        </is>
      </c>
      <c r="E768" s="3" t="inlineStr">
        <is>
          <t>Meja Persegi</t>
        </is>
      </c>
      <c r="F768" s="3" t="inlineStr">
        <is>
          <t>Meja Persegi</t>
        </is>
      </c>
      <c r="G768" s="3" t="inlineStr">
        <is>
          <t>Kayu</t>
        </is>
      </c>
      <c r="H768" s="3" t="inlineStr">
        <is>
          <t>80 cm x 42 cm</t>
        </is>
      </c>
      <c r="I768" s="3" t="inlineStr">
        <is>
          <t>1 Unit</t>
        </is>
      </c>
      <c r="J768" s="4" t="n"/>
      <c r="K768" s="3" t="n"/>
      <c r="L768" s="5" t="n"/>
      <c r="M768" s="5" t="n"/>
      <c r="N768" s="3" t="inlineStr">
        <is>
          <t>171 - 02 - 02</t>
        </is>
      </c>
      <c r="O768" s="3" t="n">
        <v>4</v>
      </c>
      <c r="P768" s="5" t="n"/>
      <c r="Q768" s="5" t="n"/>
      <c r="R768" s="3" t="inlineStr">
        <is>
          <t>Baik</t>
        </is>
      </c>
      <c r="S768" s="3" t="inlineStr">
        <is>
          <t>Aktif</t>
        </is>
      </c>
      <c r="T768" s="3" t="n"/>
      <c r="U768" s="3" t="inlineStr">
        <is>
          <t>ASSET TKIA-24 2025(1).xlsx | ASET TKIA</t>
        </is>
      </c>
    </row>
    <row r="769">
      <c r="A769" s="3" t="n">
        <v>766</v>
      </c>
      <c r="B769" s="3" t="inlineStr">
        <is>
          <t>171 - 02 - 02</t>
        </is>
      </c>
      <c r="C769" s="3" t="inlineStr">
        <is>
          <t>TKIA 24 JATIKRAMAT</t>
        </is>
      </c>
      <c r="D769" s="3" t="inlineStr">
        <is>
          <t>II / ISMAIL / A</t>
        </is>
      </c>
      <c r="E769" s="3" t="inlineStr">
        <is>
          <t>WhiteBoard</t>
        </is>
      </c>
      <c r="F769" s="3" t="inlineStr">
        <is>
          <t>WhiteBoard</t>
        </is>
      </c>
      <c r="G769" s="3" t="inlineStr">
        <is>
          <t>Kayu</t>
        </is>
      </c>
      <c r="H769" s="3" t="inlineStr">
        <is>
          <t>240 cm x 120 cm</t>
        </is>
      </c>
      <c r="I769" s="3" t="inlineStr">
        <is>
          <t>1 Unit</t>
        </is>
      </c>
      <c r="J769" s="4" t="n"/>
      <c r="K769" s="3" t="n"/>
      <c r="L769" s="5" t="n"/>
      <c r="M769" s="5" t="n"/>
      <c r="N769" s="3" t="inlineStr">
        <is>
          <t>171 - 02 - 02</t>
        </is>
      </c>
      <c r="O769" s="3" t="n">
        <v>4</v>
      </c>
      <c r="P769" s="5" t="n"/>
      <c r="Q769" s="5" t="n"/>
      <c r="R769" s="3" t="inlineStr">
        <is>
          <t>Baik</t>
        </is>
      </c>
      <c r="S769" s="3" t="inlineStr">
        <is>
          <t>Aktif</t>
        </is>
      </c>
      <c r="T769" s="3" t="n"/>
      <c r="U769" s="3" t="inlineStr">
        <is>
          <t>ASSET TKIA-24 2025(1).xlsx | ASET TKIA</t>
        </is>
      </c>
    </row>
    <row r="770">
      <c r="A770" s="3" t="n">
        <v>767</v>
      </c>
      <c r="B770" s="3" t="inlineStr">
        <is>
          <t>171 - 02 - 02</t>
        </is>
      </c>
      <c r="C770" s="3" t="inlineStr">
        <is>
          <t>TKIA 24 JATIKRAMAT</t>
        </is>
      </c>
      <c r="D770" s="3" t="inlineStr">
        <is>
          <t>II / ISMAIL / A</t>
        </is>
      </c>
      <c r="E770" s="3" t="inlineStr">
        <is>
          <t>Cermin</t>
        </is>
      </c>
      <c r="F770" s="3" t="inlineStr">
        <is>
          <t>Cermin</t>
        </is>
      </c>
      <c r="G770" s="3" t="inlineStr">
        <is>
          <t>Kaca/ Kayu</t>
        </is>
      </c>
      <c r="H770" s="3" t="inlineStr">
        <is>
          <t>80 cm x 40 cm</t>
        </is>
      </c>
      <c r="I770" s="3" t="inlineStr">
        <is>
          <t>1 Unit</t>
        </is>
      </c>
      <c r="J770" s="4" t="n"/>
      <c r="K770" s="3" t="n"/>
      <c r="L770" s="5" t="n"/>
      <c r="M770" s="5" t="n"/>
      <c r="N770" s="3" t="inlineStr">
        <is>
          <t>171 - 02 - 02</t>
        </is>
      </c>
      <c r="O770" s="3" t="n">
        <v>4</v>
      </c>
      <c r="P770" s="5" t="n"/>
      <c r="Q770" s="5" t="n"/>
      <c r="R770" s="3" t="inlineStr">
        <is>
          <t>Baik</t>
        </is>
      </c>
      <c r="S770" s="3" t="inlineStr">
        <is>
          <t>Aktif</t>
        </is>
      </c>
      <c r="T770" s="3" t="n"/>
      <c r="U770" s="3" t="inlineStr">
        <is>
          <t>ASSET TKIA-24 2025(1).xlsx | ASET TKIA</t>
        </is>
      </c>
    </row>
    <row r="771">
      <c r="A771" s="3" t="n">
        <v>768</v>
      </c>
      <c r="B771" s="3" t="inlineStr">
        <is>
          <t>171 - 02 - 02</t>
        </is>
      </c>
      <c r="C771" s="3" t="inlineStr">
        <is>
          <t>TKIA 24 JATIKRAMAT</t>
        </is>
      </c>
      <c r="D771" s="3" t="inlineStr">
        <is>
          <t>II / IBRAHIM / A</t>
        </is>
      </c>
      <c r="E771" s="3" t="inlineStr">
        <is>
          <t>Locker</t>
        </is>
      </c>
      <c r="F771" s="3" t="inlineStr">
        <is>
          <t>Locker</t>
        </is>
      </c>
      <c r="G771" s="3" t="inlineStr">
        <is>
          <t>Kayu</t>
        </is>
      </c>
      <c r="H771" s="3" t="inlineStr">
        <is>
          <t>150 cm x 100 cm</t>
        </is>
      </c>
      <c r="I771" s="3" t="inlineStr">
        <is>
          <t>2 Unit</t>
        </is>
      </c>
      <c r="J771" s="4" t="n"/>
      <c r="K771" s="3" t="n"/>
      <c r="L771" s="5" t="n"/>
      <c r="M771" s="5" t="n"/>
      <c r="N771" s="3" t="inlineStr">
        <is>
          <t>171 - 02 - 02</t>
        </is>
      </c>
      <c r="O771" s="3" t="n">
        <v>4</v>
      </c>
      <c r="P771" s="5" t="n"/>
      <c r="Q771" s="5" t="n"/>
      <c r="R771" s="3" t="inlineStr">
        <is>
          <t>Baik</t>
        </is>
      </c>
      <c r="S771" s="3" t="inlineStr">
        <is>
          <t>Aktif</t>
        </is>
      </c>
      <c r="T771" s="3" t="n"/>
      <c r="U771" s="3" t="inlineStr">
        <is>
          <t>ASSET TKIA-24 2025(1).xlsx | ASET TKIA</t>
        </is>
      </c>
    </row>
    <row r="772">
      <c r="A772" s="3" t="n">
        <v>769</v>
      </c>
      <c r="B772" s="3" t="inlineStr">
        <is>
          <t>171 - 02 - 02</t>
        </is>
      </c>
      <c r="C772" s="3" t="inlineStr">
        <is>
          <t>TKIA 24 JATIKRAMAT</t>
        </is>
      </c>
      <c r="D772" s="3" t="inlineStr">
        <is>
          <t>II / IBRAHIM / A</t>
        </is>
      </c>
      <c r="E772" s="3" t="inlineStr">
        <is>
          <t>Rak</t>
        </is>
      </c>
      <c r="F772" s="3" t="inlineStr">
        <is>
          <t>Rak</t>
        </is>
      </c>
      <c r="G772" s="3" t="inlineStr">
        <is>
          <t>Kayu</t>
        </is>
      </c>
      <c r="H772" s="3" t="inlineStr">
        <is>
          <t>120 cm x 105 cm</t>
        </is>
      </c>
      <c r="I772" s="3" t="inlineStr">
        <is>
          <t>3 Unit</t>
        </is>
      </c>
      <c r="J772" s="4" t="n"/>
      <c r="K772" s="3" t="n"/>
      <c r="L772" s="5" t="n"/>
      <c r="M772" s="5" t="n"/>
      <c r="N772" s="3" t="inlineStr">
        <is>
          <t>171 - 02 - 02</t>
        </is>
      </c>
      <c r="O772" s="3" t="n">
        <v>4</v>
      </c>
      <c r="P772" s="5" t="n"/>
      <c r="Q772" s="5" t="n"/>
      <c r="R772" s="3" t="inlineStr">
        <is>
          <t>Baik</t>
        </is>
      </c>
      <c r="S772" s="3" t="inlineStr">
        <is>
          <t>Aktif</t>
        </is>
      </c>
      <c r="T772" s="3" t="n"/>
      <c r="U772" s="3" t="inlineStr">
        <is>
          <t>ASSET TKIA-24 2025(1).xlsx | ASET TKIA</t>
        </is>
      </c>
    </row>
    <row r="773">
      <c r="A773" s="3" t="n">
        <v>770</v>
      </c>
      <c r="B773" s="3" t="inlineStr">
        <is>
          <t>171 - 02 - 02</t>
        </is>
      </c>
      <c r="C773" s="3" t="inlineStr">
        <is>
          <t>TKIA 24 JATIKRAMAT</t>
        </is>
      </c>
      <c r="D773" s="3" t="inlineStr">
        <is>
          <t>II / IBRAHIM / A</t>
        </is>
      </c>
      <c r="E773" s="3" t="inlineStr">
        <is>
          <t>Lemari</t>
        </is>
      </c>
      <c r="F773" s="3" t="inlineStr">
        <is>
          <t>Lemari</t>
        </is>
      </c>
      <c r="G773" s="3" t="inlineStr">
        <is>
          <t>Kayu</t>
        </is>
      </c>
      <c r="H773" s="3" t="inlineStr">
        <is>
          <t>135 cm x 130 cm</t>
        </is>
      </c>
      <c r="I773" s="3" t="inlineStr">
        <is>
          <t>1 Unit</t>
        </is>
      </c>
      <c r="J773" s="4" t="n"/>
      <c r="K773" s="3" t="n"/>
      <c r="L773" s="5" t="n"/>
      <c r="M773" s="5" t="n"/>
      <c r="N773" s="3" t="inlineStr">
        <is>
          <t>171 - 02 - 02</t>
        </is>
      </c>
      <c r="O773" s="3" t="n">
        <v>4</v>
      </c>
      <c r="P773" s="5" t="n"/>
      <c r="Q773" s="5" t="n"/>
      <c r="R773" s="3" t="inlineStr">
        <is>
          <t>Baik</t>
        </is>
      </c>
      <c r="S773" s="3" t="inlineStr">
        <is>
          <t>Aktif</t>
        </is>
      </c>
      <c r="T773" s="3" t="n"/>
      <c r="U773" s="3" t="inlineStr">
        <is>
          <t>ASSET TKIA-24 2025(1).xlsx | ASET TKIA</t>
        </is>
      </c>
    </row>
    <row r="774">
      <c r="A774" s="3" t="n">
        <v>771</v>
      </c>
      <c r="B774" s="3" t="inlineStr">
        <is>
          <t>171 - 02 - 02</t>
        </is>
      </c>
      <c r="C774" s="3" t="inlineStr">
        <is>
          <t>TKIA 24 JATIKRAMAT</t>
        </is>
      </c>
      <c r="D774" s="3" t="inlineStr">
        <is>
          <t>II / IBRAHIM / A</t>
        </is>
      </c>
      <c r="E774" s="3" t="inlineStr">
        <is>
          <t>Lemari Plastik</t>
        </is>
      </c>
      <c r="F774" s="3" t="inlineStr">
        <is>
          <t>Lemari Plastik</t>
        </is>
      </c>
      <c r="G774" s="3" t="inlineStr">
        <is>
          <t>Plastik</t>
        </is>
      </c>
      <c r="H774" s="3" t="inlineStr">
        <is>
          <t>1 08 cm x 43 cm</t>
        </is>
      </c>
      <c r="I774" s="3" t="inlineStr">
        <is>
          <t>1 Unit</t>
        </is>
      </c>
      <c r="J774" s="4" t="n"/>
      <c r="K774" s="3" t="n"/>
      <c r="L774" s="5" t="n"/>
      <c r="M774" s="5" t="n"/>
      <c r="N774" s="3" t="inlineStr">
        <is>
          <t>171 - 02 - 02</t>
        </is>
      </c>
      <c r="O774" s="3" t="n">
        <v>4</v>
      </c>
      <c r="P774" s="5" t="n"/>
      <c r="Q774" s="5" t="n"/>
      <c r="R774" s="3" t="inlineStr">
        <is>
          <t>Baik</t>
        </is>
      </c>
      <c r="S774" s="3" t="inlineStr">
        <is>
          <t>Aktif</t>
        </is>
      </c>
      <c r="T774" s="3" t="n"/>
      <c r="U774" s="3" t="inlineStr">
        <is>
          <t>ASSET TKIA-24 2025(1).xlsx | ASET TKIA</t>
        </is>
      </c>
    </row>
    <row r="775">
      <c r="A775" s="3" t="n">
        <v>772</v>
      </c>
      <c r="B775" s="3" t="inlineStr">
        <is>
          <t>171 - 02 - 02</t>
        </is>
      </c>
      <c r="C775" s="3" t="inlineStr">
        <is>
          <t>TKIA 24 JATIKRAMAT</t>
        </is>
      </c>
      <c r="D775" s="3" t="inlineStr">
        <is>
          <t>II / IBRAHIM / A</t>
        </is>
      </c>
      <c r="E775" s="3" t="inlineStr">
        <is>
          <t>Meja Bundar</t>
        </is>
      </c>
      <c r="F775" s="3" t="inlineStr">
        <is>
          <t>Meja Bundar</t>
        </is>
      </c>
      <c r="G775" s="3" t="inlineStr">
        <is>
          <t>Plastik</t>
        </is>
      </c>
      <c r="H775" s="3" t="n"/>
      <c r="I775" s="3" t="inlineStr">
        <is>
          <t>1 Unit</t>
        </is>
      </c>
      <c r="J775" s="4" t="n"/>
      <c r="K775" s="3" t="n"/>
      <c r="L775" s="5" t="n"/>
      <c r="M775" s="5" t="n"/>
      <c r="N775" s="3" t="inlineStr">
        <is>
          <t>171 - 02 - 02</t>
        </is>
      </c>
      <c r="O775" s="3" t="n">
        <v>4</v>
      </c>
      <c r="P775" s="5" t="n"/>
      <c r="Q775" s="5" t="n"/>
      <c r="R775" s="3" t="inlineStr">
        <is>
          <t>Baik</t>
        </is>
      </c>
      <c r="S775" s="3" t="inlineStr">
        <is>
          <t>Aktif</t>
        </is>
      </c>
      <c r="T775" s="3" t="n"/>
      <c r="U775" s="3" t="inlineStr">
        <is>
          <t>ASSET TKIA-24 2025(1).xlsx | ASET TKIA</t>
        </is>
      </c>
    </row>
    <row r="776">
      <c r="A776" s="3" t="n">
        <v>773</v>
      </c>
      <c r="B776" s="3" t="inlineStr">
        <is>
          <t>171 - 02 - 02</t>
        </is>
      </c>
      <c r="C776" s="3" t="inlineStr">
        <is>
          <t>TKIA 24 JATIKRAMAT</t>
        </is>
      </c>
      <c r="D776" s="3" t="inlineStr">
        <is>
          <t>II / IBRAHIM / A</t>
        </is>
      </c>
      <c r="E776" s="3" t="inlineStr">
        <is>
          <t>Meja Bundar</t>
        </is>
      </c>
      <c r="F776" s="3" t="inlineStr">
        <is>
          <t>Meja Bundar</t>
        </is>
      </c>
      <c r="G776" s="3" t="inlineStr">
        <is>
          <t>Kayu</t>
        </is>
      </c>
      <c r="H776" s="3" t="n"/>
      <c r="I776" s="3" t="inlineStr">
        <is>
          <t>2 Unit</t>
        </is>
      </c>
      <c r="J776" s="4" t="n"/>
      <c r="K776" s="3" t="n"/>
      <c r="L776" s="5" t="n"/>
      <c r="M776" s="5" t="n"/>
      <c r="N776" s="3" t="inlineStr">
        <is>
          <t>171 - 02 - 02</t>
        </is>
      </c>
      <c r="O776" s="3" t="n">
        <v>4</v>
      </c>
      <c r="P776" s="5" t="n"/>
      <c r="Q776" s="5" t="n"/>
      <c r="R776" s="3" t="inlineStr">
        <is>
          <t>Baik</t>
        </is>
      </c>
      <c r="S776" s="3" t="inlineStr">
        <is>
          <t>Aktif</t>
        </is>
      </c>
      <c r="T776" s="3" t="n"/>
      <c r="U776" s="3" t="inlineStr">
        <is>
          <t>ASSET TKIA-24 2025(1).xlsx | ASET TKIA</t>
        </is>
      </c>
    </row>
    <row r="777">
      <c r="A777" s="3" t="n">
        <v>774</v>
      </c>
      <c r="B777" s="3" t="inlineStr">
        <is>
          <t>171 - 02 - 02</t>
        </is>
      </c>
      <c r="C777" s="3" t="inlineStr">
        <is>
          <t>TKIA 24 JATIKRAMAT</t>
        </is>
      </c>
      <c r="D777" s="3" t="inlineStr">
        <is>
          <t>II / IBRAHIM / A</t>
        </is>
      </c>
      <c r="E777" s="3" t="inlineStr">
        <is>
          <t>Meja Persegi</t>
        </is>
      </c>
      <c r="F777" s="3" t="inlineStr">
        <is>
          <t>Meja Persegi</t>
        </is>
      </c>
      <c r="G777" s="3" t="inlineStr">
        <is>
          <t>Plastik</t>
        </is>
      </c>
      <c r="H777" s="3" t="inlineStr">
        <is>
          <t>120 cm x 60 cm</t>
        </is>
      </c>
      <c r="I777" s="3" t="inlineStr">
        <is>
          <t>1 Unit</t>
        </is>
      </c>
      <c r="J777" s="4" t="n"/>
      <c r="K777" s="3" t="n"/>
      <c r="L777" s="5" t="n"/>
      <c r="M777" s="5" t="n"/>
      <c r="N777" s="3" t="inlineStr">
        <is>
          <t>171 - 02 - 02</t>
        </is>
      </c>
      <c r="O777" s="3" t="n">
        <v>4</v>
      </c>
      <c r="P777" s="5" t="n"/>
      <c r="Q777" s="5" t="n"/>
      <c r="R777" s="3" t="inlineStr">
        <is>
          <t>Baik</t>
        </is>
      </c>
      <c r="S777" s="3" t="inlineStr">
        <is>
          <t>Aktif</t>
        </is>
      </c>
      <c r="T777" s="3" t="n"/>
      <c r="U777" s="3" t="inlineStr">
        <is>
          <t>ASSET TKIA-24 2025(1).xlsx | ASET TKIA</t>
        </is>
      </c>
    </row>
    <row r="778">
      <c r="A778" s="3" t="n">
        <v>775</v>
      </c>
      <c r="B778" s="3" t="inlineStr">
        <is>
          <t>171 - 02 - 02</t>
        </is>
      </c>
      <c r="C778" s="3" t="inlineStr">
        <is>
          <t>TKIA 24 JATIKRAMAT</t>
        </is>
      </c>
      <c r="D778" s="3" t="inlineStr">
        <is>
          <t>II / IBRAHIM / A</t>
        </is>
      </c>
      <c r="E778" s="3" t="inlineStr">
        <is>
          <t>Kitchenset Anak</t>
        </is>
      </c>
      <c r="F778" s="3" t="inlineStr">
        <is>
          <t>Kitchenset Anak</t>
        </is>
      </c>
      <c r="G778" s="3" t="inlineStr">
        <is>
          <t>Plastik</t>
        </is>
      </c>
      <c r="H778" s="3" t="n"/>
      <c r="I778" s="3" t="inlineStr">
        <is>
          <t>1 Unit</t>
        </is>
      </c>
      <c r="J778" s="4" t="n"/>
      <c r="K778" s="3" t="n"/>
      <c r="L778" s="5" t="n"/>
      <c r="M778" s="5" t="n"/>
      <c r="N778" s="3" t="inlineStr">
        <is>
          <t>171 - 02 - 02</t>
        </is>
      </c>
      <c r="O778" s="3" t="n">
        <v>4</v>
      </c>
      <c r="P778" s="5" t="n"/>
      <c r="Q778" s="5" t="n"/>
      <c r="R778" s="3" t="inlineStr">
        <is>
          <t>Baik</t>
        </is>
      </c>
      <c r="S778" s="3" t="inlineStr">
        <is>
          <t>Aktif</t>
        </is>
      </c>
      <c r="T778" s="3" t="n"/>
      <c r="U778" s="3" t="inlineStr">
        <is>
          <t>ASSET TKIA-24 2025(1).xlsx | ASET TKIA</t>
        </is>
      </c>
    </row>
    <row r="779">
      <c r="A779" s="3" t="n">
        <v>776</v>
      </c>
      <c r="B779" s="3" t="inlineStr">
        <is>
          <t>171 - 02 - 02</t>
        </is>
      </c>
      <c r="C779" s="3" t="inlineStr">
        <is>
          <t>TKIA 24 JATIKRAMAT</t>
        </is>
      </c>
      <c r="D779" s="3" t="inlineStr">
        <is>
          <t>II / IBRAHIM / A</t>
        </is>
      </c>
      <c r="E779" s="3" t="inlineStr">
        <is>
          <t>Meja Persegi</t>
        </is>
      </c>
      <c r="F779" s="3" t="inlineStr">
        <is>
          <t>Meja Persegi</t>
        </is>
      </c>
      <c r="G779" s="3" t="inlineStr">
        <is>
          <t>Kayu</t>
        </is>
      </c>
      <c r="H779" s="3" t="inlineStr">
        <is>
          <t>80 cm x 43 cm</t>
        </is>
      </c>
      <c r="I779" s="3" t="inlineStr">
        <is>
          <t>1 Unit</t>
        </is>
      </c>
      <c r="J779" s="4" t="n"/>
      <c r="K779" s="3" t="n"/>
      <c r="L779" s="5" t="n"/>
      <c r="M779" s="5" t="n"/>
      <c r="N779" s="3" t="inlineStr">
        <is>
          <t>171 - 02 - 02</t>
        </is>
      </c>
      <c r="O779" s="3" t="n">
        <v>4</v>
      </c>
      <c r="P779" s="5" t="n"/>
      <c r="Q779" s="5" t="n"/>
      <c r="R779" s="3" t="inlineStr">
        <is>
          <t>Baik</t>
        </is>
      </c>
      <c r="S779" s="3" t="inlineStr">
        <is>
          <t>Aktif</t>
        </is>
      </c>
      <c r="T779" s="3" t="n"/>
      <c r="U779" s="3" t="inlineStr">
        <is>
          <t>ASSET TKIA-24 2025(1).xlsx | ASET TKIA</t>
        </is>
      </c>
    </row>
    <row r="780">
      <c r="A780" s="3" t="n">
        <v>777</v>
      </c>
      <c r="B780" s="3" t="inlineStr">
        <is>
          <t>171 - 02 - 02</t>
        </is>
      </c>
      <c r="C780" s="3" t="inlineStr">
        <is>
          <t>TKIA 24 JATIKRAMAT</t>
        </is>
      </c>
      <c r="D780" s="3" t="inlineStr">
        <is>
          <t>II / IBRAHIM / A</t>
        </is>
      </c>
      <c r="E780" s="3" t="inlineStr">
        <is>
          <t>WhiteBoard</t>
        </is>
      </c>
      <c r="F780" s="3" t="inlineStr">
        <is>
          <t>WhiteBoard</t>
        </is>
      </c>
      <c r="G780" s="3" t="inlineStr">
        <is>
          <t>Kayu</t>
        </is>
      </c>
      <c r="H780" s="3" t="inlineStr">
        <is>
          <t>240 cm x 120 cm</t>
        </is>
      </c>
      <c r="I780" s="3" t="inlineStr">
        <is>
          <t>1 Unit</t>
        </is>
      </c>
      <c r="J780" s="4" t="n"/>
      <c r="K780" s="3" t="n"/>
      <c r="L780" s="5" t="n"/>
      <c r="M780" s="5" t="n"/>
      <c r="N780" s="3" t="inlineStr">
        <is>
          <t>171 - 02 - 02</t>
        </is>
      </c>
      <c r="O780" s="3" t="n">
        <v>4</v>
      </c>
      <c r="P780" s="5" t="n"/>
      <c r="Q780" s="5" t="n"/>
      <c r="R780" s="3" t="inlineStr">
        <is>
          <t>Baik</t>
        </is>
      </c>
      <c r="S780" s="3" t="inlineStr">
        <is>
          <t>Aktif</t>
        </is>
      </c>
      <c r="T780" s="3" t="n"/>
      <c r="U780" s="3" t="inlineStr">
        <is>
          <t>ASSET TKIA-24 2025(1).xlsx | ASET TKIA</t>
        </is>
      </c>
    </row>
    <row r="781">
      <c r="A781" s="3" t="n">
        <v>778</v>
      </c>
      <c r="B781" s="3" t="inlineStr">
        <is>
          <t>171 - 02 - 02</t>
        </is>
      </c>
      <c r="C781" s="3" t="inlineStr">
        <is>
          <t>TKIA 24 JATIKRAMAT</t>
        </is>
      </c>
      <c r="D781" s="3" t="inlineStr">
        <is>
          <t>I / PSB</t>
        </is>
      </c>
      <c r="E781" s="3" t="inlineStr">
        <is>
          <t>Infokus</t>
        </is>
      </c>
      <c r="F781" s="3" t="inlineStr">
        <is>
          <t>Infokus</t>
        </is>
      </c>
      <c r="G781" s="3" t="inlineStr">
        <is>
          <t>Campur</t>
        </is>
      </c>
      <c r="H781" s="3" t="n"/>
      <c r="I781" s="3" t="inlineStr">
        <is>
          <t>1 Unit</t>
        </is>
      </c>
      <c r="J781" s="4" t="n"/>
      <c r="K781" s="3" t="n"/>
      <c r="L781" s="5" t="n"/>
      <c r="M781" s="5" t="n"/>
      <c r="N781" s="3" t="inlineStr">
        <is>
          <t>171 - 02 - 02</t>
        </is>
      </c>
      <c r="O781" s="3" t="n">
        <v>4</v>
      </c>
      <c r="P781" s="5" t="n"/>
      <c r="Q781" s="5" t="n"/>
      <c r="R781" s="3" t="inlineStr">
        <is>
          <t>Baik</t>
        </is>
      </c>
      <c r="S781" s="3" t="inlineStr">
        <is>
          <t>Aktif</t>
        </is>
      </c>
      <c r="T781" s="3" t="n"/>
      <c r="U781" s="3" t="inlineStr">
        <is>
          <t>ASSET TKIA-24 2025(1).xlsx | ASET TKIA</t>
        </is>
      </c>
    </row>
    <row r="782">
      <c r="A782" s="3" t="n">
        <v>779</v>
      </c>
      <c r="B782" s="3" t="inlineStr">
        <is>
          <t>171 - 02 - 02</t>
        </is>
      </c>
      <c r="C782" s="3" t="inlineStr">
        <is>
          <t>TKIA 24 JATIKRAMAT</t>
        </is>
      </c>
      <c r="D782" s="3" t="inlineStr">
        <is>
          <t>I / PSB</t>
        </is>
      </c>
      <c r="E782" s="3" t="inlineStr">
        <is>
          <t>Lemari 4 Pintu</t>
        </is>
      </c>
      <c r="F782" s="3" t="inlineStr">
        <is>
          <t>Lemari 4 Pintu</t>
        </is>
      </c>
      <c r="G782" s="3" t="inlineStr">
        <is>
          <t>Kayu</t>
        </is>
      </c>
      <c r="H782" s="3" t="inlineStr">
        <is>
          <t>200 cm x 100 cm</t>
        </is>
      </c>
      <c r="I782" s="3" t="inlineStr">
        <is>
          <t>1 Unit</t>
        </is>
      </c>
      <c r="J782" s="4" t="n"/>
      <c r="K782" s="3" t="n"/>
      <c r="L782" s="5" t="n"/>
      <c r="M782" s="5" t="n"/>
      <c r="N782" s="3" t="inlineStr">
        <is>
          <t>171 - 02 - 02</t>
        </is>
      </c>
      <c r="O782" s="3" t="n">
        <v>4</v>
      </c>
      <c r="P782" s="5" t="n"/>
      <c r="Q782" s="5" t="n"/>
      <c r="R782" s="3" t="inlineStr">
        <is>
          <t>Baik</t>
        </is>
      </c>
      <c r="S782" s="3" t="inlineStr">
        <is>
          <t>Aktif</t>
        </is>
      </c>
      <c r="T782" s="3" t="n"/>
      <c r="U782" s="3" t="inlineStr">
        <is>
          <t>ASSET TKIA-24 2025(1).xlsx | ASET TKIA</t>
        </is>
      </c>
    </row>
    <row r="783">
      <c r="A783" s="3" t="n">
        <v>780</v>
      </c>
      <c r="B783" s="3" t="inlineStr">
        <is>
          <t>171 - 02 - 02</t>
        </is>
      </c>
      <c r="C783" s="3" t="inlineStr">
        <is>
          <t>TKIA 24 JATIKRAMAT</t>
        </is>
      </c>
      <c r="D783" s="3" t="inlineStr">
        <is>
          <t>I / PSB</t>
        </is>
      </c>
      <c r="E783" s="3" t="inlineStr">
        <is>
          <t>Bufet Kayu</t>
        </is>
      </c>
      <c r="F783" s="3" t="inlineStr">
        <is>
          <t>Bufet Kayu</t>
        </is>
      </c>
      <c r="G783" s="3" t="inlineStr">
        <is>
          <t>Kayu</t>
        </is>
      </c>
      <c r="H783" s="3" t="n"/>
      <c r="I783" s="3" t="inlineStr">
        <is>
          <t>1 Unit</t>
        </is>
      </c>
      <c r="J783" s="4" t="n"/>
      <c r="K783" s="3" t="n"/>
      <c r="L783" s="5" t="n"/>
      <c r="M783" s="5" t="n"/>
      <c r="N783" s="3" t="inlineStr">
        <is>
          <t>171 - 02 - 02</t>
        </is>
      </c>
      <c r="O783" s="3" t="n">
        <v>4</v>
      </c>
      <c r="P783" s="5" t="n"/>
      <c r="Q783" s="5" t="n"/>
      <c r="R783" s="3" t="inlineStr">
        <is>
          <t>Baik</t>
        </is>
      </c>
      <c r="S783" s="3" t="inlineStr">
        <is>
          <t>Aktif</t>
        </is>
      </c>
      <c r="T783" s="3" t="n"/>
      <c r="U783" s="3" t="inlineStr">
        <is>
          <t>ASSET TKIA-24 2025(1).xlsx | ASET TKIA</t>
        </is>
      </c>
    </row>
    <row r="784">
      <c r="A784" s="3" t="n">
        <v>781</v>
      </c>
      <c r="B784" s="3" t="inlineStr">
        <is>
          <t>171 - 02 - 02</t>
        </is>
      </c>
      <c r="C784" s="3" t="inlineStr">
        <is>
          <t>TKIA 24 JATIKRAMAT</t>
        </is>
      </c>
      <c r="D784" s="3" t="inlineStr">
        <is>
          <t>I / PSB</t>
        </is>
      </c>
      <c r="E784" s="3" t="inlineStr">
        <is>
          <t>Kontener Plastik</t>
        </is>
      </c>
      <c r="F784" s="3" t="inlineStr">
        <is>
          <t>Kontener Plastik</t>
        </is>
      </c>
      <c r="G784" s="3" t="inlineStr">
        <is>
          <t>Plastik</t>
        </is>
      </c>
      <c r="H784" s="3" t="inlineStr">
        <is>
          <t>80 cm x 50 cm</t>
        </is>
      </c>
      <c r="I784" s="3" t="inlineStr">
        <is>
          <t>1 Unit</t>
        </is>
      </c>
      <c r="J784" s="4" t="n"/>
      <c r="K784" s="3" t="n"/>
      <c r="L784" s="5" t="n"/>
      <c r="M784" s="5" t="n"/>
      <c r="N784" s="3" t="inlineStr">
        <is>
          <t>171 - 02 - 02</t>
        </is>
      </c>
      <c r="O784" s="3" t="n">
        <v>4</v>
      </c>
      <c r="P784" s="5" t="n"/>
      <c r="Q784" s="5" t="n"/>
      <c r="R784" s="3" t="inlineStr">
        <is>
          <t>Baik</t>
        </is>
      </c>
      <c r="S784" s="3" t="inlineStr">
        <is>
          <t>Aktif</t>
        </is>
      </c>
      <c r="T784" s="3" t="n"/>
      <c r="U784" s="3" t="inlineStr">
        <is>
          <t>ASSET TKIA-24 2025(1).xlsx | ASET TKIA</t>
        </is>
      </c>
    </row>
    <row r="785">
      <c r="A785" s="3" t="n">
        <v>782</v>
      </c>
      <c r="B785" s="3" t="inlineStr">
        <is>
          <t>171 - 02 - 02</t>
        </is>
      </c>
      <c r="C785" s="3" t="inlineStr">
        <is>
          <t>TKIA 24 JATIKRAMAT</t>
        </is>
      </c>
      <c r="D785" s="3" t="inlineStr">
        <is>
          <t>I / PSB</t>
        </is>
      </c>
      <c r="E785" s="3" t="inlineStr">
        <is>
          <t>Best Baby</t>
        </is>
      </c>
      <c r="F785" s="3" t="inlineStr">
        <is>
          <t>Best Baby</t>
        </is>
      </c>
      <c r="G785" s="3" t="inlineStr">
        <is>
          <t>Plastik</t>
        </is>
      </c>
      <c r="H785" s="3" t="n"/>
      <c r="I785" s="3" t="inlineStr">
        <is>
          <t>1 Unit</t>
        </is>
      </c>
      <c r="J785" s="4" t="n"/>
      <c r="K785" s="3" t="n"/>
      <c r="L785" s="5" t="n"/>
      <c r="M785" s="5" t="n"/>
      <c r="N785" s="3" t="inlineStr">
        <is>
          <t>171 - 02 - 02</t>
        </is>
      </c>
      <c r="O785" s="3" t="n">
        <v>4</v>
      </c>
      <c r="P785" s="5" t="n"/>
      <c r="Q785" s="5" t="n"/>
      <c r="R785" s="3" t="inlineStr">
        <is>
          <t>Baik</t>
        </is>
      </c>
      <c r="S785" s="3" t="inlineStr">
        <is>
          <t>Aktif</t>
        </is>
      </c>
      <c r="T785" s="3" t="n"/>
      <c r="U785" s="3" t="inlineStr">
        <is>
          <t>ASSET TKIA-24 2025(1).xlsx | ASET TKIA</t>
        </is>
      </c>
    </row>
    <row r="786">
      <c r="A786" s="3" t="n">
        <v>783</v>
      </c>
      <c r="B786" s="3" t="inlineStr">
        <is>
          <t>171 - 02 - 02</t>
        </is>
      </c>
      <c r="C786" s="3" t="inlineStr">
        <is>
          <t>TKIA 24 JATIKRAMAT</t>
        </is>
      </c>
      <c r="D786" s="3" t="inlineStr">
        <is>
          <t>I / PSB</t>
        </is>
      </c>
      <c r="E786" s="3" t="inlineStr">
        <is>
          <t>Filling Kabinet 4 Rak Data Arsip</t>
        </is>
      </c>
      <c r="F786" s="3" t="inlineStr">
        <is>
          <t>Filling Kabinet 4 Rak Data Arsip</t>
        </is>
      </c>
      <c r="G786" s="3" t="inlineStr">
        <is>
          <t>Besi</t>
        </is>
      </c>
      <c r="H786" s="3" t="inlineStr">
        <is>
          <t>134 cm x 46 cm</t>
        </is>
      </c>
      <c r="I786" s="3" t="inlineStr">
        <is>
          <t>1 Unit</t>
        </is>
      </c>
      <c r="J786" s="4" t="n"/>
      <c r="K786" s="3" t="n"/>
      <c r="L786" s="5" t="n"/>
      <c r="M786" s="5" t="n"/>
      <c r="N786" s="3" t="inlineStr">
        <is>
          <t>171 - 02 - 02</t>
        </is>
      </c>
      <c r="O786" s="3" t="n">
        <v>4</v>
      </c>
      <c r="P786" s="5" t="n"/>
      <c r="Q786" s="5" t="n"/>
      <c r="R786" s="3" t="inlineStr">
        <is>
          <t>Baik</t>
        </is>
      </c>
      <c r="S786" s="3" t="inlineStr">
        <is>
          <t>Aktif</t>
        </is>
      </c>
      <c r="T786" s="3" t="n"/>
      <c r="U786" s="3" t="inlineStr">
        <is>
          <t>ASSET TKIA-24 2025(1).xlsx | ASET TKIA</t>
        </is>
      </c>
    </row>
    <row r="787">
      <c r="A787" s="3" t="n">
        <v>784</v>
      </c>
      <c r="B787" s="3" t="inlineStr">
        <is>
          <t>171 - 02 - 02</t>
        </is>
      </c>
      <c r="C787" s="3" t="inlineStr">
        <is>
          <t>TKIA 24 JATIKRAMAT</t>
        </is>
      </c>
      <c r="D787" s="3" t="inlineStr">
        <is>
          <t>I / PSB</t>
        </is>
      </c>
      <c r="E787" s="3" t="inlineStr">
        <is>
          <t>Rak Buku</t>
        </is>
      </c>
      <c r="F787" s="3" t="inlineStr">
        <is>
          <t>Rak Buku</t>
        </is>
      </c>
      <c r="G787" s="3" t="inlineStr">
        <is>
          <t>Kayu</t>
        </is>
      </c>
      <c r="H787" s="3" t="inlineStr">
        <is>
          <t>120 cm x 120 cm</t>
        </is>
      </c>
      <c r="I787" s="3" t="inlineStr">
        <is>
          <t>1 Unit</t>
        </is>
      </c>
      <c r="J787" s="4" t="n"/>
      <c r="K787" s="3" t="n"/>
      <c r="L787" s="5" t="n"/>
      <c r="M787" s="5" t="n"/>
      <c r="N787" s="3" t="inlineStr">
        <is>
          <t>171 - 02 - 02</t>
        </is>
      </c>
      <c r="O787" s="3" t="n">
        <v>4</v>
      </c>
      <c r="P787" s="5" t="n"/>
      <c r="Q787" s="5" t="n"/>
      <c r="R787" s="3" t="inlineStr">
        <is>
          <t>Baik</t>
        </is>
      </c>
      <c r="S787" s="3" t="inlineStr">
        <is>
          <t>Aktif</t>
        </is>
      </c>
      <c r="T787" s="3" t="n"/>
      <c r="U787" s="3" t="inlineStr">
        <is>
          <t>ASSET TKIA-24 2025(1).xlsx | ASET TKIA</t>
        </is>
      </c>
    </row>
    <row r="788">
      <c r="A788" s="3" t="n">
        <v>785</v>
      </c>
      <c r="B788" s="3" t="inlineStr">
        <is>
          <t>171 - 02 - 02</t>
        </is>
      </c>
      <c r="C788" s="3" t="inlineStr">
        <is>
          <t>TKIA 24 JATIKRAMAT</t>
        </is>
      </c>
      <c r="D788" s="3" t="inlineStr">
        <is>
          <t>I / PSB</t>
        </is>
      </c>
      <c r="E788" s="3" t="inlineStr">
        <is>
          <t>Rak Buku 6 Tingkat</t>
        </is>
      </c>
      <c r="F788" s="3" t="inlineStr">
        <is>
          <t>Rak Buku 6 Tingkat</t>
        </is>
      </c>
      <c r="G788" s="3" t="inlineStr">
        <is>
          <t>Kayu</t>
        </is>
      </c>
      <c r="H788" s="3" t="inlineStr">
        <is>
          <t>100 cm 200 cm</t>
        </is>
      </c>
      <c r="I788" s="3" t="inlineStr">
        <is>
          <t>1 Unit</t>
        </is>
      </c>
      <c r="J788" s="4" t="n"/>
      <c r="K788" s="3" t="n"/>
      <c r="L788" s="5" t="n"/>
      <c r="M788" s="5" t="n"/>
      <c r="N788" s="3" t="inlineStr">
        <is>
          <t>171 - 02 - 02</t>
        </is>
      </c>
      <c r="O788" s="3" t="n">
        <v>4</v>
      </c>
      <c r="P788" s="5" t="n"/>
      <c r="Q788" s="5" t="n"/>
      <c r="R788" s="3" t="inlineStr">
        <is>
          <t>Baik</t>
        </is>
      </c>
      <c r="S788" s="3" t="inlineStr">
        <is>
          <t>Aktif</t>
        </is>
      </c>
      <c r="T788" s="3" t="n"/>
      <c r="U788" s="3" t="inlineStr">
        <is>
          <t>ASSET TKIA-24 2025(1).xlsx | ASET TKIA</t>
        </is>
      </c>
    </row>
    <row r="789">
      <c r="A789" s="3" t="n">
        <v>786</v>
      </c>
      <c r="B789" s="3" t="inlineStr">
        <is>
          <t>171 - 02 - 02</t>
        </is>
      </c>
      <c r="C789" s="3" t="inlineStr">
        <is>
          <t>TKIA 24 JATIKRAMAT</t>
        </is>
      </c>
      <c r="D789" s="3" t="inlineStr">
        <is>
          <t>I / PSB</t>
        </is>
      </c>
      <c r="E789" s="3" t="inlineStr">
        <is>
          <t>Lemari 2 Pintu</t>
        </is>
      </c>
      <c r="F789" s="3" t="inlineStr">
        <is>
          <t>Lemari 2 Pintu</t>
        </is>
      </c>
      <c r="G789" s="3" t="inlineStr">
        <is>
          <t>Kayu</t>
        </is>
      </c>
      <c r="H789" s="3" t="inlineStr">
        <is>
          <t>180 cm x 85 cm</t>
        </is>
      </c>
      <c r="I789" s="3" t="inlineStr">
        <is>
          <t>1 Unit</t>
        </is>
      </c>
      <c r="J789" s="4" t="n"/>
      <c r="K789" s="3" t="n"/>
      <c r="L789" s="5" t="n"/>
      <c r="M789" s="5" t="n"/>
      <c r="N789" s="3" t="inlineStr">
        <is>
          <t>171 - 02 - 02</t>
        </is>
      </c>
      <c r="O789" s="3" t="n">
        <v>4</v>
      </c>
      <c r="P789" s="5" t="n"/>
      <c r="Q789" s="5" t="n"/>
      <c r="R789" s="3" t="inlineStr">
        <is>
          <t>Baik</t>
        </is>
      </c>
      <c r="S789" s="3" t="inlineStr">
        <is>
          <t>Aktif</t>
        </is>
      </c>
      <c r="T789" s="3" t="n"/>
      <c r="U789" s="3" t="inlineStr">
        <is>
          <t>ASSET TKIA-24 2025(1).xlsx | ASET TKIA</t>
        </is>
      </c>
    </row>
    <row r="790">
      <c r="A790" s="3" t="n">
        <v>787</v>
      </c>
      <c r="B790" s="3" t="inlineStr">
        <is>
          <t>171 - 02 - 02</t>
        </is>
      </c>
      <c r="C790" s="3" t="inlineStr">
        <is>
          <t>TKIA 24 JATIKRAMAT</t>
        </is>
      </c>
      <c r="D790" s="3" t="inlineStr">
        <is>
          <t>I / PSB</t>
        </is>
      </c>
      <c r="E790" s="3" t="inlineStr">
        <is>
          <t>Rak Buku Susun</t>
        </is>
      </c>
      <c r="F790" s="3" t="inlineStr">
        <is>
          <t>Rak Buku Susun</t>
        </is>
      </c>
      <c r="G790" s="3" t="inlineStr">
        <is>
          <t>Besi</t>
        </is>
      </c>
      <c r="H790" s="3" t="inlineStr">
        <is>
          <t>75 cm x 30 cm</t>
        </is>
      </c>
      <c r="I790" s="3" t="inlineStr">
        <is>
          <t>1 Unit</t>
        </is>
      </c>
      <c r="J790" s="4" t="n"/>
      <c r="K790" s="3" t="n"/>
      <c r="L790" s="5" t="n"/>
      <c r="M790" s="5" t="n"/>
      <c r="N790" s="3" t="inlineStr">
        <is>
          <t>171 - 02 - 02</t>
        </is>
      </c>
      <c r="O790" s="3" t="n">
        <v>4</v>
      </c>
      <c r="P790" s="5" t="n"/>
      <c r="Q790" s="5" t="n"/>
      <c r="R790" s="3" t="inlineStr">
        <is>
          <t>Baik</t>
        </is>
      </c>
      <c r="S790" s="3" t="inlineStr">
        <is>
          <t>Aktif</t>
        </is>
      </c>
      <c r="T790" s="3" t="n"/>
      <c r="U790" s="3" t="inlineStr">
        <is>
          <t>ASSET TKIA-24 2025(1).xlsx | ASET TKIA</t>
        </is>
      </c>
    </row>
    <row r="791">
      <c r="A791" s="3" t="n">
        <v>788</v>
      </c>
      <c r="B791" s="3" t="inlineStr">
        <is>
          <t>171 - 02 - 02</t>
        </is>
      </c>
      <c r="C791" s="3" t="inlineStr">
        <is>
          <t>TKIA 24 JATIKRAMAT</t>
        </is>
      </c>
      <c r="D791" s="3" t="inlineStr">
        <is>
          <t>I / PSB</t>
        </is>
      </c>
      <c r="E791" s="3" t="inlineStr">
        <is>
          <t>Loker Guru</t>
        </is>
      </c>
      <c r="F791" s="3" t="inlineStr">
        <is>
          <t>Loker Guru</t>
        </is>
      </c>
      <c r="G791" s="3" t="inlineStr">
        <is>
          <t>Kayu</t>
        </is>
      </c>
      <c r="H791" s="3" t="inlineStr">
        <is>
          <t>103 cm x 120 cm</t>
        </is>
      </c>
      <c r="I791" s="3" t="inlineStr">
        <is>
          <t>2 Unit</t>
        </is>
      </c>
      <c r="J791" s="4" t="n"/>
      <c r="K791" s="3" t="n"/>
      <c r="L791" s="5" t="n"/>
      <c r="M791" s="5" t="n"/>
      <c r="N791" s="3" t="inlineStr">
        <is>
          <t>171 - 02 - 02</t>
        </is>
      </c>
      <c r="O791" s="3" t="n">
        <v>4</v>
      </c>
      <c r="P791" s="5" t="n"/>
      <c r="Q791" s="5" t="n"/>
      <c r="R791" s="3" t="inlineStr">
        <is>
          <t>Baik</t>
        </is>
      </c>
      <c r="S791" s="3" t="inlineStr">
        <is>
          <t>Aktif</t>
        </is>
      </c>
      <c r="T791" s="3" t="n"/>
      <c r="U791" s="3" t="inlineStr">
        <is>
          <t>ASSET TKIA-24 2025(1).xlsx | ASET TKIA</t>
        </is>
      </c>
    </row>
    <row r="792">
      <c r="A792" s="3" t="n">
        <v>789</v>
      </c>
      <c r="B792" s="3" t="inlineStr">
        <is>
          <t>171 - 02 - 02</t>
        </is>
      </c>
      <c r="C792" s="3" t="inlineStr">
        <is>
          <t>TKIA 24 JATIKRAMAT</t>
        </is>
      </c>
      <c r="D792" s="3" t="inlineStr">
        <is>
          <t>I / PSB</t>
        </is>
      </c>
      <c r="E792" s="3" t="inlineStr">
        <is>
          <t>T O A</t>
        </is>
      </c>
      <c r="F792" s="3" t="inlineStr">
        <is>
          <t>T O A</t>
        </is>
      </c>
      <c r="G792" s="3" t="inlineStr">
        <is>
          <t>Besi</t>
        </is>
      </c>
      <c r="H792" s="3" t="n"/>
      <c r="I792" s="3" t="inlineStr">
        <is>
          <t>1 Unit</t>
        </is>
      </c>
      <c r="J792" s="4" t="n"/>
      <c r="K792" s="3" t="n"/>
      <c r="L792" s="5" t="n"/>
      <c r="M792" s="5" t="n"/>
      <c r="N792" s="3" t="inlineStr">
        <is>
          <t>171 - 02 - 02</t>
        </is>
      </c>
      <c r="O792" s="3" t="n">
        <v>4</v>
      </c>
      <c r="P792" s="5" t="n"/>
      <c r="Q792" s="5" t="n"/>
      <c r="R792" s="3" t="inlineStr">
        <is>
          <t>Baik</t>
        </is>
      </c>
      <c r="S792" s="3" t="inlineStr">
        <is>
          <t>Aktif</t>
        </is>
      </c>
      <c r="T792" s="3" t="n"/>
      <c r="U792" s="3" t="inlineStr">
        <is>
          <t>ASSET TKIA-24 2025(1).xlsx | ASET TKIA</t>
        </is>
      </c>
    </row>
    <row r="793">
      <c r="A793" s="3" t="n">
        <v>790</v>
      </c>
      <c r="B793" s="3" t="inlineStr">
        <is>
          <t>171 - 02 - 02</t>
        </is>
      </c>
      <c r="C793" s="3" t="inlineStr">
        <is>
          <t>TKIA 24 JATIKRAMAT</t>
        </is>
      </c>
      <c r="D793" s="3" t="inlineStr">
        <is>
          <t>I / PSB</t>
        </is>
      </c>
      <c r="E793" s="3" t="inlineStr">
        <is>
          <t>Jam Dinding</t>
        </is>
      </c>
      <c r="F793" s="3" t="inlineStr">
        <is>
          <t>Jam Dinding</t>
        </is>
      </c>
      <c r="G793" s="3" t="inlineStr">
        <is>
          <t>Plastik</t>
        </is>
      </c>
      <c r="H793" s="3" t="inlineStr">
        <is>
          <t>Diameter 23</t>
        </is>
      </c>
      <c r="I793" s="3" t="inlineStr">
        <is>
          <t>1 Unit</t>
        </is>
      </c>
      <c r="J793" s="4" t="n"/>
      <c r="K793" s="3" t="n"/>
      <c r="L793" s="5" t="n"/>
      <c r="M793" s="5" t="n"/>
      <c r="N793" s="3" t="inlineStr">
        <is>
          <t>171 - 02 - 02</t>
        </is>
      </c>
      <c r="O793" s="3" t="n">
        <v>4</v>
      </c>
      <c r="P793" s="5" t="n"/>
      <c r="Q793" s="5" t="n"/>
      <c r="R793" s="3" t="inlineStr">
        <is>
          <t>Baik</t>
        </is>
      </c>
      <c r="S793" s="3" t="inlineStr">
        <is>
          <t>Aktif</t>
        </is>
      </c>
      <c r="T793" s="3" t="n"/>
      <c r="U793" s="3" t="inlineStr">
        <is>
          <t>ASSET TKIA-24 2025(1).xlsx | ASET TKIA</t>
        </is>
      </c>
    </row>
    <row r="794">
      <c r="A794" s="3" t="n">
        <v>791</v>
      </c>
      <c r="B794" s="3" t="inlineStr">
        <is>
          <t>171 - 02 - 02</t>
        </is>
      </c>
      <c r="C794" s="3" t="inlineStr">
        <is>
          <t>TKIA 24 JATIKRAMAT</t>
        </is>
      </c>
      <c r="D794" s="3" t="inlineStr">
        <is>
          <t>I / MEKAH/ MADINAH / KB</t>
        </is>
      </c>
      <c r="E794" s="3" t="inlineStr">
        <is>
          <t>Box SHELF</t>
        </is>
      </c>
      <c r="F794" s="3" t="inlineStr">
        <is>
          <t>Box SHELF</t>
        </is>
      </c>
      <c r="G794" s="3" t="inlineStr">
        <is>
          <t>Plastik</t>
        </is>
      </c>
      <c r="H794" s="3" t="inlineStr">
        <is>
          <t>75 cm x 80 cm</t>
        </is>
      </c>
      <c r="I794" s="3" t="inlineStr">
        <is>
          <t>1 Unit</t>
        </is>
      </c>
      <c r="J794" s="4" t="n"/>
      <c r="K794" s="3" t="n"/>
      <c r="L794" s="5" t="n"/>
      <c r="M794" s="5" t="n"/>
      <c r="N794" s="3" t="inlineStr">
        <is>
          <t>171 - 02 - 02</t>
        </is>
      </c>
      <c r="O794" s="3" t="n">
        <v>4</v>
      </c>
      <c r="P794" s="5" t="n"/>
      <c r="Q794" s="5" t="n"/>
      <c r="R794" s="3" t="inlineStr">
        <is>
          <t>Baik</t>
        </is>
      </c>
      <c r="S794" s="3" t="inlineStr">
        <is>
          <t>Aktif</t>
        </is>
      </c>
      <c r="T794" s="3" t="n"/>
      <c r="U794" s="3" t="inlineStr">
        <is>
          <t>ASSET TKIA-24 2025(1).xlsx | ASET TKIA</t>
        </is>
      </c>
    </row>
    <row r="795">
      <c r="A795" s="3" t="n">
        <v>792</v>
      </c>
      <c r="B795" s="3" t="inlineStr">
        <is>
          <t>171 - 02 - 02</t>
        </is>
      </c>
      <c r="C795" s="3" t="inlineStr">
        <is>
          <t>TKIA 24 JATIKRAMAT</t>
        </is>
      </c>
      <c r="D795" s="3" t="inlineStr">
        <is>
          <t>I / MEKAH/ MADINAH / KB</t>
        </is>
      </c>
      <c r="E795" s="3" t="inlineStr">
        <is>
          <t>Rak Loker</t>
        </is>
      </c>
      <c r="F795" s="3" t="inlineStr">
        <is>
          <t>Rak Loker</t>
        </is>
      </c>
      <c r="G795" s="3" t="inlineStr">
        <is>
          <t>Kayu</t>
        </is>
      </c>
      <c r="H795" s="3" t="inlineStr">
        <is>
          <t>120 cm x 114 cm</t>
        </is>
      </c>
      <c r="I795" s="3" t="inlineStr">
        <is>
          <t>2 Unit</t>
        </is>
      </c>
      <c r="J795" s="4" t="n"/>
      <c r="K795" s="3" t="n"/>
      <c r="L795" s="5" t="n"/>
      <c r="M795" s="5" t="n"/>
      <c r="N795" s="3" t="inlineStr">
        <is>
          <t>171 - 02 - 02</t>
        </is>
      </c>
      <c r="O795" s="3" t="n">
        <v>4</v>
      </c>
      <c r="P795" s="5" t="n"/>
      <c r="Q795" s="5" t="n"/>
      <c r="R795" s="3" t="inlineStr">
        <is>
          <t>Baik</t>
        </is>
      </c>
      <c r="S795" s="3" t="inlineStr">
        <is>
          <t>Aktif</t>
        </is>
      </c>
      <c r="T795" s="3" t="n"/>
      <c r="U795" s="3" t="inlineStr">
        <is>
          <t>ASSET TKIA-24 2025(1).xlsx | ASET TKIA</t>
        </is>
      </c>
    </row>
    <row r="796">
      <c r="A796" s="3" t="n">
        <v>793</v>
      </c>
      <c r="B796" s="3" t="inlineStr">
        <is>
          <t>171 - 02 - 02</t>
        </is>
      </c>
      <c r="C796" s="3" t="inlineStr">
        <is>
          <t>TKIA 24 JATIKRAMAT</t>
        </is>
      </c>
      <c r="D796" s="3" t="inlineStr">
        <is>
          <t>I / MEKAH/ MADINAH / KB</t>
        </is>
      </c>
      <c r="E796" s="3" t="inlineStr">
        <is>
          <t>Loker 5 Laci</t>
        </is>
      </c>
      <c r="F796" s="3" t="inlineStr">
        <is>
          <t>Loker 5 Laci</t>
        </is>
      </c>
      <c r="G796" s="3" t="inlineStr">
        <is>
          <t>Kayu</t>
        </is>
      </c>
      <c r="H796" s="3" t="inlineStr">
        <is>
          <t>120 cm x 40 cm</t>
        </is>
      </c>
      <c r="I796" s="3" t="inlineStr">
        <is>
          <t>1 Unit</t>
        </is>
      </c>
      <c r="J796" s="4" t="n"/>
      <c r="K796" s="3" t="n"/>
      <c r="L796" s="5" t="n"/>
      <c r="M796" s="5" t="n"/>
      <c r="N796" s="3" t="inlineStr">
        <is>
          <t>171 - 02 - 02</t>
        </is>
      </c>
      <c r="O796" s="3" t="n">
        <v>4</v>
      </c>
      <c r="P796" s="5" t="n"/>
      <c r="Q796" s="5" t="n"/>
      <c r="R796" s="3" t="inlineStr">
        <is>
          <t>Baik</t>
        </is>
      </c>
      <c r="S796" s="3" t="inlineStr">
        <is>
          <t>Aktif</t>
        </is>
      </c>
      <c r="T796" s="3" t="n"/>
      <c r="U796" s="3" t="inlineStr">
        <is>
          <t>ASSET TKIA-24 2025(1).xlsx | ASET TKIA</t>
        </is>
      </c>
    </row>
    <row r="797">
      <c r="A797" s="3" t="n">
        <v>794</v>
      </c>
      <c r="B797" s="3" t="inlineStr">
        <is>
          <t>171 - 02 - 02</t>
        </is>
      </c>
      <c r="C797" s="3" t="inlineStr">
        <is>
          <t>TKIA 24 JATIKRAMAT</t>
        </is>
      </c>
      <c r="D797" s="3" t="inlineStr">
        <is>
          <t>I / MEKAH/ MADINAH / KB</t>
        </is>
      </c>
      <c r="E797" s="3" t="inlineStr">
        <is>
          <t>Pagar Serbaguna</t>
        </is>
      </c>
      <c r="F797" s="3" t="inlineStr">
        <is>
          <t>Pagar Serbaguna</t>
        </is>
      </c>
      <c r="G797" s="3" t="inlineStr">
        <is>
          <t>Plastik</t>
        </is>
      </c>
      <c r="H797" s="3" t="n"/>
      <c r="I797" s="3" t="inlineStr">
        <is>
          <t>1 Unit</t>
        </is>
      </c>
      <c r="J797" s="4" t="n"/>
      <c r="K797" s="3" t="n"/>
      <c r="L797" s="5" t="n"/>
      <c r="M797" s="5" t="n"/>
      <c r="N797" s="3" t="inlineStr">
        <is>
          <t>171 - 02 - 02</t>
        </is>
      </c>
      <c r="O797" s="3" t="n">
        <v>4</v>
      </c>
      <c r="P797" s="5" t="n"/>
      <c r="Q797" s="5" t="n"/>
      <c r="R797" s="3" t="inlineStr">
        <is>
          <t>Baik</t>
        </is>
      </c>
      <c r="S797" s="3" t="inlineStr">
        <is>
          <t>Aktif</t>
        </is>
      </c>
      <c r="T797" s="3" t="n"/>
      <c r="U797" s="3" t="inlineStr">
        <is>
          <t>ASSET TKIA-24 2025(1).xlsx | ASET TKIA</t>
        </is>
      </c>
    </row>
    <row r="798">
      <c r="A798" s="3" t="n">
        <v>795</v>
      </c>
      <c r="B798" s="3" t="inlineStr">
        <is>
          <t>171 - 02 - 02</t>
        </is>
      </c>
      <c r="C798" s="3" t="inlineStr">
        <is>
          <t>TKIA 24 JATIKRAMAT</t>
        </is>
      </c>
      <c r="D798" s="3" t="inlineStr">
        <is>
          <t>I / MEKAH/ MADINAH / KB</t>
        </is>
      </c>
      <c r="E798" s="3" t="inlineStr">
        <is>
          <t>Meja Bunder</t>
        </is>
      </c>
      <c r="F798" s="3" t="inlineStr">
        <is>
          <t>Meja Bunder</t>
        </is>
      </c>
      <c r="G798" s="3" t="inlineStr">
        <is>
          <t>Plastik</t>
        </is>
      </c>
      <c r="H798" s="3" t="inlineStr">
        <is>
          <t>Diameter 121 cm</t>
        </is>
      </c>
      <c r="I798" s="3" t="inlineStr">
        <is>
          <t>1 Unit</t>
        </is>
      </c>
      <c r="J798" s="4" t="n"/>
      <c r="K798" s="3" t="n"/>
      <c r="L798" s="5" t="n"/>
      <c r="M798" s="5" t="n"/>
      <c r="N798" s="3" t="inlineStr">
        <is>
          <t>171 - 02 - 02</t>
        </is>
      </c>
      <c r="O798" s="3" t="n">
        <v>4</v>
      </c>
      <c r="P798" s="5" t="n"/>
      <c r="Q798" s="5" t="n"/>
      <c r="R798" s="3" t="inlineStr">
        <is>
          <t>Baik</t>
        </is>
      </c>
      <c r="S798" s="3" t="inlineStr">
        <is>
          <t>Aktif</t>
        </is>
      </c>
      <c r="T798" s="3" t="n"/>
      <c r="U798" s="3" t="inlineStr">
        <is>
          <t>ASSET TKIA-24 2025(1).xlsx | ASET TKIA</t>
        </is>
      </c>
    </row>
    <row r="799">
      <c r="A799" s="3" t="n">
        <v>796</v>
      </c>
      <c r="B799" s="3" t="inlineStr">
        <is>
          <t>171 - 02 - 02</t>
        </is>
      </c>
      <c r="C799" s="3" t="inlineStr">
        <is>
          <t>TKIA 24 JATIKRAMAT</t>
        </is>
      </c>
      <c r="D799" s="3" t="inlineStr">
        <is>
          <t>I / MEKAH/ MADINAH / KB</t>
        </is>
      </c>
      <c r="E799" s="3" t="inlineStr">
        <is>
          <t>Kursi</t>
        </is>
      </c>
      <c r="F799" s="3" t="inlineStr">
        <is>
          <t>Kursi</t>
        </is>
      </c>
      <c r="G799" s="3" t="inlineStr">
        <is>
          <t>Plastik</t>
        </is>
      </c>
      <c r="H799" s="3" t="inlineStr">
        <is>
          <t>31 cm x 26bcm x 26 cm</t>
        </is>
      </c>
      <c r="I799" s="3" t="inlineStr">
        <is>
          <t>5 Unit</t>
        </is>
      </c>
      <c r="J799" s="4" t="n"/>
      <c r="K799" s="3" t="n"/>
      <c r="L799" s="5" t="n"/>
      <c r="M799" s="5" t="n"/>
      <c r="N799" s="3" t="inlineStr">
        <is>
          <t>171 - 02 - 02</t>
        </is>
      </c>
      <c r="O799" s="3" t="n">
        <v>4</v>
      </c>
      <c r="P799" s="5" t="n"/>
      <c r="Q799" s="5" t="n"/>
      <c r="R799" s="3" t="inlineStr">
        <is>
          <t>Baik</t>
        </is>
      </c>
      <c r="S799" s="3" t="inlineStr">
        <is>
          <t>Aktif</t>
        </is>
      </c>
      <c r="T799" s="3" t="n"/>
      <c r="U799" s="3" t="inlineStr">
        <is>
          <t>ASSET TKIA-24 2025(1).xlsx | ASET TKIA</t>
        </is>
      </c>
    </row>
    <row r="800">
      <c r="A800" s="3" t="n">
        <v>797</v>
      </c>
      <c r="B800" s="3" t="inlineStr">
        <is>
          <t>171 - 02 - 02</t>
        </is>
      </c>
      <c r="C800" s="3" t="inlineStr">
        <is>
          <t>TKIA 24 JATIKRAMAT</t>
        </is>
      </c>
      <c r="D800" s="3" t="inlineStr">
        <is>
          <t>I / MEKAH/ MADINAH / KB</t>
        </is>
      </c>
      <c r="E800" s="3" t="inlineStr">
        <is>
          <t>Partisi</t>
        </is>
      </c>
      <c r="F800" s="3" t="inlineStr">
        <is>
          <t>Partisi</t>
        </is>
      </c>
      <c r="G800" s="3" t="inlineStr">
        <is>
          <t>Plastik</t>
        </is>
      </c>
      <c r="H800" s="3" t="inlineStr">
        <is>
          <t>107 cm x 70 cm</t>
        </is>
      </c>
      <c r="I800" s="3" t="inlineStr">
        <is>
          <t>4 Unit</t>
        </is>
      </c>
      <c r="J800" s="4" t="n"/>
      <c r="K800" s="3" t="n"/>
      <c r="L800" s="5" t="n"/>
      <c r="M800" s="5" t="n"/>
      <c r="N800" s="3" t="inlineStr">
        <is>
          <t>171 - 02 - 02</t>
        </is>
      </c>
      <c r="O800" s="3" t="n">
        <v>4</v>
      </c>
      <c r="P800" s="5" t="n"/>
      <c r="Q800" s="5" t="n"/>
      <c r="R800" s="3" t="inlineStr">
        <is>
          <t>Baik</t>
        </is>
      </c>
      <c r="S800" s="3" t="inlineStr">
        <is>
          <t>Aktif</t>
        </is>
      </c>
      <c r="T800" s="3" t="n"/>
      <c r="U800" s="3" t="inlineStr">
        <is>
          <t>ASSET TKIA-24 2025(1).xlsx | ASET TKIA</t>
        </is>
      </c>
    </row>
    <row r="801">
      <c r="A801" s="3" t="n">
        <v>798</v>
      </c>
      <c r="B801" s="3" t="inlineStr">
        <is>
          <t>171 - 02 - 02</t>
        </is>
      </c>
      <c r="C801" s="3" t="inlineStr">
        <is>
          <t>TKIA 24 JATIKRAMAT</t>
        </is>
      </c>
      <c r="D801" s="3" t="inlineStr">
        <is>
          <t>I / TATA USAHA (TU)</t>
        </is>
      </c>
      <c r="E801" s="3" t="inlineStr">
        <is>
          <t>Meja Kantor</t>
        </is>
      </c>
      <c r="F801" s="3" t="inlineStr">
        <is>
          <t>Meja Kantor</t>
        </is>
      </c>
      <c r="G801" s="3" t="inlineStr">
        <is>
          <t>Kayu</t>
        </is>
      </c>
      <c r="H801" s="3" t="inlineStr">
        <is>
          <t>1/2 Biro ( 60 cm x 120 cm</t>
        </is>
      </c>
      <c r="I801" s="3" t="inlineStr">
        <is>
          <t>1 Unit</t>
        </is>
      </c>
      <c r="J801" s="4" t="n"/>
      <c r="K801" s="3" t="n"/>
      <c r="L801" s="5" t="n"/>
      <c r="M801" s="5" t="n"/>
      <c r="N801" s="3" t="inlineStr">
        <is>
          <t>171 - 02 - 02</t>
        </is>
      </c>
      <c r="O801" s="3" t="n">
        <v>4</v>
      </c>
      <c r="P801" s="5" t="n"/>
      <c r="Q801" s="5" t="n"/>
      <c r="R801" s="3" t="inlineStr">
        <is>
          <t>Baik</t>
        </is>
      </c>
      <c r="S801" s="3" t="inlineStr">
        <is>
          <t>Aktif</t>
        </is>
      </c>
      <c r="T801" s="3" t="n"/>
      <c r="U801" s="3" t="inlineStr">
        <is>
          <t>ASSET TKIA-24 2025(1).xlsx | ASET TKIA</t>
        </is>
      </c>
    </row>
    <row r="802">
      <c r="A802" s="3" t="n">
        <v>799</v>
      </c>
      <c r="B802" s="3" t="inlineStr">
        <is>
          <t>171 - 02 - 02</t>
        </is>
      </c>
      <c r="C802" s="3" t="inlineStr">
        <is>
          <t>TKIA 24 JATIKRAMAT</t>
        </is>
      </c>
      <c r="D802" s="3" t="inlineStr">
        <is>
          <t>I / TATA USAHA (TU)</t>
        </is>
      </c>
      <c r="E802" s="3" t="inlineStr">
        <is>
          <t>Kursi Kantor</t>
        </is>
      </c>
      <c r="F802" s="3" t="inlineStr">
        <is>
          <t>Kursi Kantor</t>
        </is>
      </c>
      <c r="G802" s="3" t="inlineStr">
        <is>
          <t>Besi</t>
        </is>
      </c>
      <c r="H802" s="3" t="inlineStr">
        <is>
          <t>44 cm x 50 cm x 50 cm</t>
        </is>
      </c>
      <c r="I802" s="3" t="inlineStr">
        <is>
          <t>2 Unit</t>
        </is>
      </c>
      <c r="J802" s="4" t="n"/>
      <c r="K802" s="3" t="n"/>
      <c r="L802" s="5" t="n"/>
      <c r="M802" s="5" t="n"/>
      <c r="N802" s="3" t="inlineStr">
        <is>
          <t>171 - 02 - 02</t>
        </is>
      </c>
      <c r="O802" s="3" t="n">
        <v>4</v>
      </c>
      <c r="P802" s="5" t="n"/>
      <c r="Q802" s="5" t="n"/>
      <c r="R802" s="3" t="inlineStr">
        <is>
          <t>Baik</t>
        </is>
      </c>
      <c r="S802" s="3" t="inlineStr">
        <is>
          <t>Aktif</t>
        </is>
      </c>
      <c r="T802" s="3" t="n"/>
      <c r="U802" s="3" t="inlineStr">
        <is>
          <t>ASSET TKIA-24 2025(1).xlsx | ASET TKIA</t>
        </is>
      </c>
    </row>
    <row r="803">
      <c r="A803" s="3" t="n">
        <v>800</v>
      </c>
      <c r="B803" s="3" t="inlineStr">
        <is>
          <t>171 - 02 - 02</t>
        </is>
      </c>
      <c r="C803" s="3" t="inlineStr">
        <is>
          <t>TKIA 24 JATIKRAMAT</t>
        </is>
      </c>
      <c r="D803" s="3" t="inlineStr">
        <is>
          <t>I / TATA USAHA (TU)</t>
        </is>
      </c>
      <c r="E803" s="3" t="inlineStr">
        <is>
          <t>Kursi Putar</t>
        </is>
      </c>
      <c r="F803" s="3" t="inlineStr">
        <is>
          <t>Kursi Putar</t>
        </is>
      </c>
      <c r="G803" s="3" t="inlineStr">
        <is>
          <t>Besi</t>
        </is>
      </c>
      <c r="H803" s="3" t="inlineStr">
        <is>
          <t>44 cm x 50 cm 40 cm</t>
        </is>
      </c>
      <c r="I803" s="3" t="inlineStr">
        <is>
          <t>1 Unit</t>
        </is>
      </c>
      <c r="J803" s="4" t="n"/>
      <c r="K803" s="3" t="n"/>
      <c r="L803" s="5" t="n"/>
      <c r="M803" s="5" t="n"/>
      <c r="N803" s="3" t="inlineStr">
        <is>
          <t>171 - 02 - 02</t>
        </is>
      </c>
      <c r="O803" s="3" t="n">
        <v>4</v>
      </c>
      <c r="P803" s="5" t="n"/>
      <c r="Q803" s="5" t="n"/>
      <c r="R803" s="3" t="inlineStr">
        <is>
          <t>Baik</t>
        </is>
      </c>
      <c r="S803" s="3" t="inlineStr">
        <is>
          <t>Aktif</t>
        </is>
      </c>
      <c r="T803" s="3" t="n"/>
      <c r="U803" s="3" t="inlineStr">
        <is>
          <t>ASSET TKIA-24 2025(1).xlsx | ASET TKIA</t>
        </is>
      </c>
    </row>
    <row r="804">
      <c r="A804" s="3" t="n">
        <v>801</v>
      </c>
      <c r="B804" s="3" t="inlineStr">
        <is>
          <t>171 - 02 - 02</t>
        </is>
      </c>
      <c r="C804" s="3" t="inlineStr">
        <is>
          <t>TKIA 24 JATIKRAMAT</t>
        </is>
      </c>
      <c r="D804" s="3" t="inlineStr">
        <is>
          <t>I / TATA USAHA (TU)</t>
        </is>
      </c>
      <c r="E804" s="3" t="inlineStr">
        <is>
          <t>Leptop</t>
        </is>
      </c>
      <c r="F804" s="3" t="inlineStr">
        <is>
          <t>Leptop</t>
        </is>
      </c>
      <c r="G804" s="3" t="inlineStr">
        <is>
          <t>Mika</t>
        </is>
      </c>
      <c r="H804" s="3" t="n"/>
      <c r="I804" s="3" t="inlineStr">
        <is>
          <t>1 Unit</t>
        </is>
      </c>
      <c r="J804" s="4" t="n"/>
      <c r="K804" s="3" t="n"/>
      <c r="L804" s="5" t="n"/>
      <c r="M804" s="5" t="n"/>
      <c r="N804" s="3" t="inlineStr">
        <is>
          <t>171 - 02 - 02</t>
        </is>
      </c>
      <c r="O804" s="3" t="n">
        <v>4</v>
      </c>
      <c r="P804" s="5" t="n"/>
      <c r="Q804" s="5" t="n"/>
      <c r="R804" s="3" t="inlineStr">
        <is>
          <t>Baik</t>
        </is>
      </c>
      <c r="S804" s="3" t="inlineStr">
        <is>
          <t>Aktif</t>
        </is>
      </c>
      <c r="T804" s="3" t="n"/>
      <c r="U804" s="3" t="inlineStr">
        <is>
          <t>ASSET TKIA-24 2025(1).xlsx | ASET TKIA</t>
        </is>
      </c>
    </row>
    <row r="805">
      <c r="A805" s="3" t="n">
        <v>802</v>
      </c>
      <c r="B805" s="3" t="inlineStr">
        <is>
          <t>171 - 02 - 02</t>
        </is>
      </c>
      <c r="C805" s="3" t="inlineStr">
        <is>
          <t>TKIA 24 JATIKRAMAT</t>
        </is>
      </c>
      <c r="D805" s="3" t="inlineStr">
        <is>
          <t>I / TATA USAHA (TU)</t>
        </is>
      </c>
      <c r="E805" s="3" t="inlineStr">
        <is>
          <t>Lemari File Kaca</t>
        </is>
      </c>
      <c r="F805" s="3" t="inlineStr">
        <is>
          <t>Lemari File Kaca</t>
        </is>
      </c>
      <c r="G805" s="3" t="inlineStr">
        <is>
          <t>Kayu</t>
        </is>
      </c>
      <c r="H805" s="3" t="inlineStr">
        <is>
          <t>263 cm x 185 cm</t>
        </is>
      </c>
      <c r="I805" s="3" t="inlineStr">
        <is>
          <t>1 Unit</t>
        </is>
      </c>
      <c r="J805" s="4" t="n"/>
      <c r="K805" s="3" t="n"/>
      <c r="L805" s="5" t="n"/>
      <c r="M805" s="5" t="n"/>
      <c r="N805" s="3" t="inlineStr">
        <is>
          <t>171 - 02 - 02</t>
        </is>
      </c>
      <c r="O805" s="3" t="n">
        <v>4</v>
      </c>
      <c r="P805" s="5" t="n"/>
      <c r="Q805" s="5" t="n"/>
      <c r="R805" s="3" t="inlineStr">
        <is>
          <t>Baik</t>
        </is>
      </c>
      <c r="S805" s="3" t="inlineStr">
        <is>
          <t>Aktif</t>
        </is>
      </c>
      <c r="T805" s="3" t="n"/>
      <c r="U805" s="3" t="inlineStr">
        <is>
          <t>ASSET TKIA-24 2025(1).xlsx | ASET TKIA</t>
        </is>
      </c>
    </row>
    <row r="806">
      <c r="A806" s="3" t="n">
        <v>803</v>
      </c>
      <c r="B806" s="3" t="inlineStr">
        <is>
          <t>171 - 03 - 01 - 24</t>
        </is>
      </c>
      <c r="C806" s="3" t="inlineStr">
        <is>
          <t>TKIA 24 JATIKRAMAT</t>
        </is>
      </c>
      <c r="D806" s="3" t="inlineStr">
        <is>
          <t>I / 2 / KEP.SEKOLAH</t>
        </is>
      </c>
      <c r="E806" s="3" t="inlineStr">
        <is>
          <t>Meja</t>
        </is>
      </c>
      <c r="F806" s="3" t="inlineStr">
        <is>
          <t>Meja</t>
        </is>
      </c>
      <c r="G806" s="3" t="inlineStr">
        <is>
          <t>Kayu</t>
        </is>
      </c>
      <c r="H806" s="3" t="inlineStr">
        <is>
          <t>Biro - 160 cm x 80 cm</t>
        </is>
      </c>
      <c r="I806" s="3" t="inlineStr">
        <is>
          <t>1 Unit</t>
        </is>
      </c>
      <c r="J806" s="4" t="n"/>
      <c r="K806" s="3" t="n"/>
      <c r="L806" s="5" t="n"/>
      <c r="M806" s="5" t="n"/>
      <c r="N806" s="3" t="inlineStr">
        <is>
          <t>171 - 03 - 01 - 24</t>
        </is>
      </c>
      <c r="O806" s="3" t="n">
        <v>4</v>
      </c>
      <c r="P806" s="5" t="n"/>
      <c r="Q806" s="5" t="n"/>
      <c r="R806" s="3" t="inlineStr">
        <is>
          <t>Baik</t>
        </is>
      </c>
      <c r="S806" s="3" t="inlineStr">
        <is>
          <t>Aktif</t>
        </is>
      </c>
      <c r="T806" s="3" t="n"/>
      <c r="U806" s="3" t="inlineStr">
        <is>
          <t>ASSET TKIA-24 2025(1).xlsx | ASET TKIA</t>
        </is>
      </c>
    </row>
    <row r="807">
      <c r="A807" s="3" t="n">
        <v>804</v>
      </c>
      <c r="B807" s="3" t="inlineStr">
        <is>
          <t>171 - 03 - 01 - 24</t>
        </is>
      </c>
      <c r="C807" s="3" t="inlineStr">
        <is>
          <t>TKIA 24 JATIKRAMAT</t>
        </is>
      </c>
      <c r="D807" s="3" t="inlineStr">
        <is>
          <t>I / 2 / KEP.SEKOLAH</t>
        </is>
      </c>
      <c r="E807" s="3" t="inlineStr">
        <is>
          <t>Kursi Sofa 2 Orang</t>
        </is>
      </c>
      <c r="F807" s="3" t="inlineStr">
        <is>
          <t>Kursi Sofa 2 Orang</t>
        </is>
      </c>
      <c r="G807" s="3" t="inlineStr">
        <is>
          <t>Stenlis</t>
        </is>
      </c>
      <c r="H807" s="3" t="n"/>
      <c r="I807" s="3" t="inlineStr">
        <is>
          <t>1 Unit</t>
        </is>
      </c>
      <c r="J807" s="4" t="n"/>
      <c r="K807" s="3" t="n"/>
      <c r="L807" s="5" t="n"/>
      <c r="M807" s="5" t="n"/>
      <c r="N807" s="3" t="inlineStr">
        <is>
          <t>171 - 03 - 01 - 24</t>
        </is>
      </c>
      <c r="O807" s="3" t="n">
        <v>4</v>
      </c>
      <c r="P807" s="5" t="n"/>
      <c r="Q807" s="5" t="n"/>
      <c r="R807" s="3" t="inlineStr">
        <is>
          <t>Baik</t>
        </is>
      </c>
      <c r="S807" s="3" t="inlineStr">
        <is>
          <t>Aktif</t>
        </is>
      </c>
      <c r="T807" s="3" t="n"/>
      <c r="U807" s="3" t="inlineStr">
        <is>
          <t>ASSET TKIA-24 2025(1).xlsx | ASET TKIA</t>
        </is>
      </c>
    </row>
    <row r="808">
      <c r="A808" s="3" t="n">
        <v>805</v>
      </c>
      <c r="B808" s="3" t="inlineStr">
        <is>
          <t>171 - 03 - 01 - 24</t>
        </is>
      </c>
      <c r="C808" s="3" t="inlineStr">
        <is>
          <t>TKIA 24 JATIKRAMAT</t>
        </is>
      </c>
      <c r="D808" s="3" t="inlineStr">
        <is>
          <t>I / 2 / KEP.SEKOLAH</t>
        </is>
      </c>
      <c r="E808" s="3" t="inlineStr">
        <is>
          <t>Kursi Putar</t>
        </is>
      </c>
      <c r="F808" s="3" t="inlineStr">
        <is>
          <t>Kursi Putar</t>
        </is>
      </c>
      <c r="G808" s="3" t="inlineStr">
        <is>
          <t>Besi</t>
        </is>
      </c>
      <c r="H808" s="3" t="inlineStr">
        <is>
          <t>44 cm x 49 cm x 49 cm</t>
        </is>
      </c>
      <c r="I808" s="3" t="inlineStr">
        <is>
          <t>1 Unit</t>
        </is>
      </c>
      <c r="J808" s="4" t="n"/>
      <c r="K808" s="3" t="n"/>
      <c r="L808" s="5" t="n"/>
      <c r="M808" s="5" t="n"/>
      <c r="N808" s="3" t="inlineStr">
        <is>
          <t>171 - 03 - 01 - 24</t>
        </is>
      </c>
      <c r="O808" s="3" t="n">
        <v>4</v>
      </c>
      <c r="P808" s="5" t="n"/>
      <c r="Q808" s="5" t="n"/>
      <c r="R808" s="3" t="inlineStr">
        <is>
          <t>Baik</t>
        </is>
      </c>
      <c r="S808" s="3" t="inlineStr">
        <is>
          <t>Aktif</t>
        </is>
      </c>
      <c r="T808" s="3" t="n"/>
      <c r="U808" s="3" t="inlineStr">
        <is>
          <t>ASSET TKIA-24 2025(1).xlsx | ASET TKIA</t>
        </is>
      </c>
    </row>
    <row r="809">
      <c r="A809" s="3" t="n">
        <v>806</v>
      </c>
      <c r="B809" s="3" t="inlineStr">
        <is>
          <t>171 - 03 - 01 - 24</t>
        </is>
      </c>
      <c r="C809" s="3" t="inlineStr">
        <is>
          <t>TKIA 24 JATIKRAMAT</t>
        </is>
      </c>
      <c r="D809" s="3" t="inlineStr">
        <is>
          <t>I / 2 / KEP.SEKOLAH</t>
        </is>
      </c>
      <c r="E809" s="3" t="inlineStr">
        <is>
          <t>Kursi Tamu</t>
        </is>
      </c>
      <c r="F809" s="3" t="inlineStr">
        <is>
          <t>Kursi Tamu</t>
        </is>
      </c>
      <c r="G809" s="3" t="inlineStr">
        <is>
          <t>Besi</t>
        </is>
      </c>
      <c r="H809" s="3" t="n"/>
      <c r="I809" s="3" t="inlineStr">
        <is>
          <t>2 Unit</t>
        </is>
      </c>
      <c r="J809" s="4" t="n"/>
      <c r="K809" s="3" t="n"/>
      <c r="L809" s="5" t="n"/>
      <c r="M809" s="5" t="n"/>
      <c r="N809" s="3" t="inlineStr">
        <is>
          <t>171 - 03 - 01 - 24</t>
        </is>
      </c>
      <c r="O809" s="3" t="n">
        <v>4</v>
      </c>
      <c r="P809" s="5" t="n"/>
      <c r="Q809" s="5" t="n"/>
      <c r="R809" s="3" t="inlineStr">
        <is>
          <t>Baik</t>
        </is>
      </c>
      <c r="S809" s="3" t="inlineStr">
        <is>
          <t>Aktif</t>
        </is>
      </c>
      <c r="T809" s="3" t="n"/>
      <c r="U809" s="3" t="inlineStr">
        <is>
          <t>ASSET TKIA-24 2025(1).xlsx | ASET TKIA</t>
        </is>
      </c>
    </row>
    <row r="810">
      <c r="A810" s="3" t="n">
        <v>807</v>
      </c>
      <c r="B810" s="3" t="inlineStr">
        <is>
          <t>171 - 03 - 01 - 24</t>
        </is>
      </c>
      <c r="C810" s="3" t="inlineStr">
        <is>
          <t>TKIA 24 JATIKRAMAT</t>
        </is>
      </c>
      <c r="D810" s="3" t="inlineStr">
        <is>
          <t>I / 2 / KEP.SEKOLAH</t>
        </is>
      </c>
      <c r="E810" s="3" t="inlineStr">
        <is>
          <t>Mading</t>
        </is>
      </c>
      <c r="F810" s="3" t="inlineStr">
        <is>
          <t>Mading</t>
        </is>
      </c>
      <c r="G810" s="3" t="inlineStr">
        <is>
          <t>Kayu</t>
        </is>
      </c>
      <c r="H810" s="3" t="inlineStr">
        <is>
          <t>244 cm x 122 cm</t>
        </is>
      </c>
      <c r="I810" s="3" t="inlineStr">
        <is>
          <t>1 Unit</t>
        </is>
      </c>
      <c r="J810" s="4" t="n"/>
      <c r="K810" s="3" t="n"/>
      <c r="L810" s="5" t="n"/>
      <c r="M810" s="5" t="n"/>
      <c r="N810" s="3" t="inlineStr">
        <is>
          <t>171 - 03 - 01 - 24</t>
        </is>
      </c>
      <c r="O810" s="3" t="n">
        <v>4</v>
      </c>
      <c r="P810" s="5" t="n"/>
      <c r="Q810" s="5" t="n"/>
      <c r="R810" s="3" t="inlineStr">
        <is>
          <t>Baik</t>
        </is>
      </c>
      <c r="S810" s="3" t="inlineStr">
        <is>
          <t>Aktif</t>
        </is>
      </c>
      <c r="T810" s="3" t="n"/>
      <c r="U810" s="3" t="inlineStr">
        <is>
          <t>ASSET TKIA-24 2025(1).xlsx | ASET TKIA</t>
        </is>
      </c>
    </row>
    <row r="811">
      <c r="A811" s="3" t="n">
        <v>808</v>
      </c>
      <c r="B811" s="3" t="inlineStr">
        <is>
          <t>171 - 03 - 01 - 24</t>
        </is>
      </c>
      <c r="C811" s="3" t="inlineStr">
        <is>
          <t>TKIA 24 JATIKRAMAT</t>
        </is>
      </c>
      <c r="D811" s="3" t="inlineStr">
        <is>
          <t>I / 2 / KEP.SEKOLAH</t>
        </is>
      </c>
      <c r="E811" s="3" t="inlineStr">
        <is>
          <t>Lemari File Kaca</t>
        </is>
      </c>
      <c r="F811" s="3" t="inlineStr">
        <is>
          <t>Lemari File Kaca</t>
        </is>
      </c>
      <c r="G811" s="3" t="inlineStr">
        <is>
          <t>Kayu</t>
        </is>
      </c>
      <c r="H811" s="3" t="inlineStr">
        <is>
          <t>190 cm x 115 cm</t>
        </is>
      </c>
      <c r="I811" s="3" t="inlineStr">
        <is>
          <t>1 Unit</t>
        </is>
      </c>
      <c r="J811" s="4" t="n"/>
      <c r="K811" s="3" t="n"/>
      <c r="L811" s="5" t="n"/>
      <c r="M811" s="5" t="n"/>
      <c r="N811" s="3" t="inlineStr">
        <is>
          <t>171 - 03 - 01 - 24</t>
        </is>
      </c>
      <c r="O811" s="3" t="n">
        <v>4</v>
      </c>
      <c r="P811" s="5" t="n"/>
      <c r="Q811" s="5" t="n"/>
      <c r="R811" s="3" t="inlineStr">
        <is>
          <t>Baik</t>
        </is>
      </c>
      <c r="S811" s="3" t="inlineStr">
        <is>
          <t>Aktif</t>
        </is>
      </c>
      <c r="T811" s="3" t="n"/>
      <c r="U811" s="3" t="inlineStr">
        <is>
          <t>ASSET TKIA-24 2025(1).xlsx | ASET TKIA</t>
        </is>
      </c>
    </row>
    <row r="812">
      <c r="A812" s="3" t="n">
        <v>809</v>
      </c>
      <c r="B812" s="3" t="inlineStr">
        <is>
          <t>171 - 03 - 01 - 24</t>
        </is>
      </c>
      <c r="C812" s="3" t="inlineStr">
        <is>
          <t>TKIA 24 JATIKRAMAT</t>
        </is>
      </c>
      <c r="D812" s="3" t="inlineStr">
        <is>
          <t>I / 2 / KEP.SEKOLAH</t>
        </is>
      </c>
      <c r="E812" s="3" t="inlineStr">
        <is>
          <t>WhiteBoard</t>
        </is>
      </c>
      <c r="F812" s="3" t="inlineStr">
        <is>
          <t>WhiteBoard</t>
        </is>
      </c>
      <c r="G812" s="3" t="inlineStr">
        <is>
          <t>Kayu</t>
        </is>
      </c>
      <c r="H812" s="3" t="inlineStr">
        <is>
          <t>66 cm x 107 cm</t>
        </is>
      </c>
      <c r="I812" s="3" t="inlineStr">
        <is>
          <t>1 Unit</t>
        </is>
      </c>
      <c r="J812" s="4" t="n"/>
      <c r="K812" s="3" t="n"/>
      <c r="L812" s="5" t="n"/>
      <c r="M812" s="5" t="n"/>
      <c r="N812" s="3" t="inlineStr">
        <is>
          <t>171 - 03 - 01 - 24</t>
        </is>
      </c>
      <c r="O812" s="3" t="n">
        <v>4</v>
      </c>
      <c r="P812" s="5" t="n"/>
      <c r="Q812" s="5" t="n"/>
      <c r="R812" s="3" t="inlineStr">
        <is>
          <t>Baik</t>
        </is>
      </c>
      <c r="S812" s="3" t="inlineStr">
        <is>
          <t>Aktif</t>
        </is>
      </c>
      <c r="T812" s="3" t="n"/>
      <c r="U812" s="3" t="inlineStr">
        <is>
          <t>ASSET TKIA-24 2025(1).xlsx | ASET TKIA</t>
        </is>
      </c>
    </row>
    <row r="813">
      <c r="A813" s="3" t="n">
        <v>810</v>
      </c>
      <c r="B813" s="3" t="inlineStr">
        <is>
          <t>171 - 03 - 01 - 24</t>
        </is>
      </c>
      <c r="C813" s="3" t="inlineStr">
        <is>
          <t>TKIA 24 JATIKRAMAT</t>
        </is>
      </c>
      <c r="D813" s="3" t="inlineStr">
        <is>
          <t>I / 2 / KEP.SEKOLAH</t>
        </is>
      </c>
      <c r="E813" s="3" t="inlineStr">
        <is>
          <t>Jam Dinding</t>
        </is>
      </c>
      <c r="F813" s="3" t="inlineStr">
        <is>
          <t>Jam Dinding</t>
        </is>
      </c>
      <c r="G813" s="3" t="inlineStr">
        <is>
          <t>Plastik</t>
        </is>
      </c>
      <c r="H813" s="3" t="inlineStr">
        <is>
          <t>Diameter 26 cm</t>
        </is>
      </c>
      <c r="I813" s="3" t="inlineStr">
        <is>
          <t>1 Unit</t>
        </is>
      </c>
      <c r="J813" s="4" t="n"/>
      <c r="K813" s="3" t="n"/>
      <c r="L813" s="5" t="n"/>
      <c r="M813" s="5" t="n"/>
      <c r="N813" s="3" t="inlineStr">
        <is>
          <t>171 - 03 - 01 - 24</t>
        </is>
      </c>
      <c r="O813" s="3" t="n">
        <v>4</v>
      </c>
      <c r="P813" s="5" t="n"/>
      <c r="Q813" s="5" t="n"/>
      <c r="R813" s="3" t="inlineStr">
        <is>
          <t>Baik</t>
        </is>
      </c>
      <c r="S813" s="3" t="inlineStr">
        <is>
          <t>Aktif</t>
        </is>
      </c>
      <c r="T813" s="3" t="n"/>
      <c r="U813" s="3" t="inlineStr">
        <is>
          <t>ASSET TKIA-24 2025(1).xlsx | ASET TKIA</t>
        </is>
      </c>
    </row>
    <row r="814">
      <c r="A814" s="3" t="n">
        <v>811</v>
      </c>
      <c r="B814" s="3" t="inlineStr">
        <is>
          <t>171 - 03 - 01 - 24</t>
        </is>
      </c>
      <c r="C814" s="3" t="inlineStr">
        <is>
          <t>TKIA 24 JATIKRAMAT</t>
        </is>
      </c>
      <c r="D814" s="3" t="inlineStr">
        <is>
          <t>I / 2 / KEP.SEKOLAH</t>
        </is>
      </c>
      <c r="E814" s="3" t="inlineStr">
        <is>
          <t>Meja Kotak Sudut</t>
        </is>
      </c>
      <c r="F814" s="3" t="inlineStr">
        <is>
          <t>Meja Kotak Sudut</t>
        </is>
      </c>
      <c r="G814" s="3" t="inlineStr">
        <is>
          <t>Kayu</t>
        </is>
      </c>
      <c r="H814" s="3" t="inlineStr">
        <is>
          <t>40 cm x 40 cm</t>
        </is>
      </c>
      <c r="I814" s="3" t="inlineStr">
        <is>
          <t>2 Unit</t>
        </is>
      </c>
      <c r="J814" s="4" t="n"/>
      <c r="K814" s="3" t="n"/>
      <c r="L814" s="5" t="n"/>
      <c r="M814" s="5" t="n"/>
      <c r="N814" s="3" t="inlineStr">
        <is>
          <t>171 - 03 - 01 - 24</t>
        </is>
      </c>
      <c r="O814" s="3" t="n">
        <v>4</v>
      </c>
      <c r="P814" s="5" t="n"/>
      <c r="Q814" s="5" t="n"/>
      <c r="R814" s="3" t="inlineStr">
        <is>
          <t>Baik</t>
        </is>
      </c>
      <c r="S814" s="3" t="inlineStr">
        <is>
          <t>Aktif</t>
        </is>
      </c>
      <c r="T814" s="3" t="n"/>
      <c r="U814" s="3" t="inlineStr">
        <is>
          <t>ASSET TKIA-24 2025(1).xlsx | ASET TKIA</t>
        </is>
      </c>
    </row>
    <row r="815">
      <c r="A815" s="3" t="n">
        <v>812</v>
      </c>
      <c r="B815" s="3" t="inlineStr">
        <is>
          <t>171 - 03 - 01 - 24</t>
        </is>
      </c>
      <c r="C815" s="3" t="inlineStr">
        <is>
          <t>TKIA 24 JATIKRAMAT</t>
        </is>
      </c>
      <c r="D815" s="3" t="inlineStr">
        <is>
          <t>I / 2 / KEP.SEKOLAH</t>
        </is>
      </c>
      <c r="E815" s="3" t="inlineStr">
        <is>
          <t>Tempat Sampah</t>
        </is>
      </c>
      <c r="F815" s="3" t="inlineStr">
        <is>
          <t>Tempat Sampah</t>
        </is>
      </c>
      <c r="G815" s="3" t="inlineStr">
        <is>
          <t>Plastik</t>
        </is>
      </c>
      <c r="H815" s="3" t="inlineStr">
        <is>
          <t>30 cm x 20 cm</t>
        </is>
      </c>
      <c r="I815" s="3" t="inlineStr">
        <is>
          <t>1 Unit</t>
        </is>
      </c>
      <c r="J815" s="4" t="n"/>
      <c r="K815" s="3" t="n"/>
      <c r="L815" s="5" t="n"/>
      <c r="M815" s="5" t="n"/>
      <c r="N815" s="3" t="inlineStr">
        <is>
          <t>171 - 03 - 01 - 24</t>
        </is>
      </c>
      <c r="O815" s="3" t="n">
        <v>4</v>
      </c>
      <c r="P815" s="5" t="n"/>
      <c r="Q815" s="5" t="n"/>
      <c r="R815" s="3" t="inlineStr">
        <is>
          <t>Baik</t>
        </is>
      </c>
      <c r="S815" s="3" t="inlineStr">
        <is>
          <t>Aktif</t>
        </is>
      </c>
      <c r="T815" s="3" t="n"/>
      <c r="U815" s="3" t="inlineStr">
        <is>
          <t>ASSET TKIA-24 2025(1).xlsx | ASET TKIA</t>
        </is>
      </c>
    </row>
    <row r="816">
      <c r="A816" s="3" t="n">
        <v>813</v>
      </c>
      <c r="B816" s="3" t="inlineStr">
        <is>
          <t>171 - 03 - 01 - 24</t>
        </is>
      </c>
      <c r="C816" s="3" t="inlineStr">
        <is>
          <t>TKIA 24 JATIKRAMAT</t>
        </is>
      </c>
      <c r="D816" s="3" t="inlineStr">
        <is>
          <t>I / 2 / KEP.SEKOLAH</t>
        </is>
      </c>
      <c r="E816" s="3" t="inlineStr">
        <is>
          <t>Pengharum Ruangan</t>
        </is>
      </c>
      <c r="F816" s="3" t="inlineStr">
        <is>
          <t>Pengharum Ruangan</t>
        </is>
      </c>
      <c r="G816" s="3" t="inlineStr">
        <is>
          <t>Plastik</t>
        </is>
      </c>
      <c r="H816" s="3" t="n"/>
      <c r="I816" s="3" t="inlineStr">
        <is>
          <t>1 Unit</t>
        </is>
      </c>
      <c r="J816" s="4" t="n"/>
      <c r="K816" s="3" t="n"/>
      <c r="L816" s="5" t="n"/>
      <c r="M816" s="5" t="n"/>
      <c r="N816" s="3" t="inlineStr">
        <is>
          <t>171 - 03 - 01 - 24</t>
        </is>
      </c>
      <c r="O816" s="3" t="n">
        <v>4</v>
      </c>
      <c r="P816" s="5" t="n"/>
      <c r="Q816" s="5" t="n"/>
      <c r="R816" s="3" t="inlineStr">
        <is>
          <t>Baik</t>
        </is>
      </c>
      <c r="S816" s="3" t="inlineStr">
        <is>
          <t>Aktif</t>
        </is>
      </c>
      <c r="T816" s="3" t="n"/>
      <c r="U816" s="3" t="inlineStr">
        <is>
          <t>ASSET TKIA-24 2025(1).xlsx | ASET TKIA</t>
        </is>
      </c>
    </row>
    <row r="817">
      <c r="A817" s="3" t="n">
        <v>814</v>
      </c>
      <c r="B817" s="3" t="inlineStr">
        <is>
          <t>171 - 02 - 02</t>
        </is>
      </c>
      <c r="C817" s="3" t="inlineStr">
        <is>
          <t>TKIA 24 JATIKRAMAT</t>
        </is>
      </c>
      <c r="D817" s="3" t="inlineStr">
        <is>
          <t>II / GUDANG - BELAKANG</t>
        </is>
      </c>
      <c r="E817" s="3" t="inlineStr">
        <is>
          <t>Set Tenda Manasik</t>
        </is>
      </c>
      <c r="F817" s="3" t="inlineStr">
        <is>
          <t>Set Tenda Manasik</t>
        </is>
      </c>
      <c r="G817" s="3" t="inlineStr">
        <is>
          <t>Besi</t>
        </is>
      </c>
      <c r="H817" s="3" t="inlineStr">
        <is>
          <t>2 1/2 x 2 1/2</t>
        </is>
      </c>
      <c r="I817" s="3" t="inlineStr">
        <is>
          <t>1 Unit</t>
        </is>
      </c>
      <c r="J817" s="4" t="n"/>
      <c r="K817" s="3" t="n"/>
      <c r="L817" s="5" t="n"/>
      <c r="M817" s="5" t="n"/>
      <c r="N817" s="3" t="inlineStr">
        <is>
          <t>171 - 02 - 02</t>
        </is>
      </c>
      <c r="O817" s="3" t="n">
        <v>4</v>
      </c>
      <c r="P817" s="5" t="n"/>
      <c r="Q817" s="5" t="n"/>
      <c r="R817" s="3" t="inlineStr">
        <is>
          <t>Baik</t>
        </is>
      </c>
      <c r="S817" s="3" t="inlineStr">
        <is>
          <t>Aktif</t>
        </is>
      </c>
      <c r="T817" s="3" t="n"/>
      <c r="U817" s="3" t="inlineStr">
        <is>
          <t>ASSET TKIA-24 2025(1).xlsx | ASET TKIA</t>
        </is>
      </c>
    </row>
    <row r="818">
      <c r="A818" s="3" t="n">
        <v>815</v>
      </c>
      <c r="B818" s="3" t="inlineStr">
        <is>
          <t>171 - 02 - 02</t>
        </is>
      </c>
      <c r="C818" s="3" t="inlineStr">
        <is>
          <t>TKIA 24 JATIKRAMAT</t>
        </is>
      </c>
      <c r="D818" s="3" t="inlineStr">
        <is>
          <t>II / GUDANG - BELAKANG</t>
        </is>
      </c>
      <c r="E818" s="3" t="inlineStr">
        <is>
          <t>Box Kontainer</t>
        </is>
      </c>
      <c r="F818" s="3" t="inlineStr">
        <is>
          <t>Box Kontainer</t>
        </is>
      </c>
      <c r="G818" s="3" t="inlineStr">
        <is>
          <t>Plastik</t>
        </is>
      </c>
      <c r="H818" s="3" t="inlineStr">
        <is>
          <t>78 cm x 60 cm</t>
        </is>
      </c>
      <c r="I818" s="3" t="inlineStr">
        <is>
          <t>7 Unit</t>
        </is>
      </c>
      <c r="J818" s="4" t="n"/>
      <c r="K818" s="3" t="n"/>
      <c r="L818" s="5" t="n"/>
      <c r="M818" s="5" t="n"/>
      <c r="N818" s="3" t="inlineStr">
        <is>
          <t>171 - 02 - 02</t>
        </is>
      </c>
      <c r="O818" s="3" t="n">
        <v>4</v>
      </c>
      <c r="P818" s="5" t="n"/>
      <c r="Q818" s="5" t="n"/>
      <c r="R818" s="3" t="inlineStr">
        <is>
          <t>Baik</t>
        </is>
      </c>
      <c r="S818" s="3" t="inlineStr">
        <is>
          <t>Aktif</t>
        </is>
      </c>
      <c r="T818" s="3" t="n"/>
      <c r="U818" s="3" t="inlineStr">
        <is>
          <t>ASSET TKIA-24 2025(1).xlsx | ASET TKIA</t>
        </is>
      </c>
    </row>
    <row r="819">
      <c r="A819" s="3" t="n">
        <v>816</v>
      </c>
      <c r="B819" s="3" t="inlineStr">
        <is>
          <t>171 - 02 - 02</t>
        </is>
      </c>
      <c r="C819" s="3" t="inlineStr">
        <is>
          <t>TKIA 24 JATIKRAMAT</t>
        </is>
      </c>
      <c r="D819" s="3" t="inlineStr">
        <is>
          <t>II / GUDANG - BELAKANG</t>
        </is>
      </c>
      <c r="E819" s="3" t="inlineStr">
        <is>
          <t>Karpet</t>
        </is>
      </c>
      <c r="F819" s="3" t="inlineStr">
        <is>
          <t>Karpet</t>
        </is>
      </c>
      <c r="G819" s="3" t="inlineStr">
        <is>
          <t>Benang</t>
        </is>
      </c>
      <c r="H819" s="3" t="inlineStr">
        <is>
          <t>330 cm x 247 cm</t>
        </is>
      </c>
      <c r="I819" s="3" t="inlineStr">
        <is>
          <t>1 Unit</t>
        </is>
      </c>
      <c r="J819" s="4" t="n"/>
      <c r="K819" s="3" t="n"/>
      <c r="L819" s="5" t="n"/>
      <c r="M819" s="5" t="n"/>
      <c r="N819" s="3" t="inlineStr">
        <is>
          <t>171 - 02 - 02</t>
        </is>
      </c>
      <c r="O819" s="3" t="n">
        <v>4</v>
      </c>
      <c r="P819" s="5" t="n"/>
      <c r="Q819" s="5" t="n"/>
      <c r="R819" s="3" t="inlineStr">
        <is>
          <t>Baik</t>
        </is>
      </c>
      <c r="S819" s="3" t="inlineStr">
        <is>
          <t>Aktif</t>
        </is>
      </c>
      <c r="T819" s="3" t="n"/>
      <c r="U819" s="3" t="inlineStr">
        <is>
          <t>ASSET TKIA-24 2025(1).xlsx | ASET TKIA</t>
        </is>
      </c>
    </row>
    <row r="820">
      <c r="A820" s="3" t="n">
        <v>817</v>
      </c>
      <c r="B820" s="3" t="inlineStr">
        <is>
          <t>171 - 02 - 02</t>
        </is>
      </c>
      <c r="C820" s="3" t="inlineStr">
        <is>
          <t>TKIA 24 JATIKRAMAT</t>
        </is>
      </c>
      <c r="D820" s="3" t="inlineStr">
        <is>
          <t>II / GUDANG - BELAKANG</t>
        </is>
      </c>
      <c r="E820" s="3" t="inlineStr">
        <is>
          <t>Terpal</t>
        </is>
      </c>
      <c r="F820" s="3" t="inlineStr">
        <is>
          <t>Terpal</t>
        </is>
      </c>
      <c r="G820" s="3" t="inlineStr">
        <is>
          <t>Plastik</t>
        </is>
      </c>
      <c r="H820" s="3" t="inlineStr">
        <is>
          <t>400 cm x 200 cm</t>
        </is>
      </c>
      <c r="I820" s="3" t="inlineStr">
        <is>
          <t>6 Unit</t>
        </is>
      </c>
      <c r="J820" s="4" t="n"/>
      <c r="K820" s="3" t="n"/>
      <c r="L820" s="5" t="n"/>
      <c r="M820" s="5" t="n"/>
      <c r="N820" s="3" t="inlineStr">
        <is>
          <t>171 - 02 - 02</t>
        </is>
      </c>
      <c r="O820" s="3" t="n">
        <v>4</v>
      </c>
      <c r="P820" s="5" t="n"/>
      <c r="Q820" s="5" t="n"/>
      <c r="R820" s="3" t="inlineStr">
        <is>
          <t>Baik</t>
        </is>
      </c>
      <c r="S820" s="3" t="inlineStr">
        <is>
          <t>Aktif</t>
        </is>
      </c>
      <c r="T820" s="3" t="n"/>
      <c r="U820" s="3" t="inlineStr">
        <is>
          <t>ASSET TKIA-24 2025(1).xlsx | ASET TKIA</t>
        </is>
      </c>
    </row>
    <row r="821">
      <c r="A821" s="3" t="n">
        <v>818</v>
      </c>
      <c r="B821" s="3" t="inlineStr">
        <is>
          <t>171 - 02 - 02</t>
        </is>
      </c>
      <c r="C821" s="3" t="inlineStr">
        <is>
          <t>TKIA 24 JATIKRAMAT</t>
        </is>
      </c>
      <c r="D821" s="3" t="inlineStr">
        <is>
          <t>II / GUDANG - BELAKANG</t>
        </is>
      </c>
      <c r="E821" s="3" t="inlineStr">
        <is>
          <t>Tikar</t>
        </is>
      </c>
      <c r="F821" s="3" t="inlineStr">
        <is>
          <t>Tikar</t>
        </is>
      </c>
      <c r="G821" s="3" t="inlineStr">
        <is>
          <t>Daun</t>
        </is>
      </c>
      <c r="H821" s="3" t="inlineStr">
        <is>
          <t>300 cm x 200 cm</t>
        </is>
      </c>
      <c r="I821" s="3" t="inlineStr">
        <is>
          <t>6 Unit</t>
        </is>
      </c>
      <c r="J821" s="4" t="n"/>
      <c r="K821" s="3" t="n"/>
      <c r="L821" s="5" t="n"/>
      <c r="M821" s="5" t="n"/>
      <c r="N821" s="3" t="inlineStr">
        <is>
          <t>171 - 02 - 02</t>
        </is>
      </c>
      <c r="O821" s="3" t="n">
        <v>4</v>
      </c>
      <c r="P821" s="5" t="n"/>
      <c r="Q821" s="5" t="n"/>
      <c r="R821" s="3" t="inlineStr">
        <is>
          <t>Baik</t>
        </is>
      </c>
      <c r="S821" s="3" t="inlineStr">
        <is>
          <t>Aktif</t>
        </is>
      </c>
      <c r="T821" s="3" t="n"/>
      <c r="U821" s="3" t="inlineStr">
        <is>
          <t>ASSET TKIA-24 2025(1).xlsx | ASET TKIA</t>
        </is>
      </c>
    </row>
    <row r="822">
      <c r="A822" s="3" t="n">
        <v>819</v>
      </c>
      <c r="B822" s="3" t="inlineStr">
        <is>
          <t>171 - 02 - 02</t>
        </is>
      </c>
      <c r="C822" s="3" t="inlineStr">
        <is>
          <t>TKIA 24 JATIKRAMAT</t>
        </is>
      </c>
      <c r="D822" s="3" t="inlineStr">
        <is>
          <t>II / AULA SERBAGUNA</t>
        </is>
      </c>
      <c r="E822" s="3" t="inlineStr">
        <is>
          <t>Loker Sepatu dan Tas</t>
        </is>
      </c>
      <c r="F822" s="3" t="inlineStr">
        <is>
          <t>Loker Sepatu dan Tas</t>
        </is>
      </c>
      <c r="G822" s="3" t="inlineStr">
        <is>
          <t>Kayu</t>
        </is>
      </c>
      <c r="H822" s="3" t="inlineStr">
        <is>
          <t>200 cm x 115 cm</t>
        </is>
      </c>
      <c r="I822" s="3" t="inlineStr">
        <is>
          <t>6 Unit</t>
        </is>
      </c>
      <c r="J822" s="4" t="n"/>
      <c r="K822" s="3" t="n"/>
      <c r="L822" s="5" t="n"/>
      <c r="M822" s="5" t="n"/>
      <c r="N822" s="3" t="inlineStr">
        <is>
          <t>171 - 02 - 02</t>
        </is>
      </c>
      <c r="O822" s="3" t="n">
        <v>4</v>
      </c>
      <c r="P822" s="5" t="n"/>
      <c r="Q822" s="5" t="n"/>
      <c r="R822" s="3" t="inlineStr">
        <is>
          <t>Baik</t>
        </is>
      </c>
      <c r="S822" s="3" t="inlineStr">
        <is>
          <t>Aktif</t>
        </is>
      </c>
      <c r="T822" s="3" t="n"/>
      <c r="U822" s="3" t="inlineStr">
        <is>
          <t>ASSET TKIA-24 2025(1).xlsx | ASET TKIA</t>
        </is>
      </c>
    </row>
    <row r="823">
      <c r="A823" s="3" t="n">
        <v>820</v>
      </c>
      <c r="B823" s="3" t="inlineStr">
        <is>
          <t>171 - 02 - 02</t>
        </is>
      </c>
      <c r="C823" s="3" t="inlineStr">
        <is>
          <t>TKIA 24 JATIKRAMAT</t>
        </is>
      </c>
      <c r="D823" s="3" t="inlineStr">
        <is>
          <t>II / AULA SERBAGUNA</t>
        </is>
      </c>
      <c r="E823" s="3" t="inlineStr">
        <is>
          <t>Rak Sepatu</t>
        </is>
      </c>
      <c r="F823" s="3" t="inlineStr">
        <is>
          <t>Rak Sepatu</t>
        </is>
      </c>
      <c r="G823" s="3" t="inlineStr">
        <is>
          <t>Kayu</t>
        </is>
      </c>
      <c r="H823" s="3" t="inlineStr">
        <is>
          <t>120 cm x 77 cm</t>
        </is>
      </c>
      <c r="I823" s="3" t="inlineStr">
        <is>
          <t>2 Unit</t>
        </is>
      </c>
      <c r="J823" s="4" t="n"/>
      <c r="K823" s="3" t="n"/>
      <c r="L823" s="5" t="n"/>
      <c r="M823" s="5" t="n"/>
      <c r="N823" s="3" t="inlineStr">
        <is>
          <t>171 - 02 - 02</t>
        </is>
      </c>
      <c r="O823" s="3" t="n">
        <v>4</v>
      </c>
      <c r="P823" s="5" t="n"/>
      <c r="Q823" s="5" t="n"/>
      <c r="R823" s="3" t="inlineStr">
        <is>
          <t>Baik</t>
        </is>
      </c>
      <c r="S823" s="3" t="inlineStr">
        <is>
          <t>Aktif</t>
        </is>
      </c>
      <c r="T823" s="3" t="n"/>
      <c r="U823" s="3" t="inlineStr">
        <is>
          <t>ASSET TKIA-24 2025(1).xlsx | ASET TKIA</t>
        </is>
      </c>
    </row>
    <row r="824">
      <c r="A824" s="3" t="n">
        <v>821</v>
      </c>
      <c r="B824" s="3" t="inlineStr">
        <is>
          <t>171 - 02 - 02</t>
        </is>
      </c>
      <c r="C824" s="3" t="inlineStr">
        <is>
          <t>TKIA 24 JATIKRAMAT</t>
        </is>
      </c>
      <c r="D824" s="3" t="inlineStr">
        <is>
          <t>II / AULA SERBAGUNA</t>
        </is>
      </c>
      <c r="E824" s="3" t="inlineStr">
        <is>
          <t>Meja Kecil</t>
        </is>
      </c>
      <c r="F824" s="3" t="inlineStr">
        <is>
          <t>Meja Kecil</t>
        </is>
      </c>
      <c r="G824" s="3" t="inlineStr">
        <is>
          <t>Kayu</t>
        </is>
      </c>
      <c r="H824" s="3" t="inlineStr">
        <is>
          <t>80 cm x 43 cm</t>
        </is>
      </c>
      <c r="I824" s="3" t="inlineStr">
        <is>
          <t>3 Unit</t>
        </is>
      </c>
      <c r="J824" s="4" t="n"/>
      <c r="K824" s="3" t="n"/>
      <c r="L824" s="5" t="n"/>
      <c r="M824" s="5" t="n"/>
      <c r="N824" s="3" t="inlineStr">
        <is>
          <t>171 - 02 - 02</t>
        </is>
      </c>
      <c r="O824" s="3" t="n">
        <v>4</v>
      </c>
      <c r="P824" s="5" t="n"/>
      <c r="Q824" s="5" t="n"/>
      <c r="R824" s="3" t="inlineStr">
        <is>
          <t>Baik</t>
        </is>
      </c>
      <c r="S824" s="3" t="inlineStr">
        <is>
          <t>Aktif</t>
        </is>
      </c>
      <c r="T824" s="3" t="n"/>
      <c r="U824" s="3" t="inlineStr">
        <is>
          <t>ASSET TKIA-24 2025(1).xlsx | ASET TKIA</t>
        </is>
      </c>
    </row>
    <row r="825">
      <c r="A825" s="3" t="n">
        <v>822</v>
      </c>
      <c r="B825" s="3" t="inlineStr">
        <is>
          <t>171 - 02 - 02</t>
        </is>
      </c>
      <c r="C825" s="3" t="inlineStr">
        <is>
          <t>TKIA 24 JATIKRAMAT</t>
        </is>
      </c>
      <c r="D825" s="3" t="inlineStr">
        <is>
          <t>II / AULA SERBAGUNA</t>
        </is>
      </c>
      <c r="E825" s="3" t="inlineStr">
        <is>
          <t>Pas Bunga</t>
        </is>
      </c>
      <c r="F825" s="3" t="inlineStr">
        <is>
          <t>Pas Bunga</t>
        </is>
      </c>
      <c r="G825" s="3" t="inlineStr">
        <is>
          <t>Besi</t>
        </is>
      </c>
      <c r="H825" s="3" t="n"/>
      <c r="I825" s="3" t="inlineStr">
        <is>
          <t>2 Unit</t>
        </is>
      </c>
      <c r="J825" s="4" t="n"/>
      <c r="K825" s="3" t="n"/>
      <c r="L825" s="5" t="n"/>
      <c r="M825" s="5" t="n"/>
      <c r="N825" s="3" t="inlineStr">
        <is>
          <t>171 - 02 - 02</t>
        </is>
      </c>
      <c r="O825" s="3" t="n">
        <v>4</v>
      </c>
      <c r="P825" s="5" t="n"/>
      <c r="Q825" s="5" t="n"/>
      <c r="R825" s="3" t="inlineStr">
        <is>
          <t>Baik</t>
        </is>
      </c>
      <c r="S825" s="3" t="inlineStr">
        <is>
          <t>Aktif</t>
        </is>
      </c>
      <c r="T825" s="3" t="n"/>
      <c r="U825" s="3" t="inlineStr">
        <is>
          <t>ASSET TKIA-24 2025(1).xlsx | ASET TKIA</t>
        </is>
      </c>
    </row>
    <row r="826">
      <c r="A826" s="3" t="n">
        <v>823</v>
      </c>
      <c r="B826" s="3" t="inlineStr">
        <is>
          <t>171 - 02 - 02</t>
        </is>
      </c>
      <c r="C826" s="3" t="inlineStr">
        <is>
          <t>TKIA 24 JATIKRAMAT</t>
        </is>
      </c>
      <c r="D826" s="3" t="inlineStr">
        <is>
          <t>II / AULA SERBAGUNA</t>
        </is>
      </c>
      <c r="E826" s="3" t="inlineStr">
        <is>
          <t>Kursi</t>
        </is>
      </c>
      <c r="F826" s="3" t="inlineStr">
        <is>
          <t>Kursi</t>
        </is>
      </c>
      <c r="G826" s="3" t="inlineStr">
        <is>
          <t>Plastik</t>
        </is>
      </c>
      <c r="H826" s="3" t="inlineStr">
        <is>
          <t>31 cm x 26 cm x 26 cm</t>
        </is>
      </c>
      <c r="I826" s="3" t="inlineStr">
        <is>
          <t>17 Unit</t>
        </is>
      </c>
      <c r="J826" s="4" t="n"/>
      <c r="K826" s="3" t="n"/>
      <c r="L826" s="5" t="n"/>
      <c r="M826" s="5" t="n"/>
      <c r="N826" s="3" t="inlineStr">
        <is>
          <t>171 - 02 - 02</t>
        </is>
      </c>
      <c r="O826" s="3" t="n">
        <v>4</v>
      </c>
      <c r="P826" s="5" t="n"/>
      <c r="Q826" s="5" t="n"/>
      <c r="R826" s="3" t="inlineStr">
        <is>
          <t>Baik</t>
        </is>
      </c>
      <c r="S826" s="3" t="inlineStr">
        <is>
          <t>Aktif</t>
        </is>
      </c>
      <c r="T826" s="3" t="n"/>
      <c r="U826" s="3" t="inlineStr">
        <is>
          <t>ASSET TKIA-24 2025(1).xlsx | ASET TKIA</t>
        </is>
      </c>
    </row>
    <row r="827">
      <c r="A827" s="3" t="n">
        <v>824</v>
      </c>
      <c r="B827" s="3" t="inlineStr">
        <is>
          <t>171 - 02 - 02</t>
        </is>
      </c>
      <c r="C827" s="3" t="inlineStr">
        <is>
          <t>TKIA 24 JATIKRAMAT</t>
        </is>
      </c>
      <c r="D827" s="3" t="inlineStr">
        <is>
          <t>II / AULA SERBAGUNA</t>
        </is>
      </c>
      <c r="E827" s="3" t="inlineStr">
        <is>
          <t>Bingkai Foto Kaca</t>
        </is>
      </c>
      <c r="F827" s="3" t="inlineStr">
        <is>
          <t>Bingkai Foto Kaca</t>
        </is>
      </c>
      <c r="G827" s="3" t="inlineStr">
        <is>
          <t>Kayu</t>
        </is>
      </c>
      <c r="H827" s="3" t="inlineStr">
        <is>
          <t>57 cm x 74 cm</t>
        </is>
      </c>
      <c r="I827" s="3" t="inlineStr">
        <is>
          <t>1 Unit</t>
        </is>
      </c>
      <c r="J827" s="4" t="n"/>
      <c r="K827" s="3" t="n"/>
      <c r="L827" s="5" t="n"/>
      <c r="M827" s="5" t="n"/>
      <c r="N827" s="3" t="inlineStr">
        <is>
          <t>171 - 02 - 02</t>
        </is>
      </c>
      <c r="O827" s="3" t="n">
        <v>4</v>
      </c>
      <c r="P827" s="5" t="n"/>
      <c r="Q827" s="5" t="n"/>
      <c r="R827" s="3" t="inlineStr">
        <is>
          <t>Baik</t>
        </is>
      </c>
      <c r="S827" s="3" t="inlineStr">
        <is>
          <t>Aktif</t>
        </is>
      </c>
      <c r="T827" s="3" t="n"/>
      <c r="U827" s="3" t="inlineStr">
        <is>
          <t>ASSET TKIA-24 2025(1).xlsx | ASET TKIA</t>
        </is>
      </c>
    </row>
    <row r="828">
      <c r="A828" s="3" t="n">
        <v>825</v>
      </c>
      <c r="B828" s="3" t="inlineStr">
        <is>
          <t>171 - 02 - 02</t>
        </is>
      </c>
      <c r="C828" s="3" t="inlineStr">
        <is>
          <t>TKIA 24 JATIKRAMAT</t>
        </is>
      </c>
      <c r="D828" s="3" t="inlineStr">
        <is>
          <t>II / AULA SERBAGUNA</t>
        </is>
      </c>
      <c r="E828" s="3" t="inlineStr">
        <is>
          <t>Tempat Sampah</t>
        </is>
      </c>
      <c r="F828" s="3" t="inlineStr">
        <is>
          <t>Tempat Sampah</t>
        </is>
      </c>
      <c r="G828" s="3" t="inlineStr">
        <is>
          <t>Plastik</t>
        </is>
      </c>
      <c r="H828" s="3" t="n"/>
      <c r="I828" s="3" t="inlineStr">
        <is>
          <t>1 Unit</t>
        </is>
      </c>
      <c r="J828" s="4" t="n"/>
      <c r="K828" s="3" t="n"/>
      <c r="L828" s="5" t="n"/>
      <c r="M828" s="5" t="n"/>
      <c r="N828" s="3" t="inlineStr">
        <is>
          <t>171 - 02 - 02</t>
        </is>
      </c>
      <c r="O828" s="3" t="n">
        <v>4</v>
      </c>
      <c r="P828" s="5" t="n"/>
      <c r="Q828" s="5" t="n"/>
      <c r="R828" s="3" t="inlineStr">
        <is>
          <t>Baik</t>
        </is>
      </c>
      <c r="S828" s="3" t="inlineStr">
        <is>
          <t>Aktif</t>
        </is>
      </c>
      <c r="T828" s="3" t="n"/>
      <c r="U828" s="3" t="inlineStr">
        <is>
          <t>ASSET TKIA-24 2025(1).xlsx | ASET TKIA</t>
        </is>
      </c>
    </row>
    <row r="829">
      <c r="A829" s="3" t="n">
        <v>826</v>
      </c>
      <c r="B829" s="3" t="inlineStr">
        <is>
          <t>171 - 02 - 02</t>
        </is>
      </c>
      <c r="C829" s="3" t="inlineStr">
        <is>
          <t>TKIA 24 JATIKRAMAT</t>
        </is>
      </c>
      <c r="D829" s="3" t="inlineStr">
        <is>
          <t>II / AULA SERBAGUNA</t>
        </is>
      </c>
      <c r="E829" s="3" t="inlineStr">
        <is>
          <t>HANDSANITIZER</t>
        </is>
      </c>
      <c r="F829" s="3" t="inlineStr">
        <is>
          <t>HANDSANITIZER</t>
        </is>
      </c>
      <c r="G829" s="3" t="inlineStr">
        <is>
          <t>Besi</t>
        </is>
      </c>
      <c r="H829" s="3" t="n"/>
      <c r="I829" s="3" t="inlineStr">
        <is>
          <t>1 Unit</t>
        </is>
      </c>
      <c r="J829" s="4" t="n"/>
      <c r="K829" s="3" t="n"/>
      <c r="L829" s="5" t="n"/>
      <c r="M829" s="5" t="n"/>
      <c r="N829" s="3" t="inlineStr">
        <is>
          <t>171 - 02 - 02</t>
        </is>
      </c>
      <c r="O829" s="3" t="n">
        <v>4</v>
      </c>
      <c r="P829" s="5" t="n"/>
      <c r="Q829" s="5" t="n"/>
      <c r="R829" s="3" t="inlineStr">
        <is>
          <t>Baik</t>
        </is>
      </c>
      <c r="S829" s="3" t="inlineStr">
        <is>
          <t>Aktif</t>
        </is>
      </c>
      <c r="T829" s="3" t="n"/>
      <c r="U829" s="3" t="inlineStr">
        <is>
          <t>ASSET TKIA-24 2025(1).xlsx | ASET TKIA</t>
        </is>
      </c>
    </row>
    <row r="830">
      <c r="A830" s="3" t="n">
        <v>827</v>
      </c>
      <c r="B830" s="3" t="inlineStr">
        <is>
          <t>171 - 02 - 02</t>
        </is>
      </c>
      <c r="C830" s="3" t="inlineStr">
        <is>
          <t>TKIA 24 JATIKRAMAT</t>
        </is>
      </c>
      <c r="D830" s="3" t="inlineStr">
        <is>
          <t>II / AULA SERBAGUNA</t>
        </is>
      </c>
      <c r="E830" s="3" t="inlineStr">
        <is>
          <t>Closed Duduk</t>
        </is>
      </c>
      <c r="F830" s="3" t="inlineStr">
        <is>
          <t>Closed Duduk</t>
        </is>
      </c>
      <c r="G830" s="3" t="inlineStr">
        <is>
          <t>Kramik</t>
        </is>
      </c>
      <c r="H830" s="3" t="n"/>
      <c r="I830" s="3" t="inlineStr">
        <is>
          <t>1 Unit</t>
        </is>
      </c>
      <c r="J830" s="4" t="n"/>
      <c r="K830" s="3" t="n"/>
      <c r="L830" s="5" t="n"/>
      <c r="M830" s="5" t="n"/>
      <c r="N830" s="3" t="inlineStr">
        <is>
          <t>171 - 02 - 02</t>
        </is>
      </c>
      <c r="O830" s="3" t="n">
        <v>4</v>
      </c>
      <c r="P830" s="5" t="n"/>
      <c r="Q830" s="5" t="n"/>
      <c r="R830" s="3" t="inlineStr">
        <is>
          <t>Baik</t>
        </is>
      </c>
      <c r="S830" s="3" t="inlineStr">
        <is>
          <t>Aktif</t>
        </is>
      </c>
      <c r="T830" s="3" t="n"/>
      <c r="U830" s="3" t="inlineStr">
        <is>
          <t>ASSET TKIA-24 2025(1).xlsx | ASET TKIA</t>
        </is>
      </c>
    </row>
    <row r="831">
      <c r="A831" s="3" t="n">
        <v>828</v>
      </c>
      <c r="B831" s="3" t="inlineStr">
        <is>
          <t>171 - 02 - 02</t>
        </is>
      </c>
      <c r="C831" s="3" t="inlineStr">
        <is>
          <t>TKIA 24 JATIKRAMAT</t>
        </is>
      </c>
      <c r="D831" s="3" t="inlineStr">
        <is>
          <t>II / KAMAR MANDI</t>
        </is>
      </c>
      <c r="E831" s="3" t="inlineStr">
        <is>
          <t>Closed Duduk</t>
        </is>
      </c>
      <c r="F831" s="3" t="inlineStr">
        <is>
          <t>Closed Duduk</t>
        </is>
      </c>
      <c r="G831" s="3" t="inlineStr">
        <is>
          <t>Kramik</t>
        </is>
      </c>
      <c r="H831" s="3" t="n"/>
      <c r="I831" s="3" t="inlineStr">
        <is>
          <t>1 Unit</t>
        </is>
      </c>
      <c r="J831" s="4" t="n"/>
      <c r="K831" s="3" t="n"/>
      <c r="L831" s="5" t="n"/>
      <c r="M831" s="5" t="n"/>
      <c r="N831" s="3" t="inlineStr">
        <is>
          <t>171 - 02 - 02</t>
        </is>
      </c>
      <c r="O831" s="3" t="n">
        <v>4</v>
      </c>
      <c r="P831" s="5" t="n"/>
      <c r="Q831" s="5" t="n"/>
      <c r="R831" s="3" t="inlineStr">
        <is>
          <t>Baik</t>
        </is>
      </c>
      <c r="S831" s="3" t="inlineStr">
        <is>
          <t>Aktif</t>
        </is>
      </c>
      <c r="T831" s="3" t="n"/>
      <c r="U831" s="3" t="inlineStr">
        <is>
          <t>ASSET TKIA-24 2025(1).xlsx | ASET TKIA</t>
        </is>
      </c>
    </row>
    <row r="832">
      <c r="A832" s="3" t="n">
        <v>829</v>
      </c>
      <c r="B832" s="3" t="inlineStr">
        <is>
          <t>171 - 02 - 02</t>
        </is>
      </c>
      <c r="C832" s="3" t="inlineStr">
        <is>
          <t>TKIA 24 JATIKRAMAT</t>
        </is>
      </c>
      <c r="D832" s="3" t="inlineStr">
        <is>
          <t>II / KAMAR MANDI</t>
        </is>
      </c>
      <c r="E832" s="3" t="inlineStr">
        <is>
          <t>Ember Plastik</t>
        </is>
      </c>
      <c r="F832" s="3" t="inlineStr">
        <is>
          <t>Ember Plastik</t>
        </is>
      </c>
      <c r="G832" s="3" t="inlineStr">
        <is>
          <t>Plastik</t>
        </is>
      </c>
      <c r="H832" s="3" t="inlineStr">
        <is>
          <t>Sedang</t>
        </is>
      </c>
      <c r="I832" s="3" t="inlineStr">
        <is>
          <t>2 Unit</t>
        </is>
      </c>
      <c r="J832" s="4" t="n"/>
      <c r="K832" s="3" t="n"/>
      <c r="L832" s="5" t="n"/>
      <c r="M832" s="5" t="n"/>
      <c r="N832" s="3" t="inlineStr">
        <is>
          <t>171 - 02 - 02</t>
        </is>
      </c>
      <c r="O832" s="3" t="n">
        <v>4</v>
      </c>
      <c r="P832" s="5" t="n"/>
      <c r="Q832" s="5" t="n"/>
      <c r="R832" s="3" t="inlineStr">
        <is>
          <t>Baik</t>
        </is>
      </c>
      <c r="S832" s="3" t="inlineStr">
        <is>
          <t>Aktif</t>
        </is>
      </c>
      <c r="T832" s="3" t="n"/>
      <c r="U832" s="3" t="inlineStr">
        <is>
          <t>ASSET TKIA-24 2025(1).xlsx | ASET TKIA</t>
        </is>
      </c>
    </row>
    <row r="833">
      <c r="A833" s="3" t="n">
        <v>830</v>
      </c>
      <c r="B833" s="3" t="inlineStr">
        <is>
          <t>171 - 02 - 02</t>
        </is>
      </c>
      <c r="C833" s="3" t="inlineStr">
        <is>
          <t>TKIA 24 JATIKRAMAT</t>
        </is>
      </c>
      <c r="D833" s="3" t="inlineStr">
        <is>
          <t>II / KAMAR MANDI</t>
        </is>
      </c>
      <c r="E833" s="3" t="inlineStr">
        <is>
          <t>Gayung Plastik</t>
        </is>
      </c>
      <c r="F833" s="3" t="inlineStr">
        <is>
          <t>Gayung Plastik</t>
        </is>
      </c>
      <c r="G833" s="3" t="inlineStr">
        <is>
          <t>Plastik</t>
        </is>
      </c>
      <c r="H833" s="3" t="inlineStr">
        <is>
          <t>Besar</t>
        </is>
      </c>
      <c r="I833" s="3" t="inlineStr">
        <is>
          <t>2 Unit</t>
        </is>
      </c>
      <c r="J833" s="4" t="n"/>
      <c r="K833" s="3" t="n"/>
      <c r="L833" s="5" t="n"/>
      <c r="M833" s="5" t="n"/>
      <c r="N833" s="3" t="inlineStr">
        <is>
          <t>171 - 02 - 02</t>
        </is>
      </c>
      <c r="O833" s="3" t="n">
        <v>4</v>
      </c>
      <c r="P833" s="5" t="n"/>
      <c r="Q833" s="5" t="n"/>
      <c r="R833" s="3" t="inlineStr">
        <is>
          <t>Baik</t>
        </is>
      </c>
      <c r="S833" s="3" t="inlineStr">
        <is>
          <t>Aktif</t>
        </is>
      </c>
      <c r="T833" s="3" t="n"/>
      <c r="U833" s="3" t="inlineStr">
        <is>
          <t>ASSET TKIA-24 2025(1).xlsx | ASET TKIA</t>
        </is>
      </c>
    </row>
    <row r="834">
      <c r="A834" s="3" t="n">
        <v>831</v>
      </c>
      <c r="B834" s="3" t="inlineStr">
        <is>
          <t>171 - 02 - 02</t>
        </is>
      </c>
      <c r="C834" s="3" t="inlineStr">
        <is>
          <t>TKIA 24 JATIKRAMAT</t>
        </is>
      </c>
      <c r="D834" s="3" t="inlineStr">
        <is>
          <t>II / KAMAR MANDI</t>
        </is>
      </c>
      <c r="E834" s="3" t="inlineStr">
        <is>
          <t>Tempat Sabun Cair</t>
        </is>
      </c>
      <c r="F834" s="3" t="inlineStr">
        <is>
          <t>Tempat Sabun Cair</t>
        </is>
      </c>
      <c r="G834" s="3" t="inlineStr">
        <is>
          <t>Plastik</t>
        </is>
      </c>
      <c r="H834" s="3" t="n"/>
      <c r="I834" s="3" t="inlineStr">
        <is>
          <t>2 Unit</t>
        </is>
      </c>
      <c r="J834" s="4" t="n"/>
      <c r="K834" s="3" t="n"/>
      <c r="L834" s="5" t="n"/>
      <c r="M834" s="5" t="n"/>
      <c r="N834" s="3" t="inlineStr">
        <is>
          <t>171 - 02 - 02</t>
        </is>
      </c>
      <c r="O834" s="3" t="n">
        <v>4</v>
      </c>
      <c r="P834" s="5" t="n"/>
      <c r="Q834" s="5" t="n"/>
      <c r="R834" s="3" t="inlineStr">
        <is>
          <t>Baik</t>
        </is>
      </c>
      <c r="S834" s="3" t="inlineStr">
        <is>
          <t>Aktif</t>
        </is>
      </c>
      <c r="T834" s="3" t="n"/>
      <c r="U834" s="3" t="inlineStr">
        <is>
          <t>ASSET TKIA-24 2025(1).xlsx | ASET TKIA</t>
        </is>
      </c>
    </row>
    <row r="835">
      <c r="A835" s="3" t="n">
        <v>832</v>
      </c>
      <c r="B835" s="3" t="inlineStr">
        <is>
          <t>171 - 02 - 02</t>
        </is>
      </c>
      <c r="C835" s="3" t="inlineStr">
        <is>
          <t>TKIA 24 JATIKRAMAT</t>
        </is>
      </c>
      <c r="D835" s="3" t="inlineStr">
        <is>
          <t>II / KAMAR MANDI</t>
        </is>
      </c>
      <c r="E835" s="3" t="inlineStr">
        <is>
          <t>Tempat Sampah</t>
        </is>
      </c>
      <c r="F835" s="3" t="inlineStr">
        <is>
          <t>Tempat Sampah</t>
        </is>
      </c>
      <c r="G835" s="3" t="inlineStr">
        <is>
          <t>Plastik</t>
        </is>
      </c>
      <c r="H835" s="3" t="n"/>
      <c r="I835" s="3" t="inlineStr">
        <is>
          <t>1 Unit</t>
        </is>
      </c>
      <c r="J835" s="4" t="n"/>
      <c r="K835" s="3" t="n"/>
      <c r="L835" s="5" t="n"/>
      <c r="M835" s="5" t="n"/>
      <c r="N835" s="3" t="inlineStr">
        <is>
          <t>171 - 02 - 02</t>
        </is>
      </c>
      <c r="O835" s="3" t="n">
        <v>4</v>
      </c>
      <c r="P835" s="5" t="n"/>
      <c r="Q835" s="5" t="n"/>
      <c r="R835" s="3" t="inlineStr">
        <is>
          <t>Baik</t>
        </is>
      </c>
      <c r="S835" s="3" t="inlineStr">
        <is>
          <t>Aktif</t>
        </is>
      </c>
      <c r="T835" s="3" t="n"/>
      <c r="U835" s="3" t="inlineStr">
        <is>
          <t>ASSET TKIA-24 2025(1).xlsx | ASET TKIA</t>
        </is>
      </c>
    </row>
    <row r="836">
      <c r="A836" s="3" t="n">
        <v>833</v>
      </c>
      <c r="B836" s="3" t="inlineStr">
        <is>
          <t>171 - 02 - 02</t>
        </is>
      </c>
      <c r="C836" s="3" t="inlineStr">
        <is>
          <t>TKIA 24 JATIKRAMAT</t>
        </is>
      </c>
      <c r="D836" s="3" t="inlineStr">
        <is>
          <t>II / KAMAR MANDI</t>
        </is>
      </c>
      <c r="E836" s="3" t="inlineStr">
        <is>
          <t>Washtafel</t>
        </is>
      </c>
      <c r="F836" s="3" t="inlineStr">
        <is>
          <t>Washtafel</t>
        </is>
      </c>
      <c r="G836" s="3" t="inlineStr">
        <is>
          <t>Kramik</t>
        </is>
      </c>
      <c r="H836" s="3" t="n"/>
      <c r="I836" s="3" t="inlineStr">
        <is>
          <t>1 Unit</t>
        </is>
      </c>
      <c r="J836" s="4" t="n"/>
      <c r="K836" s="3" t="n"/>
      <c r="L836" s="5" t="n"/>
      <c r="M836" s="5" t="n"/>
      <c r="N836" s="3" t="inlineStr">
        <is>
          <t>171 - 02 - 02</t>
        </is>
      </c>
      <c r="O836" s="3" t="n">
        <v>4</v>
      </c>
      <c r="P836" s="5" t="n"/>
      <c r="Q836" s="5" t="n"/>
      <c r="R836" s="3" t="inlineStr">
        <is>
          <t>Baik</t>
        </is>
      </c>
      <c r="S836" s="3" t="inlineStr">
        <is>
          <t>Aktif</t>
        </is>
      </c>
      <c r="T836" s="3" t="n"/>
      <c r="U836" s="3" t="inlineStr">
        <is>
          <t>ASSET TKIA-24 2025(1).xlsx | ASET TKIA</t>
        </is>
      </c>
    </row>
    <row r="837">
      <c r="A837" s="3" t="n">
        <v>834</v>
      </c>
      <c r="B837" s="3" t="inlineStr">
        <is>
          <t>171 - 02 - 02</t>
        </is>
      </c>
      <c r="C837" s="3" t="inlineStr">
        <is>
          <t>TKIA 24 JATIKRAMAT</t>
        </is>
      </c>
      <c r="D837" s="3" t="inlineStr">
        <is>
          <t>II / KAMAR MANDI</t>
        </is>
      </c>
      <c r="E837" s="3" t="inlineStr">
        <is>
          <t>Cermin</t>
        </is>
      </c>
      <c r="F837" s="3" t="inlineStr">
        <is>
          <t>Cermin</t>
        </is>
      </c>
      <c r="G837" s="3" t="inlineStr">
        <is>
          <t>Kaca</t>
        </is>
      </c>
      <c r="H837" s="3" t="n"/>
      <c r="I837" s="3" t="inlineStr">
        <is>
          <t>1 Unit</t>
        </is>
      </c>
      <c r="J837" s="4" t="n"/>
      <c r="K837" s="3" t="n"/>
      <c r="L837" s="5" t="n"/>
      <c r="M837" s="5" t="n"/>
      <c r="N837" s="3" t="inlineStr">
        <is>
          <t>171 - 02 - 02</t>
        </is>
      </c>
      <c r="O837" s="3" t="n">
        <v>4</v>
      </c>
      <c r="P837" s="5" t="n"/>
      <c r="Q837" s="5" t="n"/>
      <c r="R837" s="3" t="inlineStr">
        <is>
          <t>Baik</t>
        </is>
      </c>
      <c r="S837" s="3" t="inlineStr">
        <is>
          <t>Aktif</t>
        </is>
      </c>
      <c r="T837" s="3" t="n"/>
      <c r="U837" s="3" t="inlineStr">
        <is>
          <t>ASSET TKIA-24 2025(1).xlsx | ASET TKIA</t>
        </is>
      </c>
    </row>
    <row r="838">
      <c r="A838" s="3" t="n">
        <v>835</v>
      </c>
      <c r="B838" s="3" t="inlineStr">
        <is>
          <t>171 - 02 - 02</t>
        </is>
      </c>
      <c r="C838" s="3" t="inlineStr">
        <is>
          <t>TKIA 24 JATIKRAMAT</t>
        </is>
      </c>
      <c r="D838" s="3" t="inlineStr">
        <is>
          <t>II / KAMAR MANDI</t>
        </is>
      </c>
      <c r="E838" s="3" t="inlineStr">
        <is>
          <t>Vas Bunga</t>
        </is>
      </c>
      <c r="F838" s="3" t="inlineStr">
        <is>
          <t>Vas Bunga</t>
        </is>
      </c>
      <c r="G838" s="3" t="inlineStr">
        <is>
          <t>Plastik</t>
        </is>
      </c>
      <c r="H838" s="3" t="n"/>
      <c r="I838" s="3" t="inlineStr">
        <is>
          <t>1 Unit</t>
        </is>
      </c>
      <c r="J838" s="4" t="n"/>
      <c r="K838" s="3" t="n"/>
      <c r="L838" s="5" t="n"/>
      <c r="M838" s="5" t="n"/>
      <c r="N838" s="3" t="inlineStr">
        <is>
          <t>171 - 02 - 02</t>
        </is>
      </c>
      <c r="O838" s="3" t="n">
        <v>4</v>
      </c>
      <c r="P838" s="5" t="n"/>
      <c r="Q838" s="5" t="n"/>
      <c r="R838" s="3" t="inlineStr">
        <is>
          <t>Baik</t>
        </is>
      </c>
      <c r="S838" s="3" t="inlineStr">
        <is>
          <t>Aktif</t>
        </is>
      </c>
      <c r="T838" s="3" t="n"/>
      <c r="U838" s="3" t="inlineStr">
        <is>
          <t>ASSET TKIA-24 2025(1).xlsx | ASET TKIA</t>
        </is>
      </c>
    </row>
    <row r="839">
      <c r="A839" s="3" t="n">
        <v>836</v>
      </c>
      <c r="B839" s="3" t="inlineStr">
        <is>
          <t>171 - 02 - 02</t>
        </is>
      </c>
      <c r="C839" s="3" t="inlineStr">
        <is>
          <t>TKIA 24 JATIKRAMAT</t>
        </is>
      </c>
      <c r="D839" s="3" t="inlineStr">
        <is>
          <t>I / KOMPUTER</t>
        </is>
      </c>
      <c r="E839" s="3" t="inlineStr">
        <is>
          <t>Meja Sedang</t>
        </is>
      </c>
      <c r="F839" s="3" t="inlineStr">
        <is>
          <t>Meja Sedang</t>
        </is>
      </c>
      <c r="G839" s="3" t="inlineStr">
        <is>
          <t>Kayu</t>
        </is>
      </c>
      <c r="H839" s="3" t="inlineStr">
        <is>
          <t>60 cm x 50 cm</t>
        </is>
      </c>
      <c r="I839" s="3" t="inlineStr">
        <is>
          <t>4 Unit</t>
        </is>
      </c>
      <c r="J839" s="4" t="n"/>
      <c r="K839" s="3" t="n"/>
      <c r="L839" s="5" t="n"/>
      <c r="M839" s="5" t="n"/>
      <c r="N839" s="3" t="inlineStr">
        <is>
          <t>171 - 02 - 02</t>
        </is>
      </c>
      <c r="O839" s="3" t="n">
        <v>4</v>
      </c>
      <c r="P839" s="5" t="n"/>
      <c r="Q839" s="5" t="n"/>
      <c r="R839" s="3" t="inlineStr">
        <is>
          <t>Baik</t>
        </is>
      </c>
      <c r="S839" s="3" t="inlineStr">
        <is>
          <t>Aktif</t>
        </is>
      </c>
      <c r="T839" s="3" t="n"/>
      <c r="U839" s="3" t="inlineStr">
        <is>
          <t>ASSET TKIA-24 2025(1).xlsx | ASET TKIA</t>
        </is>
      </c>
    </row>
    <row r="840">
      <c r="A840" s="3" t="n">
        <v>837</v>
      </c>
      <c r="B840" s="3" t="inlineStr">
        <is>
          <t>171 - 02 - 02</t>
        </is>
      </c>
      <c r="C840" s="3" t="inlineStr">
        <is>
          <t>TKIA 24 JATIKRAMAT</t>
        </is>
      </c>
      <c r="D840" s="3" t="inlineStr">
        <is>
          <t>I / KOMPUTER</t>
        </is>
      </c>
      <c r="E840" s="3" t="inlineStr">
        <is>
          <t>MOSE</t>
        </is>
      </c>
      <c r="F840" s="3" t="inlineStr">
        <is>
          <t>MOSE</t>
        </is>
      </c>
      <c r="G840" s="3" t="inlineStr">
        <is>
          <t>Mika</t>
        </is>
      </c>
      <c r="H840" s="3" t="n"/>
      <c r="I840" s="3" t="inlineStr">
        <is>
          <t>5 Unit</t>
        </is>
      </c>
      <c r="J840" s="4" t="n"/>
      <c r="K840" s="3" t="n"/>
      <c r="L840" s="5" t="n"/>
      <c r="M840" s="5" t="n"/>
      <c r="N840" s="3" t="inlineStr">
        <is>
          <t>171 - 02 - 02</t>
        </is>
      </c>
      <c r="O840" s="3" t="n">
        <v>4</v>
      </c>
      <c r="P840" s="5" t="n"/>
      <c r="Q840" s="5" t="n"/>
      <c r="R840" s="3" t="inlineStr">
        <is>
          <t>Baik</t>
        </is>
      </c>
      <c r="S840" s="3" t="inlineStr">
        <is>
          <t>Aktif</t>
        </is>
      </c>
      <c r="T840" s="3" t="n"/>
      <c r="U840" s="3" t="inlineStr">
        <is>
          <t>ASSET TKIA-24 2025(1).xlsx | ASET TKIA</t>
        </is>
      </c>
    </row>
    <row r="841">
      <c r="A841" s="3" t="n">
        <v>838</v>
      </c>
      <c r="B841" s="3" t="inlineStr">
        <is>
          <t>171 - 02 - 02</t>
        </is>
      </c>
      <c r="C841" s="3" t="inlineStr">
        <is>
          <t>TKIA 24 JATIKRAMAT</t>
        </is>
      </c>
      <c r="D841" s="3" t="inlineStr">
        <is>
          <t>I / KOMPUTER</t>
        </is>
      </c>
      <c r="E841" s="3" t="inlineStr">
        <is>
          <t>MOSE</t>
        </is>
      </c>
      <c r="F841" s="3" t="inlineStr">
        <is>
          <t>MOSE</t>
        </is>
      </c>
      <c r="G841" s="3" t="inlineStr">
        <is>
          <t>Mika</t>
        </is>
      </c>
      <c r="H841" s="3" t="n"/>
      <c r="I841" s="3" t="inlineStr">
        <is>
          <t>1 Unit</t>
        </is>
      </c>
      <c r="J841" s="4" t="n"/>
      <c r="K841" s="3" t="n"/>
      <c r="L841" s="5" t="n"/>
      <c r="M841" s="5" t="n"/>
      <c r="N841" s="3" t="inlineStr">
        <is>
          <t>171 - 02 - 02</t>
        </is>
      </c>
      <c r="O841" s="3" t="n">
        <v>4</v>
      </c>
      <c r="P841" s="5" t="n"/>
      <c r="Q841" s="5" t="n"/>
      <c r="R841" s="3" t="inlineStr">
        <is>
          <t>Baik</t>
        </is>
      </c>
      <c r="S841" s="3" t="inlineStr">
        <is>
          <t>Aktif</t>
        </is>
      </c>
      <c r="T841" s="3" t="n"/>
      <c r="U841" s="3" t="inlineStr">
        <is>
          <t>ASSET TKIA-24 2025(1).xlsx | ASET TKIA</t>
        </is>
      </c>
    </row>
    <row r="842">
      <c r="A842" s="3" t="n">
        <v>839</v>
      </c>
      <c r="B842" s="3" t="inlineStr">
        <is>
          <t>171 - 02 - 02</t>
        </is>
      </c>
      <c r="C842" s="3" t="inlineStr">
        <is>
          <t>TKIA 24 JATIKRAMAT</t>
        </is>
      </c>
      <c r="D842" s="3" t="inlineStr">
        <is>
          <t>I / KOMPUTER</t>
        </is>
      </c>
      <c r="E842" s="3" t="inlineStr">
        <is>
          <t>Alat Laminating</t>
        </is>
      </c>
      <c r="F842" s="3" t="inlineStr">
        <is>
          <t>Alat Laminating</t>
        </is>
      </c>
      <c r="G842" s="3" t="inlineStr">
        <is>
          <t>Besi</t>
        </is>
      </c>
      <c r="H842" s="3" t="n"/>
      <c r="I842" s="3" t="inlineStr">
        <is>
          <t>1 Unit</t>
        </is>
      </c>
      <c r="J842" s="4" t="n"/>
      <c r="K842" s="3" t="n"/>
      <c r="L842" s="5" t="n"/>
      <c r="M842" s="5" t="n"/>
      <c r="N842" s="3" t="inlineStr">
        <is>
          <t>171 - 02 - 02</t>
        </is>
      </c>
      <c r="O842" s="3" t="n">
        <v>4</v>
      </c>
      <c r="P842" s="5" t="n"/>
      <c r="Q842" s="5" t="n"/>
      <c r="R842" s="3" t="inlineStr">
        <is>
          <t>Baik</t>
        </is>
      </c>
      <c r="S842" s="3" t="inlineStr">
        <is>
          <t>Aktif</t>
        </is>
      </c>
      <c r="T842" s="3" t="n"/>
      <c r="U842" s="3" t="inlineStr">
        <is>
          <t>ASSET TKIA-24 2025(1).xlsx | ASET TKIA</t>
        </is>
      </c>
    </row>
    <row r="843">
      <c r="A843" s="3" t="n">
        <v>840</v>
      </c>
      <c r="B843" s="3" t="inlineStr">
        <is>
          <t>171 - 02 - 02</t>
        </is>
      </c>
      <c r="C843" s="3" t="inlineStr">
        <is>
          <t>TKIA 24 JATIKRAMAT</t>
        </is>
      </c>
      <c r="D843" s="3" t="inlineStr">
        <is>
          <t>I / KOMPUTER</t>
        </is>
      </c>
      <c r="E843" s="3" t="inlineStr">
        <is>
          <t>Loker</t>
        </is>
      </c>
      <c r="F843" s="3" t="inlineStr">
        <is>
          <t>Loker</t>
        </is>
      </c>
      <c r="G843" s="3" t="inlineStr">
        <is>
          <t>Kayu</t>
        </is>
      </c>
      <c r="H843" s="3" t="inlineStr">
        <is>
          <t>170 cm x 114 cm</t>
        </is>
      </c>
      <c r="I843" s="3" t="inlineStr">
        <is>
          <t>1 Unit</t>
        </is>
      </c>
      <c r="J843" s="4" t="n"/>
      <c r="K843" s="3" t="n"/>
      <c r="L843" s="5" t="n"/>
      <c r="M843" s="5" t="n"/>
      <c r="N843" s="3" t="inlineStr">
        <is>
          <t>171 - 02 - 02</t>
        </is>
      </c>
      <c r="O843" s="3" t="n">
        <v>4</v>
      </c>
      <c r="P843" s="5" t="n"/>
      <c r="Q843" s="5" t="n"/>
      <c r="R843" s="3" t="inlineStr">
        <is>
          <t>Baik</t>
        </is>
      </c>
      <c r="S843" s="3" t="inlineStr">
        <is>
          <t>Aktif</t>
        </is>
      </c>
      <c r="T843" s="3" t="n"/>
      <c r="U843" s="3" t="inlineStr">
        <is>
          <t>ASSET TKIA-24 2025(1).xlsx | ASET TKIA</t>
        </is>
      </c>
    </row>
    <row r="844">
      <c r="A844" s="3" t="n">
        <v>841</v>
      </c>
      <c r="B844" s="3" t="inlineStr">
        <is>
          <t>171 - 02 - 02</t>
        </is>
      </c>
      <c r="C844" s="3" t="inlineStr">
        <is>
          <t>TKIA 24 JATIKRAMAT</t>
        </is>
      </c>
      <c r="D844" s="3" t="inlineStr">
        <is>
          <t>I / KOMPUTER</t>
        </is>
      </c>
      <c r="E844" s="3" t="inlineStr">
        <is>
          <t>Stabilizer</t>
        </is>
      </c>
      <c r="F844" s="3" t="inlineStr">
        <is>
          <t>Stabilizer</t>
        </is>
      </c>
      <c r="G844" s="3" t="inlineStr">
        <is>
          <t>Besi</t>
        </is>
      </c>
      <c r="H844" s="3" t="n"/>
      <c r="I844" s="3" t="inlineStr">
        <is>
          <t>1 Unit</t>
        </is>
      </c>
      <c r="J844" s="4" t="n"/>
      <c r="K844" s="3" t="n"/>
      <c r="L844" s="5" t="n"/>
      <c r="M844" s="5" t="n"/>
      <c r="N844" s="3" t="inlineStr">
        <is>
          <t>171 - 02 - 02</t>
        </is>
      </c>
      <c r="O844" s="3" t="n">
        <v>4</v>
      </c>
      <c r="P844" s="5" t="n"/>
      <c r="Q844" s="5" t="n"/>
      <c r="R844" s="3" t="inlineStr">
        <is>
          <t>Baik</t>
        </is>
      </c>
      <c r="S844" s="3" t="inlineStr">
        <is>
          <t>Aktif</t>
        </is>
      </c>
      <c r="T844" s="3" t="n"/>
      <c r="U844" s="3" t="inlineStr">
        <is>
          <t>ASSET TKIA-24 2025(1).xlsx | ASET TKIA</t>
        </is>
      </c>
    </row>
    <row r="845">
      <c r="A845" s="3" t="n">
        <v>842</v>
      </c>
      <c r="B845" s="3" t="inlineStr">
        <is>
          <t>171 - 02 - 02</t>
        </is>
      </c>
      <c r="C845" s="3" t="inlineStr">
        <is>
          <t>TKIA 24 JATIKRAMAT</t>
        </is>
      </c>
      <c r="D845" s="3" t="inlineStr">
        <is>
          <t>I / KOMPUTER</t>
        </is>
      </c>
      <c r="E845" s="3" t="inlineStr">
        <is>
          <t>Ampliplayer</t>
        </is>
      </c>
      <c r="F845" s="3" t="inlineStr">
        <is>
          <t>Ampliplayer</t>
        </is>
      </c>
      <c r="G845" s="3" t="inlineStr">
        <is>
          <t>Besi</t>
        </is>
      </c>
      <c r="H845" s="3" t="n"/>
      <c r="I845" s="3" t="inlineStr">
        <is>
          <t>1 Unit</t>
        </is>
      </c>
      <c r="J845" s="4" t="n"/>
      <c r="K845" s="3" t="n"/>
      <c r="L845" s="5" t="n"/>
      <c r="M845" s="5" t="n"/>
      <c r="N845" s="3" t="inlineStr">
        <is>
          <t>171 - 02 - 02</t>
        </is>
      </c>
      <c r="O845" s="3" t="n">
        <v>4</v>
      </c>
      <c r="P845" s="5" t="n"/>
      <c r="Q845" s="5" t="n"/>
      <c r="R845" s="3" t="inlineStr">
        <is>
          <t>Baik</t>
        </is>
      </c>
      <c r="S845" s="3" t="inlineStr">
        <is>
          <t>Aktif</t>
        </is>
      </c>
      <c r="T845" s="3" t="n"/>
      <c r="U845" s="3" t="inlineStr">
        <is>
          <t>ASSET TKIA-24 2025(1).xlsx | ASET TKIA</t>
        </is>
      </c>
    </row>
    <row r="846">
      <c r="A846" s="3" t="n">
        <v>843</v>
      </c>
      <c r="B846" s="3" t="inlineStr">
        <is>
          <t>171 - 02 - 02</t>
        </is>
      </c>
      <c r="C846" s="3" t="inlineStr">
        <is>
          <t>TKIA 24 JATIKRAMAT</t>
        </is>
      </c>
      <c r="D846" s="3" t="inlineStr">
        <is>
          <t>I / KOMPUTER</t>
        </is>
      </c>
      <c r="E846" s="3" t="inlineStr">
        <is>
          <t>DVD Player</t>
        </is>
      </c>
      <c r="F846" s="3" t="inlineStr">
        <is>
          <t>DVD Player</t>
        </is>
      </c>
      <c r="G846" s="3" t="inlineStr">
        <is>
          <t>Besi</t>
        </is>
      </c>
      <c r="H846" s="3" t="n"/>
      <c r="I846" s="3" t="inlineStr">
        <is>
          <t>1 Unit</t>
        </is>
      </c>
      <c r="J846" s="4" t="n"/>
      <c r="K846" s="3" t="n"/>
      <c r="L846" s="5" t="n"/>
      <c r="M846" s="5" t="n"/>
      <c r="N846" s="3" t="inlineStr">
        <is>
          <t>171 - 02 - 02</t>
        </is>
      </c>
      <c r="O846" s="3" t="n">
        <v>4</v>
      </c>
      <c r="P846" s="5" t="n"/>
      <c r="Q846" s="5" t="n"/>
      <c r="R846" s="3" t="inlineStr">
        <is>
          <t>Baik</t>
        </is>
      </c>
      <c r="S846" s="3" t="inlineStr">
        <is>
          <t>Aktif</t>
        </is>
      </c>
      <c r="T846" s="3" t="n"/>
      <c r="U846" s="3" t="inlineStr">
        <is>
          <t>ASSET TKIA-24 2025(1).xlsx | ASET TKIA</t>
        </is>
      </c>
    </row>
    <row r="847">
      <c r="A847" s="3" t="n">
        <v>844</v>
      </c>
      <c r="B847" s="3" t="inlineStr">
        <is>
          <t>171 - 02 - 02</t>
        </is>
      </c>
      <c r="C847" s="3" t="inlineStr">
        <is>
          <t>TKIA 24 JATIKRAMAT</t>
        </is>
      </c>
      <c r="D847" s="3" t="inlineStr">
        <is>
          <t>I / KOMPUTER</t>
        </is>
      </c>
      <c r="E847" s="3" t="inlineStr">
        <is>
          <t>Audio</t>
        </is>
      </c>
      <c r="F847" s="3" t="inlineStr">
        <is>
          <t>Audio</t>
        </is>
      </c>
      <c r="G847" s="3" t="inlineStr">
        <is>
          <t>Besi</t>
        </is>
      </c>
      <c r="H847" s="3" t="n"/>
      <c r="I847" s="3" t="inlineStr">
        <is>
          <t>1 Unit</t>
        </is>
      </c>
      <c r="J847" s="4" t="n"/>
      <c r="K847" s="3" t="n"/>
      <c r="L847" s="5" t="n"/>
      <c r="M847" s="5" t="n"/>
      <c r="N847" s="3" t="inlineStr">
        <is>
          <t>171 - 02 - 02</t>
        </is>
      </c>
      <c r="O847" s="3" t="n">
        <v>4</v>
      </c>
      <c r="P847" s="5" t="n"/>
      <c r="Q847" s="5" t="n"/>
      <c r="R847" s="3" t="inlineStr">
        <is>
          <t>Baik</t>
        </is>
      </c>
      <c r="S847" s="3" t="inlineStr">
        <is>
          <t>Aktif</t>
        </is>
      </c>
      <c r="T847" s="3" t="n"/>
      <c r="U847" s="3" t="inlineStr">
        <is>
          <t>ASSET TKIA-24 2025(1).xlsx | ASET TKIA</t>
        </is>
      </c>
    </row>
    <row r="848">
      <c r="A848" s="3" t="n">
        <v>845</v>
      </c>
      <c r="B848" s="3" t="inlineStr">
        <is>
          <t>171 - 02 - 02</t>
        </is>
      </c>
      <c r="C848" s="3" t="inlineStr">
        <is>
          <t>TKIA 24 JATIKRAMAT</t>
        </is>
      </c>
      <c r="D848" s="3" t="inlineStr">
        <is>
          <t>I / KOMPUTER</t>
        </is>
      </c>
      <c r="E848" s="3" t="inlineStr">
        <is>
          <t>Streples Jilid</t>
        </is>
      </c>
      <c r="F848" s="3" t="inlineStr">
        <is>
          <t>Streples Jilid</t>
        </is>
      </c>
      <c r="G848" s="3" t="inlineStr">
        <is>
          <t>Besi</t>
        </is>
      </c>
      <c r="H848" s="3" t="n"/>
      <c r="I848" s="3" t="inlineStr">
        <is>
          <t>1 Unit</t>
        </is>
      </c>
      <c r="J848" s="4" t="n"/>
      <c r="K848" s="3" t="n"/>
      <c r="L848" s="5" t="n"/>
      <c r="M848" s="5" t="n"/>
      <c r="N848" s="3" t="inlineStr">
        <is>
          <t>171 - 02 - 02</t>
        </is>
      </c>
      <c r="O848" s="3" t="n">
        <v>4</v>
      </c>
      <c r="P848" s="5" t="n"/>
      <c r="Q848" s="5" t="n"/>
      <c r="R848" s="3" t="inlineStr">
        <is>
          <t>Baik</t>
        </is>
      </c>
      <c r="S848" s="3" t="inlineStr">
        <is>
          <t>Aktif</t>
        </is>
      </c>
      <c r="T848" s="3" t="n"/>
      <c r="U848" s="3" t="inlineStr">
        <is>
          <t>ASSET TKIA-24 2025(1).xlsx | ASET TKIA</t>
        </is>
      </c>
    </row>
    <row r="849">
      <c r="A849" s="3" t="n">
        <v>846</v>
      </c>
      <c r="B849" s="3" t="inlineStr">
        <is>
          <t>171 - 02 - 02</t>
        </is>
      </c>
      <c r="C849" s="3" t="inlineStr">
        <is>
          <t>TKIA 24 JATIKRAMAT</t>
        </is>
      </c>
      <c r="D849" s="3" t="inlineStr">
        <is>
          <t>I / KOMPUTER</t>
        </is>
      </c>
      <c r="E849" s="3" t="inlineStr">
        <is>
          <t>Streples Jilid</t>
        </is>
      </c>
      <c r="F849" s="3" t="inlineStr">
        <is>
          <t>Streples Jilid</t>
        </is>
      </c>
      <c r="G849" s="3" t="inlineStr">
        <is>
          <t>Besi</t>
        </is>
      </c>
      <c r="H849" s="3" t="n"/>
      <c r="I849" s="3" t="inlineStr">
        <is>
          <t>1 Unit</t>
        </is>
      </c>
      <c r="J849" s="4" t="n"/>
      <c r="K849" s="3" t="n"/>
      <c r="L849" s="5" t="n"/>
      <c r="M849" s="5" t="n"/>
      <c r="N849" s="3" t="inlineStr">
        <is>
          <t>171 - 02 - 02</t>
        </is>
      </c>
      <c r="O849" s="3" t="n">
        <v>4</v>
      </c>
      <c r="P849" s="5" t="n"/>
      <c r="Q849" s="5" t="n"/>
      <c r="R849" s="3" t="inlineStr">
        <is>
          <t>Baik</t>
        </is>
      </c>
      <c r="S849" s="3" t="inlineStr">
        <is>
          <t>Aktif</t>
        </is>
      </c>
      <c r="T849" s="3" t="n"/>
      <c r="U849" s="3" t="inlineStr">
        <is>
          <t>ASSET TKIA-24 2025(1).xlsx | ASET TKIA</t>
        </is>
      </c>
    </row>
    <row r="850">
      <c r="A850" s="3" t="n">
        <v>847</v>
      </c>
      <c r="B850" s="3" t="inlineStr">
        <is>
          <t>171 - 02 - 02</t>
        </is>
      </c>
      <c r="C850" s="3" t="inlineStr">
        <is>
          <t>TKIA 24 JATIKRAMAT</t>
        </is>
      </c>
      <c r="D850" s="3" t="inlineStr">
        <is>
          <t>I / KOMPUTER</t>
        </is>
      </c>
      <c r="E850" s="3" t="inlineStr">
        <is>
          <t>Mading</t>
        </is>
      </c>
      <c r="F850" s="3" t="inlineStr">
        <is>
          <t>Mading</t>
        </is>
      </c>
      <c r="G850" s="3" t="inlineStr">
        <is>
          <t>Kayu</t>
        </is>
      </c>
      <c r="H850" s="3" t="inlineStr">
        <is>
          <t>120 cm x 120 cm</t>
        </is>
      </c>
      <c r="I850" s="3" t="inlineStr">
        <is>
          <t>1 Unit</t>
        </is>
      </c>
      <c r="J850" s="4" t="n"/>
      <c r="K850" s="3" t="n"/>
      <c r="L850" s="5" t="n"/>
      <c r="M850" s="5" t="n"/>
      <c r="N850" s="3" t="inlineStr">
        <is>
          <t>171 - 02 - 02</t>
        </is>
      </c>
      <c r="O850" s="3" t="n">
        <v>4</v>
      </c>
      <c r="P850" s="5" t="n"/>
      <c r="Q850" s="5" t="n"/>
      <c r="R850" s="3" t="inlineStr">
        <is>
          <t>Baik</t>
        </is>
      </c>
      <c r="S850" s="3" t="inlineStr">
        <is>
          <t>Aktif</t>
        </is>
      </c>
      <c r="T850" s="3" t="n"/>
      <c r="U850" s="3" t="inlineStr">
        <is>
          <t>ASSET TKIA-24 2025(1).xlsx | ASET TKIA</t>
        </is>
      </c>
    </row>
    <row r="851">
      <c r="A851" s="3" t="n">
        <v>848</v>
      </c>
      <c r="B851" s="3" t="inlineStr">
        <is>
          <t>171 - 02 - 02</t>
        </is>
      </c>
      <c r="C851" s="3" t="inlineStr">
        <is>
          <t>TKIA 24 JATIKRAMAT</t>
        </is>
      </c>
      <c r="D851" s="3" t="inlineStr">
        <is>
          <t>II / PLAYGROUND OUTDOOR / BELAKANG</t>
        </is>
      </c>
      <c r="E851" s="3" t="inlineStr">
        <is>
          <t>Mainan Bola Dunia</t>
        </is>
      </c>
      <c r="F851" s="3" t="inlineStr">
        <is>
          <t>Mainan Bola Dunia</t>
        </is>
      </c>
      <c r="G851" s="3" t="inlineStr">
        <is>
          <t>Besi</t>
        </is>
      </c>
      <c r="H851" s="3" t="n"/>
      <c r="I851" s="3" t="inlineStr">
        <is>
          <t>1 Unit</t>
        </is>
      </c>
      <c r="J851" s="4" t="n"/>
      <c r="K851" s="3" t="n"/>
      <c r="L851" s="5" t="n"/>
      <c r="M851" s="5" t="n"/>
      <c r="N851" s="3" t="inlineStr">
        <is>
          <t>171 - 02 - 02</t>
        </is>
      </c>
      <c r="O851" s="3" t="n">
        <v>4</v>
      </c>
      <c r="P851" s="5" t="n"/>
      <c r="Q851" s="5" t="n"/>
      <c r="R851" s="3" t="inlineStr">
        <is>
          <t>Baik</t>
        </is>
      </c>
      <c r="S851" s="3" t="inlineStr">
        <is>
          <t>Aktif</t>
        </is>
      </c>
      <c r="T851" s="3" t="n"/>
      <c r="U851" s="3" t="inlineStr">
        <is>
          <t>ASSET TKIA-24 2025(1).xlsx | ASET TKIA</t>
        </is>
      </c>
    </row>
    <row r="852">
      <c r="A852" s="3" t="n">
        <v>849</v>
      </c>
      <c r="B852" s="3" t="inlineStr">
        <is>
          <t>171 - 02 - 02</t>
        </is>
      </c>
      <c r="C852" s="3" t="inlineStr">
        <is>
          <t>TKIA 24 JATIKRAMAT</t>
        </is>
      </c>
      <c r="D852" s="3" t="inlineStr">
        <is>
          <t>II / PLAYGROUND OUTDOOR / BELAKANG</t>
        </is>
      </c>
      <c r="E852" s="3" t="inlineStr">
        <is>
          <t>Mainan Jungkit</t>
        </is>
      </c>
      <c r="F852" s="3" t="inlineStr">
        <is>
          <t>Mainan Jungkit</t>
        </is>
      </c>
      <c r="G852" s="3" t="inlineStr">
        <is>
          <t>Besi</t>
        </is>
      </c>
      <c r="H852" s="3" t="n"/>
      <c r="I852" s="3" t="inlineStr">
        <is>
          <t>1 Unit</t>
        </is>
      </c>
      <c r="J852" s="4" t="n"/>
      <c r="K852" s="3" t="n"/>
      <c r="L852" s="5" t="n"/>
      <c r="M852" s="5" t="n"/>
      <c r="N852" s="3" t="inlineStr">
        <is>
          <t>171 - 02 - 02</t>
        </is>
      </c>
      <c r="O852" s="3" t="n">
        <v>4</v>
      </c>
      <c r="P852" s="5" t="n"/>
      <c r="Q852" s="5" t="n"/>
      <c r="R852" s="3" t="inlineStr">
        <is>
          <t>Baik</t>
        </is>
      </c>
      <c r="S852" s="3" t="inlineStr">
        <is>
          <t>Aktif</t>
        </is>
      </c>
      <c r="T852" s="3" t="n"/>
      <c r="U852" s="3" t="inlineStr">
        <is>
          <t>ASSET TKIA-24 2025(1).xlsx | ASET TKIA</t>
        </is>
      </c>
    </row>
    <row r="853">
      <c r="A853" s="3" t="n">
        <v>850</v>
      </c>
      <c r="B853" s="3" t="inlineStr">
        <is>
          <t>171 - 02 - 02</t>
        </is>
      </c>
      <c r="C853" s="3" t="inlineStr">
        <is>
          <t>TKIA 24 JATIKRAMAT</t>
        </is>
      </c>
      <c r="D853" s="3" t="inlineStr">
        <is>
          <t>II / PLAYGROUND OUTDOOR / BELAKANG</t>
        </is>
      </c>
      <c r="E853" s="3" t="inlineStr">
        <is>
          <t>Mainan Prosotan</t>
        </is>
      </c>
      <c r="F853" s="3" t="inlineStr">
        <is>
          <t>Mainan Prosotan</t>
        </is>
      </c>
      <c r="G853" s="3" t="inlineStr">
        <is>
          <t>Besi</t>
        </is>
      </c>
      <c r="H853" s="3" t="n"/>
      <c r="I853" s="3" t="inlineStr">
        <is>
          <t>1 Unit</t>
        </is>
      </c>
      <c r="J853" s="4" t="n"/>
      <c r="K853" s="3" t="n"/>
      <c r="L853" s="5" t="n"/>
      <c r="M853" s="5" t="n"/>
      <c r="N853" s="3" t="inlineStr">
        <is>
          <t>171 - 02 - 02</t>
        </is>
      </c>
      <c r="O853" s="3" t="n">
        <v>4</v>
      </c>
      <c r="P853" s="5" t="n"/>
      <c r="Q853" s="5" t="n"/>
      <c r="R853" s="3" t="inlineStr">
        <is>
          <t>Baik</t>
        </is>
      </c>
      <c r="S853" s="3" t="inlineStr">
        <is>
          <t>Aktif</t>
        </is>
      </c>
      <c r="T853" s="3" t="n"/>
      <c r="U853" s="3" t="inlineStr">
        <is>
          <t>ASSET TKIA-24 2025(1).xlsx | ASET TKIA</t>
        </is>
      </c>
    </row>
    <row r="854">
      <c r="A854" s="3" t="n">
        <v>851</v>
      </c>
      <c r="B854" s="3" t="inlineStr">
        <is>
          <t>171 - 02 - 02</t>
        </is>
      </c>
      <c r="C854" s="3" t="inlineStr">
        <is>
          <t>TKIA 24 JATIKRAMAT</t>
        </is>
      </c>
      <c r="D854" s="3" t="inlineStr">
        <is>
          <t>II / PLAYGROUND OUTDOOR / BELAKANG</t>
        </is>
      </c>
      <c r="E854" s="3" t="inlineStr">
        <is>
          <t>Mainan Ayunan Double</t>
        </is>
      </c>
      <c r="F854" s="3" t="inlineStr">
        <is>
          <t>Mainan Ayunan Double</t>
        </is>
      </c>
      <c r="G854" s="3" t="inlineStr">
        <is>
          <t>Besi</t>
        </is>
      </c>
      <c r="H854" s="3" t="n"/>
      <c r="I854" s="3" t="inlineStr">
        <is>
          <t>1 Unit</t>
        </is>
      </c>
      <c r="J854" s="4" t="n"/>
      <c r="K854" s="3" t="n"/>
      <c r="L854" s="5" t="n"/>
      <c r="M854" s="5" t="n"/>
      <c r="N854" s="3" t="inlineStr">
        <is>
          <t>171 - 02 - 02</t>
        </is>
      </c>
      <c r="O854" s="3" t="n">
        <v>4</v>
      </c>
      <c r="P854" s="5" t="n"/>
      <c r="Q854" s="5" t="n"/>
      <c r="R854" s="3" t="inlineStr">
        <is>
          <t>Baik</t>
        </is>
      </c>
      <c r="S854" s="3" t="inlineStr">
        <is>
          <t>Aktif</t>
        </is>
      </c>
      <c r="T854" s="3" t="n"/>
      <c r="U854" s="3" t="inlineStr">
        <is>
          <t>ASSET TKIA-24 2025(1).xlsx | ASET TKIA</t>
        </is>
      </c>
    </row>
    <row r="855">
      <c r="A855" s="3" t="n">
        <v>852</v>
      </c>
      <c r="B855" s="3" t="inlineStr">
        <is>
          <t>171 - 02 - 02</t>
        </is>
      </c>
      <c r="C855" s="3" t="inlineStr">
        <is>
          <t>TKIA 24 JATIKRAMAT</t>
        </is>
      </c>
      <c r="D855" s="3" t="inlineStr">
        <is>
          <t>II / PLAYGROUND OUTDOOR / BELAKANG</t>
        </is>
      </c>
      <c r="E855" s="3" t="inlineStr">
        <is>
          <t>Standing Tanaman Hidriponic</t>
        </is>
      </c>
      <c r="F855" s="3" t="inlineStr">
        <is>
          <t>Standing Tanaman Hidriponic</t>
        </is>
      </c>
      <c r="G855" s="3" t="inlineStr">
        <is>
          <t>Paralon</t>
        </is>
      </c>
      <c r="H855" s="3" t="n"/>
      <c r="I855" s="3" t="inlineStr">
        <is>
          <t>1 Unit</t>
        </is>
      </c>
      <c r="J855" s="4" t="n"/>
      <c r="K855" s="3" t="n"/>
      <c r="L855" s="5" t="n"/>
      <c r="M855" s="5" t="n"/>
      <c r="N855" s="3" t="inlineStr">
        <is>
          <t>171 - 02 - 02</t>
        </is>
      </c>
      <c r="O855" s="3" t="n">
        <v>4</v>
      </c>
      <c r="P855" s="5" t="n"/>
      <c r="Q855" s="5" t="n"/>
      <c r="R855" s="3" t="inlineStr">
        <is>
          <t>Baik</t>
        </is>
      </c>
      <c r="S855" s="3" t="inlineStr">
        <is>
          <t>Aktif</t>
        </is>
      </c>
      <c r="T855" s="3" t="n"/>
      <c r="U855" s="3" t="inlineStr">
        <is>
          <t>ASSET TKIA-24 2025(1).xlsx | ASET TKIA</t>
        </is>
      </c>
    </row>
    <row r="856">
      <c r="A856" s="3" t="n">
        <v>853</v>
      </c>
      <c r="B856" s="3" t="inlineStr">
        <is>
          <t>171 - 02 - 02</t>
        </is>
      </c>
      <c r="C856" s="3" t="inlineStr">
        <is>
          <t>TKIA 24 JATIKRAMAT</t>
        </is>
      </c>
      <c r="D856" s="3" t="inlineStr">
        <is>
          <t>II / PLAYGROUND OUTDOOR / BELAKANG</t>
        </is>
      </c>
      <c r="E856" s="3" t="inlineStr">
        <is>
          <t>Rumput Sintetis</t>
        </is>
      </c>
      <c r="F856" s="3" t="inlineStr">
        <is>
          <t>Rumput Sintetis</t>
        </is>
      </c>
      <c r="G856" s="3" t="inlineStr">
        <is>
          <t>Plastik</t>
        </is>
      </c>
      <c r="H856" s="3" t="inlineStr">
        <is>
          <t>650 cm x 700 cm</t>
        </is>
      </c>
      <c r="I856" s="3" t="inlineStr">
        <is>
          <t>1 Unit</t>
        </is>
      </c>
      <c r="J856" s="4" t="n"/>
      <c r="K856" s="3" t="n"/>
      <c r="L856" s="5" t="n"/>
      <c r="M856" s="5" t="n"/>
      <c r="N856" s="3" t="inlineStr">
        <is>
          <t>171 - 02 - 02</t>
        </is>
      </c>
      <c r="O856" s="3" t="n">
        <v>4</v>
      </c>
      <c r="P856" s="5" t="n"/>
      <c r="Q856" s="5" t="n"/>
      <c r="R856" s="3" t="inlineStr">
        <is>
          <t>Baik</t>
        </is>
      </c>
      <c r="S856" s="3" t="inlineStr">
        <is>
          <t>Aktif</t>
        </is>
      </c>
      <c r="T856" s="3" t="n"/>
      <c r="U856" s="3" t="inlineStr">
        <is>
          <t>ASSET TKIA-24 2025(1).xlsx | ASET TKIA</t>
        </is>
      </c>
    </row>
    <row r="857">
      <c r="A857" s="3" t="n">
        <v>854</v>
      </c>
      <c r="B857" s="3" t="inlineStr">
        <is>
          <t>171 - 02 - 02</t>
        </is>
      </c>
      <c r="C857" s="3" t="inlineStr">
        <is>
          <t>TKIA 24 JATIKRAMAT</t>
        </is>
      </c>
      <c r="D857" s="3" t="inlineStr">
        <is>
          <t>II / GEDUNG EKSKUL - BELAKANG</t>
        </is>
      </c>
      <c r="E857" s="3" t="inlineStr">
        <is>
          <t>Drum Gendong</t>
        </is>
      </c>
      <c r="F857" s="3" t="inlineStr">
        <is>
          <t>Drum Gendong</t>
        </is>
      </c>
      <c r="G857" s="3" t="inlineStr">
        <is>
          <t>Besi/Kulit</t>
        </is>
      </c>
      <c r="H857" s="3" t="inlineStr">
        <is>
          <t>Diameter 50 Cm</t>
        </is>
      </c>
      <c r="I857" s="3" t="inlineStr">
        <is>
          <t>6 Unit</t>
        </is>
      </c>
      <c r="J857" s="4" t="n"/>
      <c r="K857" s="3" t="n"/>
      <c r="L857" s="5" t="n"/>
      <c r="M857" s="5" t="n"/>
      <c r="N857" s="3" t="inlineStr">
        <is>
          <t>171 - 02 - 02</t>
        </is>
      </c>
      <c r="O857" s="3" t="n">
        <v>4</v>
      </c>
      <c r="P857" s="5" t="n"/>
      <c r="Q857" s="5" t="n"/>
      <c r="R857" s="3" t="inlineStr">
        <is>
          <t>Baik</t>
        </is>
      </c>
      <c r="S857" s="3" t="inlineStr">
        <is>
          <t>Aktif</t>
        </is>
      </c>
      <c r="T857" s="3" t="n"/>
      <c r="U857" s="3" t="inlineStr">
        <is>
          <t>ASSET TKIA-24 2025(1).xlsx | ASET TKIA</t>
        </is>
      </c>
    </row>
    <row r="858">
      <c r="A858" s="3" t="n">
        <v>855</v>
      </c>
      <c r="B858" s="3" t="inlineStr">
        <is>
          <t>171 - 02 - 02</t>
        </is>
      </c>
      <c r="C858" s="3" t="inlineStr">
        <is>
          <t>TKIA 24 JATIKRAMAT</t>
        </is>
      </c>
      <c r="D858" s="3" t="inlineStr">
        <is>
          <t>II / GEDUNG EKSKUL - BELAKANG</t>
        </is>
      </c>
      <c r="E858" s="3" t="inlineStr">
        <is>
          <t>Simbal</t>
        </is>
      </c>
      <c r="F858" s="3" t="inlineStr">
        <is>
          <t>Simbal</t>
        </is>
      </c>
      <c r="G858" s="3" t="n"/>
      <c r="H858" s="3" t="n"/>
      <c r="I858" s="3" t="inlineStr">
        <is>
          <t>2 Unit</t>
        </is>
      </c>
      <c r="J858" s="4" t="n"/>
      <c r="K858" s="3" t="n"/>
      <c r="L858" s="5" t="n"/>
      <c r="M858" s="5" t="n"/>
      <c r="N858" s="3" t="inlineStr">
        <is>
          <t>171 - 02 - 02</t>
        </is>
      </c>
      <c r="O858" s="3" t="n">
        <v>4</v>
      </c>
      <c r="P858" s="5" t="n"/>
      <c r="Q858" s="5" t="n"/>
      <c r="R858" s="3" t="inlineStr">
        <is>
          <t>Baik</t>
        </is>
      </c>
      <c r="S858" s="3" t="inlineStr">
        <is>
          <t>Aktif</t>
        </is>
      </c>
      <c r="T858" s="3" t="n"/>
      <c r="U858" s="3" t="inlineStr">
        <is>
          <t>ASSET TKIA-24 2025(1).xlsx | ASET TKIA</t>
        </is>
      </c>
    </row>
    <row r="859">
      <c r="A859" s="3" t="n">
        <v>856</v>
      </c>
      <c r="B859" s="3" t="inlineStr">
        <is>
          <t>171 - 02 - 02</t>
        </is>
      </c>
      <c r="C859" s="3" t="inlineStr">
        <is>
          <t>TKIA 24 JATIKRAMAT</t>
        </is>
      </c>
      <c r="D859" s="3" t="inlineStr">
        <is>
          <t>II / GEDUNG EKSKUL - BELAKANG</t>
        </is>
      </c>
      <c r="E859" s="3" t="inlineStr">
        <is>
          <t>Quadtom</t>
        </is>
      </c>
      <c r="F859" s="3" t="inlineStr">
        <is>
          <t>Quadtom</t>
        </is>
      </c>
      <c r="G859" s="3" t="n"/>
      <c r="H859" s="3" t="n"/>
      <c r="I859" s="3" t="inlineStr">
        <is>
          <t>3 Unit</t>
        </is>
      </c>
      <c r="J859" s="4" t="n"/>
      <c r="K859" s="3" t="n"/>
      <c r="L859" s="5" t="n"/>
      <c r="M859" s="5" t="n"/>
      <c r="N859" s="3" t="inlineStr">
        <is>
          <t>171 - 02 - 02</t>
        </is>
      </c>
      <c r="O859" s="3" t="n">
        <v>4</v>
      </c>
      <c r="P859" s="5" t="n"/>
      <c r="Q859" s="5" t="n"/>
      <c r="R859" s="3" t="inlineStr">
        <is>
          <t>Baik</t>
        </is>
      </c>
      <c r="S859" s="3" t="inlineStr">
        <is>
          <t>Aktif</t>
        </is>
      </c>
      <c r="T859" s="3" t="n"/>
      <c r="U859" s="3" t="inlineStr">
        <is>
          <t>ASSET TKIA-24 2025(1).xlsx | ASET TKIA</t>
        </is>
      </c>
    </row>
    <row r="860">
      <c r="A860" s="3" t="n">
        <v>857</v>
      </c>
      <c r="B860" s="3" t="inlineStr">
        <is>
          <t>171 - 02 - 02</t>
        </is>
      </c>
      <c r="C860" s="3" t="inlineStr">
        <is>
          <t>TKIA 24 JATIKRAMAT</t>
        </is>
      </c>
      <c r="D860" s="3" t="inlineStr">
        <is>
          <t>II / GEDUNG EKSKUL - BELAKANG</t>
        </is>
      </c>
      <c r="E860" s="3" t="inlineStr">
        <is>
          <t>Metalopone</t>
        </is>
      </c>
      <c r="F860" s="3" t="inlineStr">
        <is>
          <t>Metalopone</t>
        </is>
      </c>
      <c r="G860" s="3" t="n"/>
      <c r="H860" s="3" t="n"/>
      <c r="I860" s="3" t="inlineStr">
        <is>
          <t>1 Unit</t>
        </is>
      </c>
      <c r="J860" s="4" t="n"/>
      <c r="K860" s="3" t="n"/>
      <c r="L860" s="5" t="n"/>
      <c r="M860" s="5" t="n"/>
      <c r="N860" s="3" t="inlineStr">
        <is>
          <t>171 - 02 - 02</t>
        </is>
      </c>
      <c r="O860" s="3" t="n">
        <v>4</v>
      </c>
      <c r="P860" s="5" t="n"/>
      <c r="Q860" s="5" t="n"/>
      <c r="R860" s="3" t="inlineStr">
        <is>
          <t>Baik</t>
        </is>
      </c>
      <c r="S860" s="3" t="inlineStr">
        <is>
          <t>Aktif</t>
        </is>
      </c>
      <c r="T860" s="3" t="n"/>
      <c r="U860" s="3" t="inlineStr">
        <is>
          <t>ASSET TKIA-24 2025(1).xlsx | ASET TKIA</t>
        </is>
      </c>
    </row>
    <row r="861">
      <c r="A861" s="3" t="n">
        <v>858</v>
      </c>
      <c r="B861" s="3" t="inlineStr">
        <is>
          <t>171 - 02 - 02</t>
        </is>
      </c>
      <c r="C861" s="3" t="inlineStr">
        <is>
          <t>TKIA 24 JATIKRAMAT</t>
        </is>
      </c>
      <c r="D861" s="3" t="inlineStr">
        <is>
          <t>II / GEDUNG EKSKUL - BELAKANG</t>
        </is>
      </c>
      <c r="E861" s="3" t="inlineStr">
        <is>
          <t>Snar</t>
        </is>
      </c>
      <c r="F861" s="3" t="inlineStr">
        <is>
          <t>Snar</t>
        </is>
      </c>
      <c r="G861" s="3" t="n"/>
      <c r="H861" s="3" t="n"/>
      <c r="I861" s="3" t="inlineStr">
        <is>
          <t>19 Unit</t>
        </is>
      </c>
      <c r="J861" s="4" t="n"/>
      <c r="K861" s="3" t="n"/>
      <c r="L861" s="5" t="n"/>
      <c r="M861" s="5" t="n"/>
      <c r="N861" s="3" t="inlineStr">
        <is>
          <t>171 - 02 - 02</t>
        </is>
      </c>
      <c r="O861" s="3" t="n">
        <v>4</v>
      </c>
      <c r="P861" s="5" t="n"/>
      <c r="Q861" s="5" t="n"/>
      <c r="R861" s="3" t="inlineStr">
        <is>
          <t>Baik</t>
        </is>
      </c>
      <c r="S861" s="3" t="inlineStr">
        <is>
          <t>Aktif</t>
        </is>
      </c>
      <c r="T861" s="3" t="n"/>
      <c r="U861" s="3" t="inlineStr">
        <is>
          <t>ASSET TKIA-24 2025(1).xlsx | ASET TKIA</t>
        </is>
      </c>
    </row>
    <row r="862">
      <c r="A862" s="3" t="n">
        <v>859</v>
      </c>
      <c r="B862" s="3" t="inlineStr">
        <is>
          <t>171 - 02 - 02</t>
        </is>
      </c>
      <c r="C862" s="3" t="inlineStr">
        <is>
          <t>TKIA 24 JATIKRAMAT</t>
        </is>
      </c>
      <c r="D862" s="3" t="inlineStr">
        <is>
          <t>II / GEDUNG EKSKUL - BELAKANG</t>
        </is>
      </c>
      <c r="E862" s="3" t="inlineStr">
        <is>
          <t>Bas Drum</t>
        </is>
      </c>
      <c r="F862" s="3" t="inlineStr">
        <is>
          <t>Bas Drum</t>
        </is>
      </c>
      <c r="G862" s="3" t="n"/>
      <c r="H862" s="3" t="n"/>
      <c r="I862" s="3" t="inlineStr">
        <is>
          <t>5 Unit</t>
        </is>
      </c>
      <c r="J862" s="4" t="n"/>
      <c r="K862" s="3" t="n"/>
      <c r="L862" s="5" t="n"/>
      <c r="M862" s="5" t="n"/>
      <c r="N862" s="3" t="inlineStr">
        <is>
          <t>171 - 02 - 02</t>
        </is>
      </c>
      <c r="O862" s="3" t="n">
        <v>4</v>
      </c>
      <c r="P862" s="5" t="n"/>
      <c r="Q862" s="5" t="n"/>
      <c r="R862" s="3" t="inlineStr">
        <is>
          <t>Baik</t>
        </is>
      </c>
      <c r="S862" s="3" t="inlineStr">
        <is>
          <t>Aktif</t>
        </is>
      </c>
      <c r="T862" s="3" t="n"/>
      <c r="U862" s="3" t="inlineStr">
        <is>
          <t>ASSET TKIA-24 2025(1).xlsx | ASET TKIA</t>
        </is>
      </c>
    </row>
    <row r="863">
      <c r="A863" s="3" t="n">
        <v>860</v>
      </c>
      <c r="B863" s="3" t="inlineStr">
        <is>
          <t>171 - 02 - 02</t>
        </is>
      </c>
      <c r="C863" s="3" t="inlineStr">
        <is>
          <t>TKIA 24 JATIKRAMAT</t>
        </is>
      </c>
      <c r="D863" s="3" t="inlineStr">
        <is>
          <t>II / GEDUNG EKSKUL - BELAKANG</t>
        </is>
      </c>
      <c r="E863" s="3" t="inlineStr">
        <is>
          <t>Anglung</t>
        </is>
      </c>
      <c r="F863" s="3" t="inlineStr">
        <is>
          <t>Anglung</t>
        </is>
      </c>
      <c r="G863" s="3" t="n"/>
      <c r="H863" s="3" t="n"/>
      <c r="I863" s="3" t="inlineStr">
        <is>
          <t>3 Unit</t>
        </is>
      </c>
      <c r="J863" s="4" t="n"/>
      <c r="K863" s="3" t="n"/>
      <c r="L863" s="5" t="n"/>
      <c r="M863" s="5" t="n"/>
      <c r="N863" s="3" t="inlineStr">
        <is>
          <t>171 - 02 - 02</t>
        </is>
      </c>
      <c r="O863" s="3" t="n">
        <v>4</v>
      </c>
      <c r="P863" s="5" t="n"/>
      <c r="Q863" s="5" t="n"/>
      <c r="R863" s="3" t="inlineStr">
        <is>
          <t>Baik</t>
        </is>
      </c>
      <c r="S863" s="3" t="inlineStr">
        <is>
          <t>Aktif</t>
        </is>
      </c>
      <c r="T863" s="3" t="n"/>
      <c r="U863" s="3" t="inlineStr">
        <is>
          <t>ASSET TKIA-24 2025(1).xlsx | ASET TKIA</t>
        </is>
      </c>
    </row>
    <row r="864">
      <c r="A864" s="3" t="n">
        <v>861</v>
      </c>
      <c r="B864" s="3" t="inlineStr">
        <is>
          <t>171 - 02 - 02</t>
        </is>
      </c>
      <c r="C864" s="3" t="inlineStr">
        <is>
          <t>TKIA 24 JATIKRAMAT</t>
        </is>
      </c>
      <c r="D864" s="3" t="inlineStr">
        <is>
          <t>II / GEDUNG EKSKUL - BELAKANG</t>
        </is>
      </c>
      <c r="E864" s="3" t="inlineStr">
        <is>
          <t>Bangku Platik</t>
        </is>
      </c>
      <c r="F864" s="3" t="inlineStr">
        <is>
          <t>Bangku Platik</t>
        </is>
      </c>
      <c r="G864" s="3" t="n"/>
      <c r="H864" s="3" t="n"/>
      <c r="I864" s="3" t="inlineStr">
        <is>
          <t>4 Unit</t>
        </is>
      </c>
      <c r="J864" s="4" t="n"/>
      <c r="K864" s="3" t="n"/>
      <c r="L864" s="5" t="n"/>
      <c r="M864" s="5" t="n"/>
      <c r="N864" s="3" t="inlineStr">
        <is>
          <t>171 - 02 - 02</t>
        </is>
      </c>
      <c r="O864" s="3" t="n">
        <v>4</v>
      </c>
      <c r="P864" s="5" t="n"/>
      <c r="Q864" s="5" t="n"/>
      <c r="R864" s="3" t="inlineStr">
        <is>
          <t>Baik</t>
        </is>
      </c>
      <c r="S864" s="3" t="inlineStr">
        <is>
          <t>Aktif</t>
        </is>
      </c>
      <c r="T864" s="3" t="n"/>
      <c r="U864" s="3" t="inlineStr">
        <is>
          <t>ASSET TKIA-24 2025(1).xlsx | ASET TKIA</t>
        </is>
      </c>
    </row>
    <row r="865">
      <c r="A865" s="3" t="n">
        <v>862</v>
      </c>
      <c r="B865" s="3" t="inlineStr">
        <is>
          <t>171 - 02 - 02</t>
        </is>
      </c>
      <c r="C865" s="3" t="inlineStr">
        <is>
          <t>TKIA 24 JATIKRAMAT</t>
        </is>
      </c>
      <c r="D865" s="3" t="inlineStr">
        <is>
          <t>II / GEDUNG EKSKUL - BELAKANG</t>
        </is>
      </c>
      <c r="E865" s="3" t="inlineStr">
        <is>
          <t>APAR</t>
        </is>
      </c>
      <c r="F865" s="3" t="inlineStr">
        <is>
          <t>APAR</t>
        </is>
      </c>
      <c r="G865" s="3" t="n"/>
      <c r="H865" s="3" t="n"/>
      <c r="I865" s="3" t="inlineStr">
        <is>
          <t>1 Unit</t>
        </is>
      </c>
      <c r="J865" s="4" t="n"/>
      <c r="K865" s="3" t="n"/>
      <c r="L865" s="5" t="n"/>
      <c r="M865" s="5" t="n"/>
      <c r="N865" s="3" t="inlineStr">
        <is>
          <t>171 - 02 - 02</t>
        </is>
      </c>
      <c r="O865" s="3" t="n">
        <v>4</v>
      </c>
      <c r="P865" s="5" t="n"/>
      <c r="Q865" s="5" t="n"/>
      <c r="R865" s="3" t="inlineStr">
        <is>
          <t>Baik</t>
        </is>
      </c>
      <c r="S865" s="3" t="inlineStr">
        <is>
          <t>Aktif</t>
        </is>
      </c>
      <c r="T865" s="3" t="n"/>
      <c r="U865" s="3" t="inlineStr">
        <is>
          <t>ASSET TKIA-24 2025(1).xlsx | ASET TKIA</t>
        </is>
      </c>
    </row>
    <row r="866">
      <c r="A866" s="3" t="n">
        <v>863</v>
      </c>
      <c r="B866" s="3" t="inlineStr">
        <is>
          <t>171 - 02 - 02</t>
        </is>
      </c>
      <c r="C866" s="3" t="inlineStr">
        <is>
          <t>TKIA 24 JATIKRAMAT</t>
        </is>
      </c>
      <c r="D866" s="3" t="inlineStr">
        <is>
          <t>II / GEDUNG EKSKUL - BELAKANG</t>
        </is>
      </c>
      <c r="E866" s="3" t="inlineStr">
        <is>
          <t>Papan Standing Lukis</t>
        </is>
      </c>
      <c r="F866" s="3" t="inlineStr">
        <is>
          <t>Papan Standing Lukis</t>
        </is>
      </c>
      <c r="G866" s="3" t="n"/>
      <c r="H866" s="3" t="n"/>
      <c r="I866" s="3" t="inlineStr">
        <is>
          <t>1 Unit</t>
        </is>
      </c>
      <c r="J866" s="4" t="n"/>
      <c r="K866" s="3" t="n"/>
      <c r="L866" s="5" t="n"/>
      <c r="M866" s="5" t="n"/>
      <c r="N866" s="3" t="inlineStr">
        <is>
          <t>171 - 02 - 02</t>
        </is>
      </c>
      <c r="O866" s="3" t="n">
        <v>4</v>
      </c>
      <c r="P866" s="5" t="n"/>
      <c r="Q866" s="5" t="n"/>
      <c r="R866" s="3" t="inlineStr">
        <is>
          <t>Baik</t>
        </is>
      </c>
      <c r="S866" s="3" t="inlineStr">
        <is>
          <t>Aktif</t>
        </is>
      </c>
      <c r="T866" s="3" t="n"/>
      <c r="U866" s="3" t="inlineStr">
        <is>
          <t>ASSET TKIA-24 2025(1).xlsx | ASET TKIA</t>
        </is>
      </c>
    </row>
    <row r="867">
      <c r="A867" s="3" t="n">
        <v>864</v>
      </c>
      <c r="B867" s="3" t="inlineStr">
        <is>
          <t>171 - 02 - 02</t>
        </is>
      </c>
      <c r="C867" s="3" t="inlineStr">
        <is>
          <t>TKIA 24 JATIKRAMAT</t>
        </is>
      </c>
      <c r="D867" s="3" t="inlineStr">
        <is>
          <t>II / UKS ( UNIT KESEHATAN SEKOLAH ) Belakang</t>
        </is>
      </c>
      <c r="E867" s="3" t="inlineStr">
        <is>
          <t>Locker</t>
        </is>
      </c>
      <c r="F867" s="3" t="inlineStr">
        <is>
          <t>Locker</t>
        </is>
      </c>
      <c r="G867" s="3" t="inlineStr">
        <is>
          <t>Kayu</t>
        </is>
      </c>
      <c r="H867" s="3" t="inlineStr">
        <is>
          <t>120 Cm X90 cm</t>
        </is>
      </c>
      <c r="I867" s="3" t="inlineStr">
        <is>
          <t>1 Unit</t>
        </is>
      </c>
      <c r="J867" s="4" t="n"/>
      <c r="K867" s="3" t="n"/>
      <c r="L867" s="5" t="n"/>
      <c r="M867" s="5" t="n"/>
      <c r="N867" s="3" t="inlineStr">
        <is>
          <t>171 - 02 - 02</t>
        </is>
      </c>
      <c r="O867" s="3" t="n">
        <v>4</v>
      </c>
      <c r="P867" s="5" t="n"/>
      <c r="Q867" s="5" t="n"/>
      <c r="R867" s="3" t="inlineStr">
        <is>
          <t>Baik</t>
        </is>
      </c>
      <c r="S867" s="3" t="inlineStr">
        <is>
          <t>Aktif</t>
        </is>
      </c>
      <c r="T867" s="3" t="n"/>
      <c r="U867" s="3" t="inlineStr">
        <is>
          <t>ASSET TKIA-24 2025(1).xlsx | ASET TKIA</t>
        </is>
      </c>
    </row>
    <row r="868">
      <c r="A868" s="3" t="n">
        <v>865</v>
      </c>
      <c r="B868" s="3" t="inlineStr">
        <is>
          <t>171 - 02 - 02</t>
        </is>
      </c>
      <c r="C868" s="3" t="inlineStr">
        <is>
          <t>TKIA 24 JATIKRAMAT</t>
        </is>
      </c>
      <c r="D868" s="3" t="inlineStr">
        <is>
          <t>II / UKS ( UNIT KESEHATAN SEKOLAH ) Belakang</t>
        </is>
      </c>
      <c r="E868" s="3" t="inlineStr">
        <is>
          <t>Timbangan</t>
        </is>
      </c>
      <c r="F868" s="3" t="inlineStr">
        <is>
          <t>Timbangan</t>
        </is>
      </c>
      <c r="G868" s="3" t="inlineStr">
        <is>
          <t>Campur</t>
        </is>
      </c>
      <c r="H868" s="3" t="n"/>
      <c r="I868" s="3" t="inlineStr">
        <is>
          <t>1 Unit</t>
        </is>
      </c>
      <c r="J868" s="4" t="n"/>
      <c r="K868" s="3" t="n"/>
      <c r="L868" s="5" t="n"/>
      <c r="M868" s="5" t="n"/>
      <c r="N868" s="3" t="inlineStr">
        <is>
          <t>171 - 02 - 02</t>
        </is>
      </c>
      <c r="O868" s="3" t="n">
        <v>4</v>
      </c>
      <c r="P868" s="5" t="n"/>
      <c r="Q868" s="5" t="n"/>
      <c r="R868" s="3" t="inlineStr">
        <is>
          <t>Baik</t>
        </is>
      </c>
      <c r="S868" s="3" t="inlineStr">
        <is>
          <t>Aktif</t>
        </is>
      </c>
      <c r="T868" s="3" t="n"/>
      <c r="U868" s="3" t="inlineStr">
        <is>
          <t>ASSET TKIA-24 2025(1).xlsx | ASET TKIA</t>
        </is>
      </c>
    </row>
    <row r="869">
      <c r="A869" s="3" t="n">
        <v>866</v>
      </c>
      <c r="B869" s="3" t="inlineStr">
        <is>
          <t>171 - 02 - 02</t>
        </is>
      </c>
      <c r="C869" s="3" t="inlineStr">
        <is>
          <t>TKIA 24 JATIKRAMAT</t>
        </is>
      </c>
      <c r="D869" s="3" t="inlineStr">
        <is>
          <t>II / UKS ( UNIT KESEHATAN SEKOLAH ) Belakang</t>
        </is>
      </c>
      <c r="E869" s="3" t="inlineStr">
        <is>
          <t>Tempat Tidur Periksa</t>
        </is>
      </c>
      <c r="F869" s="3" t="inlineStr">
        <is>
          <t>Tempat Tidur Periksa</t>
        </is>
      </c>
      <c r="G869" s="3" t="inlineStr">
        <is>
          <t>Besi / Kulit</t>
        </is>
      </c>
      <c r="H869" s="3" t="inlineStr">
        <is>
          <t>L 70 Cm X T 100 CM X P 200 Cm</t>
        </is>
      </c>
      <c r="I869" s="3" t="inlineStr">
        <is>
          <t>1 Unit</t>
        </is>
      </c>
      <c r="J869" s="4" t="n"/>
      <c r="K869" s="3" t="n"/>
      <c r="L869" s="5" t="n"/>
      <c r="M869" s="5" t="n"/>
      <c r="N869" s="3" t="inlineStr">
        <is>
          <t>171 - 02 - 02</t>
        </is>
      </c>
      <c r="O869" s="3" t="n">
        <v>4</v>
      </c>
      <c r="P869" s="5" t="n"/>
      <c r="Q869" s="5" t="n"/>
      <c r="R869" s="3" t="inlineStr">
        <is>
          <t>Baik</t>
        </is>
      </c>
      <c r="S869" s="3" t="inlineStr">
        <is>
          <t>Aktif</t>
        </is>
      </c>
      <c r="T869" s="3" t="n"/>
      <c r="U869" s="3" t="inlineStr">
        <is>
          <t>ASSET TKIA-24 2025(1).xlsx | ASET TKIA</t>
        </is>
      </c>
    </row>
    <row r="870">
      <c r="A870" s="3" t="n">
        <v>867</v>
      </c>
      <c r="B870" s="3" t="inlineStr">
        <is>
          <t>171 - 02 - 02</t>
        </is>
      </c>
      <c r="C870" s="3" t="inlineStr">
        <is>
          <t>TKIA 24 JATIKRAMAT</t>
        </is>
      </c>
      <c r="D870" s="3" t="inlineStr">
        <is>
          <t>II / UKS ( UNIT KESEHATAN SEKOLAH ) Belakang</t>
        </is>
      </c>
      <c r="E870" s="3" t="inlineStr">
        <is>
          <t>Meja</t>
        </is>
      </c>
      <c r="F870" s="3" t="inlineStr">
        <is>
          <t>Meja</t>
        </is>
      </c>
      <c r="G870" s="3" t="inlineStr">
        <is>
          <t>Kayu</t>
        </is>
      </c>
      <c r="H870" s="3" t="inlineStr">
        <is>
          <t>1/2 Biro</t>
        </is>
      </c>
      <c r="I870" s="3" t="inlineStr">
        <is>
          <t>1 Unit</t>
        </is>
      </c>
      <c r="J870" s="4" t="n"/>
      <c r="K870" s="3" t="n"/>
      <c r="L870" s="5" t="n"/>
      <c r="M870" s="5" t="n"/>
      <c r="N870" s="3" t="inlineStr">
        <is>
          <t>171 - 02 - 02</t>
        </is>
      </c>
      <c r="O870" s="3" t="n">
        <v>4</v>
      </c>
      <c r="P870" s="5" t="n"/>
      <c r="Q870" s="5" t="n"/>
      <c r="R870" s="3" t="inlineStr">
        <is>
          <t>Baik</t>
        </is>
      </c>
      <c r="S870" s="3" t="inlineStr">
        <is>
          <t>Aktif</t>
        </is>
      </c>
      <c r="T870" s="3" t="n"/>
      <c r="U870" s="3" t="inlineStr">
        <is>
          <t>ASSET TKIA-24 2025(1).xlsx | ASET TKIA</t>
        </is>
      </c>
    </row>
    <row r="871">
      <c r="A871" s="3" t="n">
        <v>868</v>
      </c>
      <c r="B871" s="3" t="inlineStr">
        <is>
          <t>171 - 02 - 02</t>
        </is>
      </c>
      <c r="C871" s="3" t="inlineStr">
        <is>
          <t>TKIA 24 JATIKRAMAT</t>
        </is>
      </c>
      <c r="D871" s="3" t="inlineStr">
        <is>
          <t>II / UKS ( UNIT KESEHATAN SEKOLAH ) Belakang</t>
        </is>
      </c>
      <c r="E871" s="3" t="inlineStr">
        <is>
          <t>Kotak P3K</t>
        </is>
      </c>
      <c r="F871" s="3" t="inlineStr">
        <is>
          <t>Kotak P3K</t>
        </is>
      </c>
      <c r="G871" s="3" t="inlineStr">
        <is>
          <t>Kayu</t>
        </is>
      </c>
      <c r="H871" s="3" t="inlineStr">
        <is>
          <t>30 Cm X 50 Cm</t>
        </is>
      </c>
      <c r="I871" s="3" t="inlineStr">
        <is>
          <t>1 Unit</t>
        </is>
      </c>
      <c r="J871" s="4" t="n"/>
      <c r="K871" s="3" t="n"/>
      <c r="L871" s="5" t="n"/>
      <c r="M871" s="5" t="n"/>
      <c r="N871" s="3" t="inlineStr">
        <is>
          <t>171 - 02 - 02</t>
        </is>
      </c>
      <c r="O871" s="3" t="n">
        <v>4</v>
      </c>
      <c r="P871" s="5" t="n"/>
      <c r="Q871" s="5" t="n"/>
      <c r="R871" s="3" t="inlineStr">
        <is>
          <t>Baik</t>
        </is>
      </c>
      <c r="S871" s="3" t="inlineStr">
        <is>
          <t>Aktif</t>
        </is>
      </c>
      <c r="T871" s="3" t="n"/>
      <c r="U871" s="3" t="inlineStr">
        <is>
          <t>ASSET TKIA-24 2025(1).xlsx | ASET TKIA</t>
        </is>
      </c>
    </row>
    <row r="872">
      <c r="A872" s="3" t="n">
        <v>869</v>
      </c>
      <c r="B872" s="3" t="inlineStr">
        <is>
          <t>171 - 02 - 02</t>
        </is>
      </c>
      <c r="C872" s="3" t="inlineStr">
        <is>
          <t>TKIA 24 JATIKRAMAT</t>
        </is>
      </c>
      <c r="D872" s="3" t="inlineStr">
        <is>
          <t>II / UKS ( UNIT KESEHATAN SEKOLAH ) Belakang</t>
        </is>
      </c>
      <c r="E872" s="3" t="inlineStr">
        <is>
          <t>Karpet</t>
        </is>
      </c>
      <c r="F872" s="3" t="inlineStr">
        <is>
          <t>Karpet</t>
        </is>
      </c>
      <c r="G872" s="3" t="inlineStr">
        <is>
          <t>Benang</t>
        </is>
      </c>
      <c r="H872" s="3" t="inlineStr">
        <is>
          <t>150 Cm X 110 Cm</t>
        </is>
      </c>
      <c r="I872" s="3" t="inlineStr">
        <is>
          <t>1 Unit</t>
        </is>
      </c>
      <c r="J872" s="4" t="n"/>
      <c r="K872" s="3" t="n"/>
      <c r="L872" s="5" t="n"/>
      <c r="M872" s="5" t="n"/>
      <c r="N872" s="3" t="inlineStr">
        <is>
          <t>171 - 02 - 02</t>
        </is>
      </c>
      <c r="O872" s="3" t="n">
        <v>4</v>
      </c>
      <c r="P872" s="5" t="n"/>
      <c r="Q872" s="5" t="n"/>
      <c r="R872" s="3" t="inlineStr">
        <is>
          <t>Baik</t>
        </is>
      </c>
      <c r="S872" s="3" t="inlineStr">
        <is>
          <t>Aktif</t>
        </is>
      </c>
      <c r="T872" s="3" t="n"/>
      <c r="U872" s="3" t="inlineStr">
        <is>
          <t>ASSET TKIA-24 2025(1).xlsx | ASET TKIA</t>
        </is>
      </c>
    </row>
    <row r="873">
      <c r="A873" s="3" t="n">
        <v>870</v>
      </c>
      <c r="B873" s="3" t="inlineStr">
        <is>
          <t>171 - 02 - 02</t>
        </is>
      </c>
      <c r="C873" s="3" t="inlineStr">
        <is>
          <t>TKIA 24 JATIKRAMAT</t>
        </is>
      </c>
      <c r="D873" s="3" t="inlineStr">
        <is>
          <t>II / UKS ( UNIT KESEHATAN SEKOLAH ) Belakang</t>
        </is>
      </c>
      <c r="E873" s="3" t="inlineStr">
        <is>
          <t>Karpet</t>
        </is>
      </c>
      <c r="F873" s="3" t="inlineStr">
        <is>
          <t>Karpet</t>
        </is>
      </c>
      <c r="G873" s="3" t="inlineStr">
        <is>
          <t>Benang</t>
        </is>
      </c>
      <c r="H873" s="3" t="inlineStr">
        <is>
          <t>220 Cm X 150 Cm</t>
        </is>
      </c>
      <c r="I873" s="3" t="inlineStr">
        <is>
          <t>1 Unit</t>
        </is>
      </c>
      <c r="J873" s="4" t="n"/>
      <c r="K873" s="3" t="n"/>
      <c r="L873" s="5" t="n"/>
      <c r="M873" s="5" t="n"/>
      <c r="N873" s="3" t="inlineStr">
        <is>
          <t>171 - 02 - 02</t>
        </is>
      </c>
      <c r="O873" s="3" t="n">
        <v>4</v>
      </c>
      <c r="P873" s="5" t="n"/>
      <c r="Q873" s="5" t="n"/>
      <c r="R873" s="3" t="inlineStr">
        <is>
          <t>Baik</t>
        </is>
      </c>
      <c r="S873" s="3" t="inlineStr">
        <is>
          <t>Aktif</t>
        </is>
      </c>
      <c r="T873" s="3" t="n"/>
      <c r="U873" s="3" t="inlineStr">
        <is>
          <t>ASSET TKIA-24 2025(1).xlsx | ASET TKIA</t>
        </is>
      </c>
    </row>
    <row r="874">
      <c r="A874" s="3" t="n">
        <v>871</v>
      </c>
      <c r="B874" s="3" t="inlineStr">
        <is>
          <t>172 - 02 - 02</t>
        </is>
      </c>
      <c r="C874" s="3" t="inlineStr">
        <is>
          <t>TKIA 24 JATIKRAMAT</t>
        </is>
      </c>
      <c r="D874" s="3" t="inlineStr">
        <is>
          <t>II / UKS ( UNIT KESEHATAN SEKOLAH ) Belakang</t>
        </is>
      </c>
      <c r="E874" s="3" t="inlineStr">
        <is>
          <t>Alat Cuci Tangan Berdiri - Biru</t>
        </is>
      </c>
      <c r="F874" s="3" t="inlineStr">
        <is>
          <t>Alat Cuci Tangan Berdiri - Biru</t>
        </is>
      </c>
      <c r="G874" s="3" t="inlineStr">
        <is>
          <t>Besi</t>
        </is>
      </c>
      <c r="H874" s="3" t="inlineStr">
        <is>
          <t>Tinggi 100 cm x 50 cm x 40 cm</t>
        </is>
      </c>
      <c r="I874" s="3" t="inlineStr">
        <is>
          <t>1 Unit</t>
        </is>
      </c>
      <c r="J874" s="4" t="n"/>
      <c r="K874" s="3" t="n"/>
      <c r="L874" s="5" t="n"/>
      <c r="M874" s="5" t="n"/>
      <c r="N874" s="3" t="inlineStr">
        <is>
          <t>172 - 02 - 02</t>
        </is>
      </c>
      <c r="O874" s="3" t="n">
        <v>4</v>
      </c>
      <c r="P874" s="5" t="n"/>
      <c r="Q874" s="5" t="n"/>
      <c r="R874" s="3" t="inlineStr">
        <is>
          <t>Baik</t>
        </is>
      </c>
      <c r="S874" s="3" t="inlineStr">
        <is>
          <t>Aktif</t>
        </is>
      </c>
      <c r="T874" s="3" t="n"/>
      <c r="U874" s="3" t="inlineStr">
        <is>
          <t>ASSET TKIA-24 2025(1).xlsx | ASET TKIA</t>
        </is>
      </c>
    </row>
    <row r="875">
      <c r="A875" s="3" t="n">
        <v>872</v>
      </c>
      <c r="B875" s="3" t="inlineStr">
        <is>
          <t>171 - 02 - 02</t>
        </is>
      </c>
      <c r="C875" s="3" t="inlineStr">
        <is>
          <t>TKIA 24 JATIKRAMAT</t>
        </is>
      </c>
      <c r="D875" s="3" t="inlineStr">
        <is>
          <t>I / 3 / PLAYGROUND INDOOR</t>
        </is>
      </c>
      <c r="E875" s="3" t="inlineStr">
        <is>
          <t>STEP 2</t>
        </is>
      </c>
      <c r="F875" s="3" t="inlineStr">
        <is>
          <t>STEP 2</t>
        </is>
      </c>
      <c r="G875" s="3" t="n"/>
      <c r="H875" s="3" t="n"/>
      <c r="I875" s="3" t="inlineStr">
        <is>
          <t>1 Unit</t>
        </is>
      </c>
      <c r="J875" s="4" t="n"/>
      <c r="K875" s="3" t="n"/>
      <c r="L875" s="5" t="n"/>
      <c r="M875" s="5" t="n"/>
      <c r="N875" s="3" t="inlineStr">
        <is>
          <t>171 - 02 - 02</t>
        </is>
      </c>
      <c r="O875" s="3" t="n">
        <v>4</v>
      </c>
      <c r="P875" s="5" t="n"/>
      <c r="Q875" s="5" t="n"/>
      <c r="R875" s="3" t="inlineStr">
        <is>
          <t>Baik</t>
        </is>
      </c>
      <c r="S875" s="3" t="inlineStr">
        <is>
          <t>Aktif</t>
        </is>
      </c>
      <c r="T875" s="3" t="n"/>
      <c r="U875" s="3" t="inlineStr">
        <is>
          <t>ASSET TKIA-24 2025(1).xlsx | ASET TKIA</t>
        </is>
      </c>
    </row>
    <row r="876">
      <c r="A876" s="3" t="n">
        <v>873</v>
      </c>
      <c r="B876" s="3" t="inlineStr">
        <is>
          <t>171 - 02 - 02</t>
        </is>
      </c>
      <c r="C876" s="3" t="inlineStr">
        <is>
          <t>TKIA 24 JATIKRAMAT</t>
        </is>
      </c>
      <c r="D876" s="3" t="inlineStr">
        <is>
          <t>I / 3 / PLAYGROUND INDOOR</t>
        </is>
      </c>
      <c r="E876" s="3" t="inlineStr">
        <is>
          <t>Little Teq</t>
        </is>
      </c>
      <c r="F876" s="3" t="inlineStr">
        <is>
          <t>Little Teq</t>
        </is>
      </c>
      <c r="G876" s="3" t="n"/>
      <c r="H876" s="3" t="n"/>
      <c r="I876" s="3" t="inlineStr">
        <is>
          <t>2 Unit</t>
        </is>
      </c>
      <c r="J876" s="4" t="n"/>
      <c r="K876" s="3" t="n"/>
      <c r="L876" s="5" t="n"/>
      <c r="M876" s="5" t="n"/>
      <c r="N876" s="3" t="inlineStr">
        <is>
          <t>171 - 02 - 02</t>
        </is>
      </c>
      <c r="O876" s="3" t="n">
        <v>4</v>
      </c>
      <c r="P876" s="5" t="n"/>
      <c r="Q876" s="5" t="n"/>
      <c r="R876" s="3" t="inlineStr">
        <is>
          <t>Baik</t>
        </is>
      </c>
      <c r="S876" s="3" t="inlineStr">
        <is>
          <t>Aktif</t>
        </is>
      </c>
      <c r="T876" s="3" t="n"/>
      <c r="U876" s="3" t="inlineStr">
        <is>
          <t>ASSET TKIA-24 2025(1).xlsx | ASET TKIA</t>
        </is>
      </c>
    </row>
    <row r="877">
      <c r="A877" s="3" t="n">
        <v>874</v>
      </c>
      <c r="B877" s="3" t="inlineStr">
        <is>
          <t>171 - 02 - 02</t>
        </is>
      </c>
      <c r="C877" s="3" t="inlineStr">
        <is>
          <t>TKIA 24 JATIKRAMAT</t>
        </is>
      </c>
      <c r="D877" s="3" t="inlineStr">
        <is>
          <t>I / 3 / PLAYGROUND INDOOR</t>
        </is>
      </c>
      <c r="E877" s="3" t="inlineStr">
        <is>
          <t>Ching- Ching</t>
        </is>
      </c>
      <c r="F877" s="3" t="inlineStr">
        <is>
          <t>Ching- Ching</t>
        </is>
      </c>
      <c r="G877" s="3" t="n"/>
      <c r="H877" s="3" t="n"/>
      <c r="I877" s="3" t="inlineStr">
        <is>
          <t>1 Unit</t>
        </is>
      </c>
      <c r="J877" s="4" t="n"/>
      <c r="K877" s="3" t="n"/>
      <c r="L877" s="5" t="n"/>
      <c r="M877" s="5" t="n"/>
      <c r="N877" s="3" t="inlineStr">
        <is>
          <t>171 - 02 - 02</t>
        </is>
      </c>
      <c r="O877" s="3" t="n">
        <v>4</v>
      </c>
      <c r="P877" s="5" t="n"/>
      <c r="Q877" s="5" t="n"/>
      <c r="R877" s="3" t="inlineStr">
        <is>
          <t>Baik</t>
        </is>
      </c>
      <c r="S877" s="3" t="inlineStr">
        <is>
          <t>Aktif</t>
        </is>
      </c>
      <c r="T877" s="3" t="n"/>
      <c r="U877" s="3" t="inlineStr">
        <is>
          <t>ASSET TKIA-24 2025(1).xlsx | ASET TKIA</t>
        </is>
      </c>
    </row>
    <row r="878">
      <c r="A878" s="3" t="n">
        <v>875</v>
      </c>
      <c r="B878" s="3" t="inlineStr">
        <is>
          <t>171 - 02 - 02</t>
        </is>
      </c>
      <c r="C878" s="3" t="inlineStr">
        <is>
          <t>TKIA 24 JATIKRAMAT</t>
        </is>
      </c>
      <c r="D878" s="3" t="inlineStr">
        <is>
          <t>I / 3 / PLAYGROUND INDOOR</t>
        </is>
      </c>
      <c r="E878" s="3" t="inlineStr">
        <is>
          <t>Labeille</t>
        </is>
      </c>
      <c r="F878" s="3" t="inlineStr">
        <is>
          <t>Labeille</t>
        </is>
      </c>
      <c r="G878" s="3" t="n"/>
      <c r="H878" s="3" t="n"/>
      <c r="I878" s="3" t="inlineStr">
        <is>
          <t>1 Unit</t>
        </is>
      </c>
      <c r="J878" s="4" t="n"/>
      <c r="K878" s="3" t="n"/>
      <c r="L878" s="5" t="n"/>
      <c r="M878" s="5" t="n"/>
      <c r="N878" s="3" t="inlineStr">
        <is>
          <t>171 - 02 - 02</t>
        </is>
      </c>
      <c r="O878" s="3" t="n">
        <v>4</v>
      </c>
      <c r="P878" s="5" t="n"/>
      <c r="Q878" s="5" t="n"/>
      <c r="R878" s="3" t="inlineStr">
        <is>
          <t>Baik</t>
        </is>
      </c>
      <c r="S878" s="3" t="inlineStr">
        <is>
          <t>Aktif</t>
        </is>
      </c>
      <c r="T878" s="3" t="n"/>
      <c r="U878" s="3" t="inlineStr">
        <is>
          <t>ASSET TKIA-24 2025(1).xlsx | ASET TKIA</t>
        </is>
      </c>
    </row>
    <row r="879">
      <c r="A879" s="3" t="n">
        <v>876</v>
      </c>
      <c r="B879" s="3" t="inlineStr">
        <is>
          <t>171 - 02 - 02</t>
        </is>
      </c>
      <c r="C879" s="3" t="inlineStr">
        <is>
          <t>TKIA 24 JATIKRAMAT</t>
        </is>
      </c>
      <c r="D879" s="3" t="inlineStr">
        <is>
          <t>I / 3 / PLAYGROUND INDOOR</t>
        </is>
      </c>
      <c r="E879" s="3" t="inlineStr">
        <is>
          <t>Trambolin</t>
        </is>
      </c>
      <c r="F879" s="3" t="inlineStr">
        <is>
          <t>Trambolin</t>
        </is>
      </c>
      <c r="G879" s="3" t="n"/>
      <c r="H879" s="3" t="n"/>
      <c r="I879" s="3" t="inlineStr">
        <is>
          <t>1 Unit</t>
        </is>
      </c>
      <c r="J879" s="4" t="n"/>
      <c r="K879" s="3" t="n"/>
      <c r="L879" s="5" t="n"/>
      <c r="M879" s="5" t="n"/>
      <c r="N879" s="3" t="inlineStr">
        <is>
          <t>171 - 02 - 02</t>
        </is>
      </c>
      <c r="O879" s="3" t="n">
        <v>4</v>
      </c>
      <c r="P879" s="5" t="n"/>
      <c r="Q879" s="5" t="n"/>
      <c r="R879" s="3" t="inlineStr">
        <is>
          <t>Baik</t>
        </is>
      </c>
      <c r="S879" s="3" t="inlineStr">
        <is>
          <t>Aktif</t>
        </is>
      </c>
      <c r="T879" s="3" t="n"/>
      <c r="U879" s="3" t="inlineStr">
        <is>
          <t>ASSET TKIA-24 2025(1).xlsx | ASET TKIA</t>
        </is>
      </c>
    </row>
    <row r="880">
      <c r="A880" s="3" t="n">
        <v>877</v>
      </c>
      <c r="B880" s="3" t="inlineStr">
        <is>
          <t>171 - 02 - 02</t>
        </is>
      </c>
      <c r="C880" s="3" t="inlineStr">
        <is>
          <t>TKIA 24 JATIKRAMAT</t>
        </is>
      </c>
      <c r="D880" s="3" t="inlineStr">
        <is>
          <t>I / 3 / PLAYGROUND INDOOR</t>
        </is>
      </c>
      <c r="E880" s="3" t="inlineStr">
        <is>
          <t>Tangga Kayu</t>
        </is>
      </c>
      <c r="F880" s="3" t="inlineStr">
        <is>
          <t>Tangga Kayu</t>
        </is>
      </c>
      <c r="G880" s="3" t="n"/>
      <c r="H880" s="3" t="n"/>
      <c r="I880" s="3" t="inlineStr">
        <is>
          <t>1 Unit</t>
        </is>
      </c>
      <c r="J880" s="4" t="n"/>
      <c r="K880" s="3" t="n"/>
      <c r="L880" s="5" t="n"/>
      <c r="M880" s="5" t="n"/>
      <c r="N880" s="3" t="inlineStr">
        <is>
          <t>171 - 02 - 02</t>
        </is>
      </c>
      <c r="O880" s="3" t="n">
        <v>4</v>
      </c>
      <c r="P880" s="5" t="n"/>
      <c r="Q880" s="5" t="n"/>
      <c r="R880" s="3" t="inlineStr">
        <is>
          <t>Baik</t>
        </is>
      </c>
      <c r="S880" s="3" t="inlineStr">
        <is>
          <t>Aktif</t>
        </is>
      </c>
      <c r="T880" s="3" t="n"/>
      <c r="U880" s="3" t="inlineStr">
        <is>
          <t>ASSET TKIA-24 2025(1).xlsx | ASET TKIA</t>
        </is>
      </c>
    </row>
    <row r="881">
      <c r="A881" s="3" t="n">
        <v>878</v>
      </c>
      <c r="B881" s="3" t="inlineStr">
        <is>
          <t>171 - 02 - 02</t>
        </is>
      </c>
      <c r="C881" s="3" t="inlineStr">
        <is>
          <t>TKIA 24 JATIKRAMAT</t>
        </is>
      </c>
      <c r="D881" s="3" t="inlineStr">
        <is>
          <t>I / 3 / PLAYGROUND INDOOR</t>
        </is>
      </c>
      <c r="E881" s="3" t="inlineStr">
        <is>
          <t>Pagar Pembatas</t>
        </is>
      </c>
      <c r="F881" s="3" t="inlineStr">
        <is>
          <t>Pagar Pembatas</t>
        </is>
      </c>
      <c r="G881" s="3" t="n"/>
      <c r="H881" s="3" t="n"/>
      <c r="I881" s="3" t="inlineStr">
        <is>
          <t>6 Unit</t>
        </is>
      </c>
      <c r="J881" s="4" t="n"/>
      <c r="K881" s="3" t="n"/>
      <c r="L881" s="5" t="n"/>
      <c r="M881" s="5" t="n"/>
      <c r="N881" s="3" t="inlineStr">
        <is>
          <t>171 - 02 - 02</t>
        </is>
      </c>
      <c r="O881" s="3" t="n">
        <v>4</v>
      </c>
      <c r="P881" s="5" t="n"/>
      <c r="Q881" s="5" t="n"/>
      <c r="R881" s="3" t="inlineStr">
        <is>
          <t>Baik</t>
        </is>
      </c>
      <c r="S881" s="3" t="inlineStr">
        <is>
          <t>Aktif</t>
        </is>
      </c>
      <c r="T881" s="3" t="n"/>
      <c r="U881" s="3" t="inlineStr">
        <is>
          <t>ASSET TKIA-24 2025(1).xlsx | ASET TKIA</t>
        </is>
      </c>
    </row>
    <row r="882">
      <c r="A882" s="3" t="n">
        <v>879</v>
      </c>
      <c r="B882" s="3" t="inlineStr">
        <is>
          <t>171 - 02 - 02</t>
        </is>
      </c>
      <c r="C882" s="3" t="inlineStr">
        <is>
          <t>TKIA 24 JATIKRAMAT</t>
        </is>
      </c>
      <c r="D882" s="3" t="inlineStr">
        <is>
          <t>I / 3 / PLAYGROUND INDOOR</t>
        </is>
      </c>
      <c r="E882" s="3" t="inlineStr">
        <is>
          <t>Partisi pagar</t>
        </is>
      </c>
      <c r="F882" s="3" t="inlineStr">
        <is>
          <t>Partisi pagar</t>
        </is>
      </c>
      <c r="G882" s="3" t="n"/>
      <c r="H882" s="3" t="inlineStr">
        <is>
          <t>120 cm x 300 cm</t>
        </is>
      </c>
      <c r="I882" s="3" t="inlineStr">
        <is>
          <t>4 Unit</t>
        </is>
      </c>
      <c r="J882" s="4" t="n"/>
      <c r="K882" s="3" t="n"/>
      <c r="L882" s="5" t="n"/>
      <c r="M882" s="5" t="n"/>
      <c r="N882" s="3" t="inlineStr">
        <is>
          <t>171 - 02 - 02</t>
        </is>
      </c>
      <c r="O882" s="3" t="n">
        <v>4</v>
      </c>
      <c r="P882" s="5" t="n"/>
      <c r="Q882" s="5" t="n"/>
      <c r="R882" s="3" t="inlineStr">
        <is>
          <t>Baik</t>
        </is>
      </c>
      <c r="S882" s="3" t="inlineStr">
        <is>
          <t>Aktif</t>
        </is>
      </c>
      <c r="T882" s="3" t="n"/>
      <c r="U882" s="3" t="inlineStr">
        <is>
          <t>ASSET TKIA-24 2025(1).xlsx | ASET TKIA</t>
        </is>
      </c>
    </row>
    <row r="883">
      <c r="A883" s="3" t="n">
        <v>880</v>
      </c>
      <c r="B883" s="3" t="inlineStr">
        <is>
          <t>171 - 02 - 02</t>
        </is>
      </c>
      <c r="C883" s="3" t="inlineStr">
        <is>
          <t>TKIA 24 JATIKRAMAT</t>
        </is>
      </c>
      <c r="D883" s="3" t="inlineStr">
        <is>
          <t>I / 3 / PLAYGROUND INDOOR</t>
        </is>
      </c>
      <c r="E883" s="3" t="inlineStr">
        <is>
          <t>Mobil - Mobilan</t>
        </is>
      </c>
      <c r="F883" s="3" t="inlineStr">
        <is>
          <t>Mobil - Mobilan</t>
        </is>
      </c>
      <c r="G883" s="3" t="n"/>
      <c r="H883" s="3" t="n"/>
      <c r="I883" s="3" t="inlineStr">
        <is>
          <t>2 Unit</t>
        </is>
      </c>
      <c r="J883" s="4" t="n"/>
      <c r="K883" s="3" t="n"/>
      <c r="L883" s="5" t="n"/>
      <c r="M883" s="5" t="n"/>
      <c r="N883" s="3" t="inlineStr">
        <is>
          <t>171 - 02 - 02</t>
        </is>
      </c>
      <c r="O883" s="3" t="n">
        <v>4</v>
      </c>
      <c r="P883" s="5" t="n"/>
      <c r="Q883" s="5" t="n"/>
      <c r="R883" s="3" t="inlineStr">
        <is>
          <t>Baik</t>
        </is>
      </c>
      <c r="S883" s="3" t="inlineStr">
        <is>
          <t>Aktif</t>
        </is>
      </c>
      <c r="T883" s="3" t="n"/>
      <c r="U883" s="3" t="inlineStr">
        <is>
          <t>ASSET TKIA-24 2025(1).xlsx | ASET TKIA</t>
        </is>
      </c>
    </row>
    <row r="884">
      <c r="A884" s="3" t="n">
        <v>881</v>
      </c>
      <c r="B884" s="3" t="inlineStr">
        <is>
          <t>171 - 02 - 02</t>
        </is>
      </c>
      <c r="C884" s="3" t="inlineStr">
        <is>
          <t>TKIA 24 JATIKRAMAT</t>
        </is>
      </c>
      <c r="D884" s="3" t="inlineStr">
        <is>
          <t>I / 3 / PLAYGROUND INDOOR</t>
        </is>
      </c>
      <c r="E884" s="3" t="inlineStr">
        <is>
          <t>Scooter</t>
        </is>
      </c>
      <c r="F884" s="3" t="inlineStr">
        <is>
          <t>Scooter</t>
        </is>
      </c>
      <c r="G884" s="3" t="n"/>
      <c r="H884" s="3" t="n"/>
      <c r="I884" s="3" t="inlineStr">
        <is>
          <t>2 Unit</t>
        </is>
      </c>
      <c r="J884" s="4" t="n"/>
      <c r="K884" s="3" t="n"/>
      <c r="L884" s="5" t="n"/>
      <c r="M884" s="5" t="n"/>
      <c r="N884" s="3" t="inlineStr">
        <is>
          <t>171 - 02 - 02</t>
        </is>
      </c>
      <c r="O884" s="3" t="n">
        <v>4</v>
      </c>
      <c r="P884" s="5" t="n"/>
      <c r="Q884" s="5" t="n"/>
      <c r="R884" s="3" t="inlineStr">
        <is>
          <t>Baik</t>
        </is>
      </c>
      <c r="S884" s="3" t="inlineStr">
        <is>
          <t>Aktif</t>
        </is>
      </c>
      <c r="T884" s="3" t="n"/>
      <c r="U884" s="3" t="inlineStr">
        <is>
          <t>ASSET TKIA-24 2025(1).xlsx | ASET TKIA</t>
        </is>
      </c>
    </row>
    <row r="885">
      <c r="A885" s="3" t="n">
        <v>882</v>
      </c>
      <c r="B885" s="3" t="inlineStr">
        <is>
          <t>171 - 03 - 01 - 24</t>
        </is>
      </c>
      <c r="C885" s="3" t="inlineStr">
        <is>
          <t>TKIA 24 JATIKRAMAT</t>
        </is>
      </c>
      <c r="D885" s="3" t="inlineStr">
        <is>
          <t>I / 1 / RUANG TUNGGU</t>
        </is>
      </c>
      <c r="E885" s="3" t="inlineStr">
        <is>
          <t>Bangku Duduk</t>
        </is>
      </c>
      <c r="F885" s="3" t="inlineStr">
        <is>
          <t>Bangku Duduk</t>
        </is>
      </c>
      <c r="G885" s="3" t="inlineStr">
        <is>
          <t>Plastik</t>
        </is>
      </c>
      <c r="H885" s="3" t="inlineStr">
        <is>
          <t>26 cm x 26 cm x 26 cm</t>
        </is>
      </c>
      <c r="I885" s="3" t="inlineStr">
        <is>
          <t>1 Unit</t>
        </is>
      </c>
      <c r="J885" s="4" t="n"/>
      <c r="K885" s="3" t="n"/>
      <c r="L885" s="5" t="n"/>
      <c r="M885" s="5" t="n"/>
      <c r="N885" s="3" t="inlineStr">
        <is>
          <t>171 - 03 - 01 - 24</t>
        </is>
      </c>
      <c r="O885" s="3" t="n">
        <v>4</v>
      </c>
      <c r="P885" s="5" t="n"/>
      <c r="Q885" s="5" t="n"/>
      <c r="R885" s="3" t="inlineStr">
        <is>
          <t>Baik</t>
        </is>
      </c>
      <c r="S885" s="3" t="inlineStr">
        <is>
          <t>Aktif</t>
        </is>
      </c>
      <c r="T885" s="3" t="n"/>
      <c r="U885" s="3" t="inlineStr">
        <is>
          <t>ASSET TKIA-24 2025(1).xlsx | ASET TKIA</t>
        </is>
      </c>
    </row>
    <row r="886">
      <c r="A886" s="3" t="n">
        <v>883</v>
      </c>
      <c r="B886" s="3" t="inlineStr">
        <is>
          <t>171 - 03 - 01 - 24</t>
        </is>
      </c>
      <c r="C886" s="3" t="inlineStr">
        <is>
          <t>TKIA 24 JATIKRAMAT</t>
        </is>
      </c>
      <c r="D886" s="3" t="inlineStr">
        <is>
          <t>I / 1 / RUANG TUNGGU</t>
        </is>
      </c>
      <c r="E886" s="3" t="inlineStr">
        <is>
          <t>Meja</t>
        </is>
      </c>
      <c r="F886" s="3" t="inlineStr">
        <is>
          <t>Meja</t>
        </is>
      </c>
      <c r="G886" s="3" t="inlineStr">
        <is>
          <t>Kayu</t>
        </is>
      </c>
      <c r="H886" s="3" t="inlineStr">
        <is>
          <t>40 cm x 60 cm</t>
        </is>
      </c>
      <c r="I886" s="3" t="inlineStr">
        <is>
          <t>1 Unit</t>
        </is>
      </c>
      <c r="J886" s="4" t="n"/>
      <c r="K886" s="3" t="n"/>
      <c r="L886" s="5" t="n"/>
      <c r="M886" s="5" t="n"/>
      <c r="N886" s="3" t="inlineStr">
        <is>
          <t>171 - 03 - 01 - 24</t>
        </is>
      </c>
      <c r="O886" s="3" t="n">
        <v>4</v>
      </c>
      <c r="P886" s="5" t="n"/>
      <c r="Q886" s="5" t="n"/>
      <c r="R886" s="3" t="inlineStr">
        <is>
          <t>Baik</t>
        </is>
      </c>
      <c r="S886" s="3" t="inlineStr">
        <is>
          <t>Aktif</t>
        </is>
      </c>
      <c r="T886" s="3" t="n"/>
      <c r="U886" s="3" t="inlineStr">
        <is>
          <t>ASSET TKIA-24 2025(1).xlsx | ASET TKIA</t>
        </is>
      </c>
    </row>
    <row r="887">
      <c r="A887" s="3" t="n">
        <v>884</v>
      </c>
      <c r="B887" s="3" t="inlineStr">
        <is>
          <t>171 - 03 - 01 - 24</t>
        </is>
      </c>
      <c r="C887" s="3" t="inlineStr">
        <is>
          <t>TKIA 24 JATIKRAMAT</t>
        </is>
      </c>
      <c r="D887" s="3" t="inlineStr">
        <is>
          <t>I / 1 / RUANG TUNGGU</t>
        </is>
      </c>
      <c r="E887" s="3" t="inlineStr">
        <is>
          <t>Rak Helmet</t>
        </is>
      </c>
      <c r="F887" s="3" t="inlineStr">
        <is>
          <t>Rak Helmet</t>
        </is>
      </c>
      <c r="G887" s="3" t="inlineStr">
        <is>
          <t>Plastik</t>
        </is>
      </c>
      <c r="H887" s="3" t="inlineStr">
        <is>
          <t>120 cm x 100 cm</t>
        </is>
      </c>
      <c r="I887" s="3" t="inlineStr">
        <is>
          <t>1 Unit</t>
        </is>
      </c>
      <c r="J887" s="4" t="n"/>
      <c r="K887" s="3" t="n"/>
      <c r="L887" s="5" t="n"/>
      <c r="M887" s="5" t="n"/>
      <c r="N887" s="3" t="inlineStr">
        <is>
          <t>171 - 03 - 01 - 24</t>
        </is>
      </c>
      <c r="O887" s="3" t="n">
        <v>4</v>
      </c>
      <c r="P887" s="5" t="n"/>
      <c r="Q887" s="5" t="n"/>
      <c r="R887" s="3" t="inlineStr">
        <is>
          <t>Baik</t>
        </is>
      </c>
      <c r="S887" s="3" t="inlineStr">
        <is>
          <t>Aktif</t>
        </is>
      </c>
      <c r="T887" s="3" t="n"/>
      <c r="U887" s="3" t="inlineStr">
        <is>
          <t>ASSET TKIA-24 2025(1).xlsx | ASET TKIA</t>
        </is>
      </c>
    </row>
    <row r="888">
      <c r="A888" s="3" t="n">
        <v>885</v>
      </c>
      <c r="B888" s="3" t="inlineStr">
        <is>
          <t>171 - 03 - 01 - 24</t>
        </is>
      </c>
      <c r="C888" s="3" t="inlineStr">
        <is>
          <t>TKIA 24 JATIKRAMAT</t>
        </is>
      </c>
      <c r="D888" s="3" t="inlineStr">
        <is>
          <t>I / 1 / RUANG TUNGGU</t>
        </is>
      </c>
      <c r="E888" s="3" t="inlineStr">
        <is>
          <t>Alat Cuci Tangan Berdiri - Biru</t>
        </is>
      </c>
      <c r="F888" s="3" t="inlineStr">
        <is>
          <t>Alat Cuci Tangan Berdiri - Biru</t>
        </is>
      </c>
      <c r="G888" s="3" t="inlineStr">
        <is>
          <t>Besi</t>
        </is>
      </c>
      <c r="H888" s="3" t="inlineStr">
        <is>
          <t>Tinggi 100 cm x 50 cm x 40 cm</t>
        </is>
      </c>
      <c r="I888" s="3" t="inlineStr">
        <is>
          <t>1 Unit</t>
        </is>
      </c>
      <c r="J888" s="4" t="n"/>
      <c r="K888" s="3" t="n"/>
      <c r="L888" s="5" t="n"/>
      <c r="M888" s="5" t="n"/>
      <c r="N888" s="3" t="inlineStr">
        <is>
          <t>171 - 03 - 01 - 24</t>
        </is>
      </c>
      <c r="O888" s="3" t="n">
        <v>4</v>
      </c>
      <c r="P888" s="5" t="n"/>
      <c r="Q888" s="5" t="n"/>
      <c r="R888" s="3" t="n"/>
      <c r="S888" s="3" t="inlineStr">
        <is>
          <t>Aktif</t>
        </is>
      </c>
      <c r="T888" s="3" t="n"/>
      <c r="U888" s="3" t="inlineStr">
        <is>
          <t>ASSET TKIA-24 2025(1).xlsx | ASET TKIA</t>
        </is>
      </c>
    </row>
    <row r="889">
      <c r="A889" s="3" t="n">
        <v>886</v>
      </c>
      <c r="B889" s="3" t="inlineStr">
        <is>
          <t>171 - 03 - 01 - 24</t>
        </is>
      </c>
      <c r="C889" s="3" t="inlineStr">
        <is>
          <t>TKIA 24 JATIKRAMAT</t>
        </is>
      </c>
      <c r="D889" s="3" t="inlineStr">
        <is>
          <t>I / 1 / RUANG TUNGGU</t>
        </is>
      </c>
      <c r="E889" s="3" t="inlineStr">
        <is>
          <t>Mading</t>
        </is>
      </c>
      <c r="F889" s="3" t="inlineStr">
        <is>
          <t>Mading</t>
        </is>
      </c>
      <c r="G889" s="3" t="inlineStr">
        <is>
          <t>Kayu</t>
        </is>
      </c>
      <c r="H889" s="3" t="inlineStr">
        <is>
          <t>100 cm 120 cm</t>
        </is>
      </c>
      <c r="I889" s="3" t="inlineStr">
        <is>
          <t>1 Unit</t>
        </is>
      </c>
      <c r="J889" s="4" t="n"/>
      <c r="K889" s="3" t="n"/>
      <c r="L889" s="5" t="n"/>
      <c r="M889" s="5" t="n"/>
      <c r="N889" s="3" t="inlineStr">
        <is>
          <t>171 - 03 - 01 - 24</t>
        </is>
      </c>
      <c r="O889" s="3" t="n">
        <v>4</v>
      </c>
      <c r="P889" s="5" t="n"/>
      <c r="Q889" s="5" t="n"/>
      <c r="R889" s="3" t="n"/>
      <c r="S889" s="3" t="inlineStr">
        <is>
          <t>Aktif</t>
        </is>
      </c>
      <c r="T889" s="3" t="n"/>
      <c r="U889" s="3" t="inlineStr">
        <is>
          <t>ASSET TKIA-24 2025(1).xlsx | ASET TKIA</t>
        </is>
      </c>
    </row>
    <row r="890">
      <c r="A890" s="3" t="n">
        <v>887</v>
      </c>
      <c r="B890" s="3" t="inlineStr">
        <is>
          <t>171 - 03 - 01 - 24</t>
        </is>
      </c>
      <c r="C890" s="3" t="inlineStr">
        <is>
          <t>TKIA 24 JATIKRAMAT</t>
        </is>
      </c>
      <c r="D890" s="3" t="inlineStr">
        <is>
          <t>I / 1 / RUANG TUNGGU</t>
        </is>
      </c>
      <c r="E890" s="3" t="inlineStr">
        <is>
          <t>Ember</t>
        </is>
      </c>
      <c r="F890" s="3" t="inlineStr">
        <is>
          <t>Ember</t>
        </is>
      </c>
      <c r="G890" s="3" t="inlineStr">
        <is>
          <t>Plastik</t>
        </is>
      </c>
      <c r="H890" s="3" t="inlineStr">
        <is>
          <t>Sedang</t>
        </is>
      </c>
      <c r="I890" s="3" t="inlineStr">
        <is>
          <t>1 Unit</t>
        </is>
      </c>
      <c r="J890" s="4" t="n"/>
      <c r="K890" s="3" t="n"/>
      <c r="L890" s="5" t="n"/>
      <c r="M890" s="5" t="n"/>
      <c r="N890" s="3" t="inlineStr">
        <is>
          <t>171 - 03 - 01 - 24</t>
        </is>
      </c>
      <c r="O890" s="3" t="n">
        <v>4</v>
      </c>
      <c r="P890" s="5" t="n"/>
      <c r="Q890" s="5" t="n"/>
      <c r="R890" s="3" t="n"/>
      <c r="S890" s="3" t="inlineStr">
        <is>
          <t>Aktif</t>
        </is>
      </c>
      <c r="T890" s="3" t="n"/>
      <c r="U890" s="3" t="inlineStr">
        <is>
          <t>ASSET TKIA-24 2025(1).xlsx | ASET TKIA</t>
        </is>
      </c>
    </row>
    <row r="891">
      <c r="A891" s="3" t="n">
        <v>888</v>
      </c>
      <c r="B891" s="3" t="inlineStr">
        <is>
          <t>171 - 03 - 01 - 24</t>
        </is>
      </c>
      <c r="C891" s="3" t="inlineStr">
        <is>
          <t>TKIA 24 JATIKRAMAT</t>
        </is>
      </c>
      <c r="D891" s="3" t="inlineStr">
        <is>
          <t>I / 1 / RUANG TUNGGU</t>
        </is>
      </c>
      <c r="E891" s="3" t="inlineStr">
        <is>
          <t>Bak Sampah</t>
        </is>
      </c>
      <c r="F891" s="3" t="inlineStr">
        <is>
          <t>Bak Sampah</t>
        </is>
      </c>
      <c r="G891" s="3" t="inlineStr">
        <is>
          <t>Plastik</t>
        </is>
      </c>
      <c r="H891" s="3" t="inlineStr">
        <is>
          <t>Kecil</t>
        </is>
      </c>
      <c r="I891" s="3" t="inlineStr">
        <is>
          <t>1 Unit</t>
        </is>
      </c>
      <c r="J891" s="4" t="n"/>
      <c r="K891" s="3" t="n"/>
      <c r="L891" s="5" t="n"/>
      <c r="M891" s="5" t="n"/>
      <c r="N891" s="3" t="inlineStr">
        <is>
          <t>171 - 03 - 01 - 24</t>
        </is>
      </c>
      <c r="O891" s="3" t="n">
        <v>4</v>
      </c>
      <c r="P891" s="5" t="n"/>
      <c r="Q891" s="5" t="n"/>
      <c r="R891" s="3" t="inlineStr">
        <is>
          <t>Baik</t>
        </is>
      </c>
      <c r="S891" s="3" t="inlineStr">
        <is>
          <t>Aktif</t>
        </is>
      </c>
      <c r="T891" s="3" t="n"/>
      <c r="U891" s="3" t="inlineStr">
        <is>
          <t>ASSET TKIA-24 2025(1).xlsx | ASET TKIA</t>
        </is>
      </c>
    </row>
    <row r="892">
      <c r="A892" s="3" t="n">
        <v>889</v>
      </c>
      <c r="B892" s="3" t="inlineStr">
        <is>
          <t>171 - 03 - 01 - 24</t>
        </is>
      </c>
      <c r="C892" s="3" t="inlineStr">
        <is>
          <t>TKIA 24 JATIKRAMAT</t>
        </is>
      </c>
      <c r="D892" s="3" t="inlineStr">
        <is>
          <t>I / 1 / RUANG TUNGGU</t>
        </is>
      </c>
      <c r="E892" s="3" t="inlineStr">
        <is>
          <t>Jam Dinding</t>
        </is>
      </c>
      <c r="F892" s="3" t="inlineStr">
        <is>
          <t>Jam Dinding</t>
        </is>
      </c>
      <c r="G892" s="3" t="inlineStr">
        <is>
          <t>Campur</t>
        </is>
      </c>
      <c r="H892" s="3" t="inlineStr">
        <is>
          <t>Diameter 25 cm</t>
        </is>
      </c>
      <c r="I892" s="3" t="inlineStr">
        <is>
          <t>1 Unit</t>
        </is>
      </c>
      <c r="J892" s="4" t="n"/>
      <c r="K892" s="3" t="n"/>
      <c r="L892" s="5" t="n"/>
      <c r="M892" s="5" t="n"/>
      <c r="N892" s="3" t="inlineStr">
        <is>
          <t>171 - 03 - 01 - 24</t>
        </is>
      </c>
      <c r="O892" s="3" t="n">
        <v>4</v>
      </c>
      <c r="P892" s="5" t="n"/>
      <c r="Q892" s="5" t="n"/>
      <c r="R892" s="3" t="inlineStr">
        <is>
          <t>Baik</t>
        </is>
      </c>
      <c r="S892" s="3" t="inlineStr">
        <is>
          <t>Aktif</t>
        </is>
      </c>
      <c r="T892" s="3" t="n"/>
      <c r="U892" s="3" t="inlineStr">
        <is>
          <t>ASSET TKIA-24 2025(1).xlsx | ASET TKIA</t>
        </is>
      </c>
    </row>
    <row r="893">
      <c r="A893" s="3" t="n">
        <v>890</v>
      </c>
      <c r="B893" s="3" t="inlineStr">
        <is>
          <t>171 - 03 - 01 - 24</t>
        </is>
      </c>
      <c r="C893" s="3" t="inlineStr">
        <is>
          <t>TKIA 24 JATIKRAMAT</t>
        </is>
      </c>
      <c r="D893" s="3" t="inlineStr">
        <is>
          <t>I / 1 / RUANG TUNGGU</t>
        </is>
      </c>
      <c r="E893" s="3" t="inlineStr">
        <is>
          <t>Etalase Piala Besar</t>
        </is>
      </c>
      <c r="F893" s="3" t="inlineStr">
        <is>
          <t>Etalase Piala Besar</t>
        </is>
      </c>
      <c r="G893" s="3" t="inlineStr">
        <is>
          <t>Alumunium</t>
        </is>
      </c>
      <c r="H893" s="3" t="inlineStr">
        <is>
          <t>150 x 60 cm</t>
        </is>
      </c>
      <c r="I893" s="3" t="inlineStr">
        <is>
          <t>1 Unit</t>
        </is>
      </c>
      <c r="J893" s="4" t="n"/>
      <c r="K893" s="3" t="n"/>
      <c r="L893" s="5" t="n"/>
      <c r="M893" s="5" t="n"/>
      <c r="N893" s="3" t="inlineStr">
        <is>
          <t>171 - 03 - 01 - 24</t>
        </is>
      </c>
      <c r="O893" s="3" t="n">
        <v>4</v>
      </c>
      <c r="P893" s="5" t="n"/>
      <c r="Q893" s="5" t="n"/>
      <c r="R893" s="3" t="inlineStr">
        <is>
          <t>Baik</t>
        </is>
      </c>
      <c r="S893" s="3" t="inlineStr">
        <is>
          <t>Aktif</t>
        </is>
      </c>
      <c r="T893" s="3" t="n"/>
      <c r="U893" s="3" t="inlineStr">
        <is>
          <t>ASSET TKIA-24 2025(1).xlsx | ASET TKIA</t>
        </is>
      </c>
    </row>
    <row r="894">
      <c r="A894" s="3" t="n">
        <v>891</v>
      </c>
      <c r="B894" s="3" t="inlineStr">
        <is>
          <t>171 - 03 - 01 - 24</t>
        </is>
      </c>
      <c r="C894" s="3" t="inlineStr">
        <is>
          <t>TKIA 24 JATIKRAMAT</t>
        </is>
      </c>
      <c r="D894" s="3" t="inlineStr">
        <is>
          <t>I / 1 / RUANG TUNGGU</t>
        </is>
      </c>
      <c r="E894" s="3" t="inlineStr">
        <is>
          <t>Kursi Tunggu 3 Baris</t>
        </is>
      </c>
      <c r="F894" s="3" t="inlineStr">
        <is>
          <t>Kursi Tunggu 3 Baris</t>
        </is>
      </c>
      <c r="G894" s="3" t="inlineStr">
        <is>
          <t>Besi</t>
        </is>
      </c>
      <c r="H894" s="3" t="inlineStr">
        <is>
          <t>3 Baris</t>
        </is>
      </c>
      <c r="I894" s="3" t="inlineStr">
        <is>
          <t>2 Unit</t>
        </is>
      </c>
      <c r="J894" s="4" t="n"/>
      <c r="K894" s="3" t="n"/>
      <c r="L894" s="5" t="n"/>
      <c r="M894" s="5" t="n"/>
      <c r="N894" s="3" t="inlineStr">
        <is>
          <t>171 - 03 - 01 - 24</t>
        </is>
      </c>
      <c r="O894" s="3" t="n">
        <v>4</v>
      </c>
      <c r="P894" s="5" t="n"/>
      <c r="Q894" s="5" t="n"/>
      <c r="R894" s="3" t="inlineStr">
        <is>
          <t>Baik</t>
        </is>
      </c>
      <c r="S894" s="3" t="inlineStr">
        <is>
          <t>Aktif</t>
        </is>
      </c>
      <c r="T894" s="3" t="n"/>
      <c r="U894" s="3" t="inlineStr">
        <is>
          <t>ASSET TKIA-24 2025(1).xlsx | ASET TKIA</t>
        </is>
      </c>
    </row>
  </sheetData>
  <autoFilter ref="A3:U894"/>
  <mergeCells count="1">
    <mergeCell ref="A1:U1"/>
  </mergeCells>
  <dataValidations count="2">
    <dataValidation sqref="R4:R2000" showDropDown="0" showInputMessage="0" showErrorMessage="0" allowBlank="1" type="list">
      <formula1>"Baik,Kurang Baik,Rusak Ringan,Rusak Berat,Dalam Perbaikan,Hilang"</formula1>
    </dataValidation>
    <dataValidation sqref="S4:S2000" showDropDown="0" showInputMessage="0" showErrorMessage="0" allowBlank="1" type="list">
      <formula1>"Aktif,Tidak Aktif,Dipindahkan,Dihapuskan,Dijual"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6" t="inlineStr">
        <is>
          <t>Dashboard Inventaris Ruangan</t>
        </is>
      </c>
    </row>
    <row r="2"/>
    <row r="3">
      <c r="A3" s="7" t="inlineStr">
        <is>
          <t>Total Baris Data</t>
        </is>
      </c>
      <c r="B3" s="7" t="n">
        <v>891</v>
      </c>
    </row>
    <row r="4">
      <c r="A4" s="7" t="inlineStr">
        <is>
          <t>Total Harga Perolehan</t>
        </is>
      </c>
      <c r="B4" s="8">
        <f>SUM('Data Aset'!M4:M894)</f>
        <v/>
      </c>
    </row>
    <row r="5">
      <c r="A5" s="9" t="n"/>
      <c r="B5" s="9" t="n"/>
    </row>
    <row r="6">
      <c r="A6" s="7" t="inlineStr">
        <is>
          <t>Kategori</t>
        </is>
      </c>
      <c r="B6" s="7" t="inlineStr">
        <is>
          <t>Jumlah</t>
        </is>
      </c>
    </row>
    <row r="7">
      <c r="A7" s="9" t="inlineStr">
        <is>
          <t>Inventaris Ruangan</t>
        </is>
      </c>
      <c r="B7" s="9" t="n">
        <v>891</v>
      </c>
    </row>
    <row r="8"/>
    <row r="9"/>
    <row r="10"/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8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0" t="inlineStr">
        <is>
          <t>No</t>
        </is>
      </c>
      <c r="B1" s="10" t="inlineStr">
        <is>
          <t>Periode Penyusutan</t>
        </is>
      </c>
      <c r="C1" s="10" t="inlineStr">
        <is>
          <t>Kode Aset</t>
        </is>
      </c>
      <c r="D1" s="10" t="inlineStr">
        <is>
          <t>Nama Aset</t>
        </is>
      </c>
      <c r="E1" s="10" t="inlineStr">
        <is>
          <t>Kategori Aset</t>
        </is>
      </c>
      <c r="F1" s="10" t="inlineStr">
        <is>
          <t>Unit</t>
        </is>
      </c>
      <c r="G1" s="10" t="inlineStr">
        <is>
          <t>Tanggal/Tahun Perolehan</t>
        </is>
      </c>
      <c r="H1" s="10" t="inlineStr">
        <is>
          <t>Harga Perolehan</t>
        </is>
      </c>
      <c r="I1" s="10" t="inlineStr">
        <is>
          <t>Umur Manfaat</t>
        </is>
      </c>
      <c r="J1" s="10" t="inlineStr">
        <is>
          <t>Nilai Residu</t>
        </is>
      </c>
      <c r="K1" s="10" t="inlineStr">
        <is>
          <t>Metode Penyusutan</t>
        </is>
      </c>
      <c r="L1" s="10" t="inlineStr">
        <is>
          <t>Beban Penyusutan Bulanan</t>
        </is>
      </c>
      <c r="M1" s="10" t="inlineStr">
        <is>
          <t>Beban Penyusutan Tahunan</t>
        </is>
      </c>
      <c r="N1" s="10" t="inlineStr">
        <is>
          <t>Akumulasi Penyusutan</t>
        </is>
      </c>
      <c r="O1" s="10" t="inlineStr">
        <is>
          <t>Nilai Buku</t>
        </is>
      </c>
      <c r="P1" s="10" t="inlineStr">
        <is>
          <t>Status Penyusutan</t>
        </is>
      </c>
      <c r="Q1" s="10" t="inlineStr">
        <is>
          <t>Keterangan</t>
        </is>
      </c>
    </row>
    <row r="2">
      <c r="A2" s="3" t="n">
        <v>1</v>
      </c>
      <c r="B2" s="3" t="inlineStr">
        <is>
          <t>Desember 2025</t>
        </is>
      </c>
      <c r="C2" s="3">
        <f>'Data Aset'!B4</f>
        <v/>
      </c>
      <c r="D2" s="3">
        <f>'Data Aset'!F4</f>
        <v/>
      </c>
      <c r="E2" s="3" t="inlineStr">
        <is>
          <t>Inventaris Ruangan</t>
        </is>
      </c>
      <c r="F2" s="3">
        <f>'Data Aset'!C4</f>
        <v/>
      </c>
      <c r="G2" s="3">
        <f>'Data Aset'!J4</f>
        <v/>
      </c>
      <c r="H2" s="5">
        <f>'Data Aset'!M4</f>
        <v/>
      </c>
      <c r="I2" s="3">
        <f>'Data Aset'!O4</f>
        <v/>
      </c>
      <c r="J2" s="5" t="n">
        <v>0</v>
      </c>
      <c r="K2" s="3" t="inlineStr">
        <is>
          <t>Garis Lurus</t>
        </is>
      </c>
      <c r="L2" s="5">
        <f>IFERROR(M2/12,"")</f>
        <v/>
      </c>
      <c r="M2" s="5">
        <f>IFERROR((H2-J2)/I2,"")</f>
        <v/>
      </c>
      <c r="N2" s="5">
        <f>IFERROR(M2,"")</f>
        <v/>
      </c>
      <c r="O2" s="5">
        <f>IFERROR(H2-N2,"")</f>
        <v/>
      </c>
      <c r="P2" s="3" t="inlineStr">
        <is>
          <t>Belum dihitung</t>
        </is>
      </c>
      <c r="Q2" s="3" t="n"/>
    </row>
    <row r="3">
      <c r="A3" s="3" t="n">
        <v>2</v>
      </c>
      <c r="B3" s="3" t="inlineStr">
        <is>
          <t>Desember 2025</t>
        </is>
      </c>
      <c r="C3" s="3">
        <f>'Data Aset'!B5</f>
        <v/>
      </c>
      <c r="D3" s="3">
        <f>'Data Aset'!F5</f>
        <v/>
      </c>
      <c r="E3" s="3" t="inlineStr">
        <is>
          <t>Inventaris Ruangan</t>
        </is>
      </c>
      <c r="F3" s="3">
        <f>'Data Aset'!C5</f>
        <v/>
      </c>
      <c r="G3" s="3">
        <f>'Data Aset'!J5</f>
        <v/>
      </c>
      <c r="H3" s="5">
        <f>'Data Aset'!M5</f>
        <v/>
      </c>
      <c r="I3" s="3">
        <f>'Data Aset'!O5</f>
        <v/>
      </c>
      <c r="J3" s="5" t="n">
        <v>0</v>
      </c>
      <c r="K3" s="3" t="inlineStr">
        <is>
          <t>Garis Lurus</t>
        </is>
      </c>
      <c r="L3" s="5">
        <f>IFERROR(M3/12,"")</f>
        <v/>
      </c>
      <c r="M3" s="5">
        <f>IFERROR((H3-J3)/I3,"")</f>
        <v/>
      </c>
      <c r="N3" s="5">
        <f>IFERROR(M3,"")</f>
        <v/>
      </c>
      <c r="O3" s="5">
        <f>IFERROR(H3-N3,"")</f>
        <v/>
      </c>
      <c r="P3" s="3" t="inlineStr">
        <is>
          <t>Belum dihitung</t>
        </is>
      </c>
      <c r="Q3" s="3" t="n"/>
    </row>
    <row r="4">
      <c r="A4" s="3" t="n">
        <v>3</v>
      </c>
      <c r="B4" s="3" t="inlineStr">
        <is>
          <t>Desember 2025</t>
        </is>
      </c>
      <c r="C4" s="3">
        <f>'Data Aset'!B6</f>
        <v/>
      </c>
      <c r="D4" s="3">
        <f>'Data Aset'!F6</f>
        <v/>
      </c>
      <c r="E4" s="3" t="inlineStr">
        <is>
          <t>Inventaris Ruangan</t>
        </is>
      </c>
      <c r="F4" s="3">
        <f>'Data Aset'!C6</f>
        <v/>
      </c>
      <c r="G4" s="3">
        <f>'Data Aset'!J6</f>
        <v/>
      </c>
      <c r="H4" s="5">
        <f>'Data Aset'!M6</f>
        <v/>
      </c>
      <c r="I4" s="3">
        <f>'Data Aset'!O6</f>
        <v/>
      </c>
      <c r="J4" s="5" t="n">
        <v>0</v>
      </c>
      <c r="K4" s="3" t="inlineStr">
        <is>
          <t>Garis Lurus</t>
        </is>
      </c>
      <c r="L4" s="5">
        <f>IFERROR(M4/12,"")</f>
        <v/>
      </c>
      <c r="M4" s="5">
        <f>IFERROR((H4-J4)/I4,"")</f>
        <v/>
      </c>
      <c r="N4" s="5">
        <f>IFERROR(M4,"")</f>
        <v/>
      </c>
      <c r="O4" s="5">
        <f>IFERROR(H4-N4,"")</f>
        <v/>
      </c>
      <c r="P4" s="3" t="inlineStr">
        <is>
          <t>Belum dihitung</t>
        </is>
      </c>
      <c r="Q4" s="3" t="n"/>
    </row>
    <row r="5">
      <c r="A5" s="3" t="n">
        <v>4</v>
      </c>
      <c r="B5" s="3" t="inlineStr">
        <is>
          <t>Desember 2025</t>
        </is>
      </c>
      <c r="C5" s="3">
        <f>'Data Aset'!B7</f>
        <v/>
      </c>
      <c r="D5" s="3">
        <f>'Data Aset'!F7</f>
        <v/>
      </c>
      <c r="E5" s="3" t="inlineStr">
        <is>
          <t>Inventaris Ruangan</t>
        </is>
      </c>
      <c r="F5" s="3">
        <f>'Data Aset'!C7</f>
        <v/>
      </c>
      <c r="G5" s="3">
        <f>'Data Aset'!J7</f>
        <v/>
      </c>
      <c r="H5" s="5">
        <f>'Data Aset'!M7</f>
        <v/>
      </c>
      <c r="I5" s="3">
        <f>'Data Aset'!O7</f>
        <v/>
      </c>
      <c r="J5" s="5" t="n">
        <v>0</v>
      </c>
      <c r="K5" s="3" t="inlineStr">
        <is>
          <t>Garis Lurus</t>
        </is>
      </c>
      <c r="L5" s="5">
        <f>IFERROR(M5/12,"")</f>
        <v/>
      </c>
      <c r="M5" s="5">
        <f>IFERROR((H5-J5)/I5,"")</f>
        <v/>
      </c>
      <c r="N5" s="5">
        <f>IFERROR(M5,"")</f>
        <v/>
      </c>
      <c r="O5" s="5">
        <f>IFERROR(H5-N5,"")</f>
        <v/>
      </c>
      <c r="P5" s="3" t="inlineStr">
        <is>
          <t>Belum dihitung</t>
        </is>
      </c>
      <c r="Q5" s="3" t="n"/>
    </row>
    <row r="6">
      <c r="A6" s="3" t="n">
        <v>5</v>
      </c>
      <c r="B6" s="3" t="inlineStr">
        <is>
          <t>Desember 2025</t>
        </is>
      </c>
      <c r="C6" s="3">
        <f>'Data Aset'!B8</f>
        <v/>
      </c>
      <c r="D6" s="3">
        <f>'Data Aset'!F8</f>
        <v/>
      </c>
      <c r="E6" s="3" t="inlineStr">
        <is>
          <t>Inventaris Ruangan</t>
        </is>
      </c>
      <c r="F6" s="3">
        <f>'Data Aset'!C8</f>
        <v/>
      </c>
      <c r="G6" s="3">
        <f>'Data Aset'!J8</f>
        <v/>
      </c>
      <c r="H6" s="5">
        <f>'Data Aset'!M8</f>
        <v/>
      </c>
      <c r="I6" s="3">
        <f>'Data Aset'!O8</f>
        <v/>
      </c>
      <c r="J6" s="5" t="n">
        <v>0</v>
      </c>
      <c r="K6" s="3" t="inlineStr">
        <is>
          <t>Garis Lurus</t>
        </is>
      </c>
      <c r="L6" s="5">
        <f>IFERROR(M6/12,"")</f>
        <v/>
      </c>
      <c r="M6" s="5">
        <f>IFERROR((H6-J6)/I6,"")</f>
        <v/>
      </c>
      <c r="N6" s="5">
        <f>IFERROR(M6,"")</f>
        <v/>
      </c>
      <c r="O6" s="5">
        <f>IFERROR(H6-N6,"")</f>
        <v/>
      </c>
      <c r="P6" s="3" t="inlineStr">
        <is>
          <t>Belum dihitung</t>
        </is>
      </c>
      <c r="Q6" s="3" t="n"/>
    </row>
    <row r="7">
      <c r="A7" s="3" t="n">
        <v>6</v>
      </c>
      <c r="B7" s="3" t="inlineStr">
        <is>
          <t>Desember 2025</t>
        </is>
      </c>
      <c r="C7" s="3">
        <f>'Data Aset'!B9</f>
        <v/>
      </c>
      <c r="D7" s="3">
        <f>'Data Aset'!F9</f>
        <v/>
      </c>
      <c r="E7" s="3" t="inlineStr">
        <is>
          <t>Inventaris Ruangan</t>
        </is>
      </c>
      <c r="F7" s="3">
        <f>'Data Aset'!C9</f>
        <v/>
      </c>
      <c r="G7" s="3">
        <f>'Data Aset'!J9</f>
        <v/>
      </c>
      <c r="H7" s="5">
        <f>'Data Aset'!M9</f>
        <v/>
      </c>
      <c r="I7" s="3">
        <f>'Data Aset'!O9</f>
        <v/>
      </c>
      <c r="J7" s="5" t="n">
        <v>0</v>
      </c>
      <c r="K7" s="3" t="inlineStr">
        <is>
          <t>Garis Lurus</t>
        </is>
      </c>
      <c r="L7" s="5">
        <f>IFERROR(M7/12,"")</f>
        <v/>
      </c>
      <c r="M7" s="5">
        <f>IFERROR((H7-J7)/I7,"")</f>
        <v/>
      </c>
      <c r="N7" s="5">
        <f>IFERROR(M7,"")</f>
        <v/>
      </c>
      <c r="O7" s="5">
        <f>IFERROR(H7-N7,"")</f>
        <v/>
      </c>
      <c r="P7" s="3" t="inlineStr">
        <is>
          <t>Belum dihitung</t>
        </is>
      </c>
      <c r="Q7" s="3" t="n"/>
    </row>
    <row r="8">
      <c r="A8" s="3" t="n">
        <v>7</v>
      </c>
      <c r="B8" s="3" t="inlineStr">
        <is>
          <t>Desember 2025</t>
        </is>
      </c>
      <c r="C8" s="3">
        <f>'Data Aset'!B10</f>
        <v/>
      </c>
      <c r="D8" s="3">
        <f>'Data Aset'!F10</f>
        <v/>
      </c>
      <c r="E8" s="3" t="inlineStr">
        <is>
          <t>Inventaris Ruangan</t>
        </is>
      </c>
      <c r="F8" s="3">
        <f>'Data Aset'!C10</f>
        <v/>
      </c>
      <c r="G8" s="3">
        <f>'Data Aset'!J10</f>
        <v/>
      </c>
      <c r="H8" s="5">
        <f>'Data Aset'!M10</f>
        <v/>
      </c>
      <c r="I8" s="3">
        <f>'Data Aset'!O10</f>
        <v/>
      </c>
      <c r="J8" s="5" t="n">
        <v>0</v>
      </c>
      <c r="K8" s="3" t="inlineStr">
        <is>
          <t>Garis Lurus</t>
        </is>
      </c>
      <c r="L8" s="5">
        <f>IFERROR(M8/12,"")</f>
        <v/>
      </c>
      <c r="M8" s="5">
        <f>IFERROR((H8-J8)/I8,"")</f>
        <v/>
      </c>
      <c r="N8" s="5">
        <f>IFERROR(M8,"")</f>
        <v/>
      </c>
      <c r="O8" s="5">
        <f>IFERROR(H8-N8,"")</f>
        <v/>
      </c>
      <c r="P8" s="3" t="inlineStr">
        <is>
          <t>Belum dihitung</t>
        </is>
      </c>
      <c r="Q8" s="3" t="n"/>
    </row>
    <row r="9">
      <c r="A9" s="3" t="n">
        <v>8</v>
      </c>
      <c r="B9" s="3" t="inlineStr">
        <is>
          <t>Desember 2025</t>
        </is>
      </c>
      <c r="C9" s="3">
        <f>'Data Aset'!B11</f>
        <v/>
      </c>
      <c r="D9" s="3">
        <f>'Data Aset'!F11</f>
        <v/>
      </c>
      <c r="E9" s="3" t="inlineStr">
        <is>
          <t>Inventaris Ruangan</t>
        </is>
      </c>
      <c r="F9" s="3">
        <f>'Data Aset'!C11</f>
        <v/>
      </c>
      <c r="G9" s="3">
        <f>'Data Aset'!J11</f>
        <v/>
      </c>
      <c r="H9" s="5">
        <f>'Data Aset'!M11</f>
        <v/>
      </c>
      <c r="I9" s="3">
        <f>'Data Aset'!O11</f>
        <v/>
      </c>
      <c r="J9" s="5" t="n">
        <v>0</v>
      </c>
      <c r="K9" s="3" t="inlineStr">
        <is>
          <t>Garis Lurus</t>
        </is>
      </c>
      <c r="L9" s="5">
        <f>IFERROR(M9/12,"")</f>
        <v/>
      </c>
      <c r="M9" s="5">
        <f>IFERROR((H9-J9)/I9,"")</f>
        <v/>
      </c>
      <c r="N9" s="5">
        <f>IFERROR(M9,"")</f>
        <v/>
      </c>
      <c r="O9" s="5">
        <f>IFERROR(H9-N9,"")</f>
        <v/>
      </c>
      <c r="P9" s="3" t="inlineStr">
        <is>
          <t>Belum dihitung</t>
        </is>
      </c>
      <c r="Q9" s="3" t="n"/>
    </row>
    <row r="10">
      <c r="A10" s="3" t="n">
        <v>9</v>
      </c>
      <c r="B10" s="3" t="inlineStr">
        <is>
          <t>Desember 2025</t>
        </is>
      </c>
      <c r="C10" s="3">
        <f>'Data Aset'!B12</f>
        <v/>
      </c>
      <c r="D10" s="3">
        <f>'Data Aset'!F12</f>
        <v/>
      </c>
      <c r="E10" s="3" t="inlineStr">
        <is>
          <t>Inventaris Ruangan</t>
        </is>
      </c>
      <c r="F10" s="3">
        <f>'Data Aset'!C12</f>
        <v/>
      </c>
      <c r="G10" s="3">
        <f>'Data Aset'!J12</f>
        <v/>
      </c>
      <c r="H10" s="5">
        <f>'Data Aset'!M12</f>
        <v/>
      </c>
      <c r="I10" s="3">
        <f>'Data Aset'!O12</f>
        <v/>
      </c>
      <c r="J10" s="5" t="n">
        <v>0</v>
      </c>
      <c r="K10" s="3" t="inlineStr">
        <is>
          <t>Garis Lurus</t>
        </is>
      </c>
      <c r="L10" s="5">
        <f>IFERROR(M10/12,"")</f>
        <v/>
      </c>
      <c r="M10" s="5">
        <f>IFERROR((H10-J10)/I10,"")</f>
        <v/>
      </c>
      <c r="N10" s="5">
        <f>IFERROR(M10,"")</f>
        <v/>
      </c>
      <c r="O10" s="5">
        <f>IFERROR(H10-N10,"")</f>
        <v/>
      </c>
      <c r="P10" s="3" t="inlineStr">
        <is>
          <t>Belum dihitung</t>
        </is>
      </c>
      <c r="Q10" s="3" t="n"/>
    </row>
    <row r="11">
      <c r="A11" s="3" t="n">
        <v>10</v>
      </c>
      <c r="B11" s="3" t="inlineStr">
        <is>
          <t>Desember 2025</t>
        </is>
      </c>
      <c r="C11" s="3">
        <f>'Data Aset'!B13</f>
        <v/>
      </c>
      <c r="D11" s="3">
        <f>'Data Aset'!F13</f>
        <v/>
      </c>
      <c r="E11" s="3" t="inlineStr">
        <is>
          <t>Inventaris Ruangan</t>
        </is>
      </c>
      <c r="F11" s="3">
        <f>'Data Aset'!C13</f>
        <v/>
      </c>
      <c r="G11" s="3">
        <f>'Data Aset'!J13</f>
        <v/>
      </c>
      <c r="H11" s="5">
        <f>'Data Aset'!M13</f>
        <v/>
      </c>
      <c r="I11" s="3">
        <f>'Data Aset'!O13</f>
        <v/>
      </c>
      <c r="J11" s="5" t="n">
        <v>0</v>
      </c>
      <c r="K11" s="3" t="inlineStr">
        <is>
          <t>Garis Lurus</t>
        </is>
      </c>
      <c r="L11" s="5">
        <f>IFERROR(M11/12,"")</f>
        <v/>
      </c>
      <c r="M11" s="5">
        <f>IFERROR((H11-J11)/I11,"")</f>
        <v/>
      </c>
      <c r="N11" s="5">
        <f>IFERROR(M11,"")</f>
        <v/>
      </c>
      <c r="O11" s="5">
        <f>IFERROR(H11-N11,"")</f>
        <v/>
      </c>
      <c r="P11" s="3" t="inlineStr">
        <is>
          <t>Belum dihitung</t>
        </is>
      </c>
      <c r="Q11" s="3" t="n"/>
    </row>
    <row r="12">
      <c r="A12" s="3" t="n">
        <v>11</v>
      </c>
      <c r="B12" s="3" t="inlineStr">
        <is>
          <t>Desember 2025</t>
        </is>
      </c>
      <c r="C12" s="3">
        <f>'Data Aset'!B14</f>
        <v/>
      </c>
      <c r="D12" s="3">
        <f>'Data Aset'!F14</f>
        <v/>
      </c>
      <c r="E12" s="3" t="inlineStr">
        <is>
          <t>Inventaris Ruangan</t>
        </is>
      </c>
      <c r="F12" s="3">
        <f>'Data Aset'!C14</f>
        <v/>
      </c>
      <c r="G12" s="3">
        <f>'Data Aset'!J14</f>
        <v/>
      </c>
      <c r="H12" s="5">
        <f>'Data Aset'!M14</f>
        <v/>
      </c>
      <c r="I12" s="3">
        <f>'Data Aset'!O14</f>
        <v/>
      </c>
      <c r="J12" s="5" t="n">
        <v>0</v>
      </c>
      <c r="K12" s="3" t="inlineStr">
        <is>
          <t>Garis Lurus</t>
        </is>
      </c>
      <c r="L12" s="5">
        <f>IFERROR(M12/12,"")</f>
        <v/>
      </c>
      <c r="M12" s="5">
        <f>IFERROR((H12-J12)/I12,"")</f>
        <v/>
      </c>
      <c r="N12" s="5">
        <f>IFERROR(M12,"")</f>
        <v/>
      </c>
      <c r="O12" s="5">
        <f>IFERROR(H12-N12,"")</f>
        <v/>
      </c>
      <c r="P12" s="3" t="inlineStr">
        <is>
          <t>Belum dihitung</t>
        </is>
      </c>
      <c r="Q12" s="3" t="n"/>
    </row>
    <row r="13">
      <c r="A13" s="3" t="n">
        <v>12</v>
      </c>
      <c r="B13" s="3" t="inlineStr">
        <is>
          <t>Desember 2025</t>
        </is>
      </c>
      <c r="C13" s="3">
        <f>'Data Aset'!B15</f>
        <v/>
      </c>
      <c r="D13" s="3">
        <f>'Data Aset'!F15</f>
        <v/>
      </c>
      <c r="E13" s="3" t="inlineStr">
        <is>
          <t>Inventaris Ruangan</t>
        </is>
      </c>
      <c r="F13" s="3">
        <f>'Data Aset'!C15</f>
        <v/>
      </c>
      <c r="G13" s="3">
        <f>'Data Aset'!J15</f>
        <v/>
      </c>
      <c r="H13" s="5">
        <f>'Data Aset'!M15</f>
        <v/>
      </c>
      <c r="I13" s="3">
        <f>'Data Aset'!O15</f>
        <v/>
      </c>
      <c r="J13" s="5" t="n">
        <v>0</v>
      </c>
      <c r="K13" s="3" t="inlineStr">
        <is>
          <t>Garis Lurus</t>
        </is>
      </c>
      <c r="L13" s="5">
        <f>IFERROR(M13/12,"")</f>
        <v/>
      </c>
      <c r="M13" s="5">
        <f>IFERROR((H13-J13)/I13,"")</f>
        <v/>
      </c>
      <c r="N13" s="5">
        <f>IFERROR(M13,"")</f>
        <v/>
      </c>
      <c r="O13" s="5">
        <f>IFERROR(H13-N13,"")</f>
        <v/>
      </c>
      <c r="P13" s="3" t="inlineStr">
        <is>
          <t>Belum dihitung</t>
        </is>
      </c>
      <c r="Q13" s="3" t="n"/>
    </row>
    <row r="14">
      <c r="A14" s="3" t="n">
        <v>13</v>
      </c>
      <c r="B14" s="3" t="inlineStr">
        <is>
          <t>Desember 2025</t>
        </is>
      </c>
      <c r="C14" s="3">
        <f>'Data Aset'!B16</f>
        <v/>
      </c>
      <c r="D14" s="3">
        <f>'Data Aset'!F16</f>
        <v/>
      </c>
      <c r="E14" s="3" t="inlineStr">
        <is>
          <t>Inventaris Ruangan</t>
        </is>
      </c>
      <c r="F14" s="3">
        <f>'Data Aset'!C16</f>
        <v/>
      </c>
      <c r="G14" s="3">
        <f>'Data Aset'!J16</f>
        <v/>
      </c>
      <c r="H14" s="5">
        <f>'Data Aset'!M16</f>
        <v/>
      </c>
      <c r="I14" s="3">
        <f>'Data Aset'!O16</f>
        <v/>
      </c>
      <c r="J14" s="5" t="n">
        <v>0</v>
      </c>
      <c r="K14" s="3" t="inlineStr">
        <is>
          <t>Garis Lurus</t>
        </is>
      </c>
      <c r="L14" s="5">
        <f>IFERROR(M14/12,"")</f>
        <v/>
      </c>
      <c r="M14" s="5">
        <f>IFERROR((H14-J14)/I14,"")</f>
        <v/>
      </c>
      <c r="N14" s="5">
        <f>IFERROR(M14,"")</f>
        <v/>
      </c>
      <c r="O14" s="5">
        <f>IFERROR(H14-N14,"")</f>
        <v/>
      </c>
      <c r="P14" s="3" t="inlineStr">
        <is>
          <t>Belum dihitung</t>
        </is>
      </c>
      <c r="Q14" s="3" t="n"/>
    </row>
    <row r="15">
      <c r="A15" s="3" t="n">
        <v>14</v>
      </c>
      <c r="B15" s="3" t="inlineStr">
        <is>
          <t>Desember 2025</t>
        </is>
      </c>
      <c r="C15" s="3">
        <f>'Data Aset'!B17</f>
        <v/>
      </c>
      <c r="D15" s="3">
        <f>'Data Aset'!F17</f>
        <v/>
      </c>
      <c r="E15" s="3" t="inlineStr">
        <is>
          <t>Inventaris Ruangan</t>
        </is>
      </c>
      <c r="F15" s="3">
        <f>'Data Aset'!C17</f>
        <v/>
      </c>
      <c r="G15" s="3">
        <f>'Data Aset'!J17</f>
        <v/>
      </c>
      <c r="H15" s="5">
        <f>'Data Aset'!M17</f>
        <v/>
      </c>
      <c r="I15" s="3">
        <f>'Data Aset'!O17</f>
        <v/>
      </c>
      <c r="J15" s="5" t="n">
        <v>0</v>
      </c>
      <c r="K15" s="3" t="inlineStr">
        <is>
          <t>Garis Lurus</t>
        </is>
      </c>
      <c r="L15" s="5">
        <f>IFERROR(M15/12,"")</f>
        <v/>
      </c>
      <c r="M15" s="5">
        <f>IFERROR((H15-J15)/I15,"")</f>
        <v/>
      </c>
      <c r="N15" s="5">
        <f>IFERROR(M15,"")</f>
        <v/>
      </c>
      <c r="O15" s="5">
        <f>IFERROR(H15-N15,"")</f>
        <v/>
      </c>
      <c r="P15" s="3" t="inlineStr">
        <is>
          <t>Belum dihitung</t>
        </is>
      </c>
      <c r="Q15" s="3" t="n"/>
    </row>
    <row r="16">
      <c r="A16" s="3" t="n">
        <v>15</v>
      </c>
      <c r="B16" s="3" t="inlineStr">
        <is>
          <t>Desember 2025</t>
        </is>
      </c>
      <c r="C16" s="3">
        <f>'Data Aset'!B18</f>
        <v/>
      </c>
      <c r="D16" s="3">
        <f>'Data Aset'!F18</f>
        <v/>
      </c>
      <c r="E16" s="3" t="inlineStr">
        <is>
          <t>Inventaris Ruangan</t>
        </is>
      </c>
      <c r="F16" s="3">
        <f>'Data Aset'!C18</f>
        <v/>
      </c>
      <c r="G16" s="3">
        <f>'Data Aset'!J18</f>
        <v/>
      </c>
      <c r="H16" s="5">
        <f>'Data Aset'!M18</f>
        <v/>
      </c>
      <c r="I16" s="3">
        <f>'Data Aset'!O18</f>
        <v/>
      </c>
      <c r="J16" s="5" t="n">
        <v>0</v>
      </c>
      <c r="K16" s="3" t="inlineStr">
        <is>
          <t>Garis Lurus</t>
        </is>
      </c>
      <c r="L16" s="5">
        <f>IFERROR(M16/12,"")</f>
        <v/>
      </c>
      <c r="M16" s="5">
        <f>IFERROR((H16-J16)/I16,"")</f>
        <v/>
      </c>
      <c r="N16" s="5">
        <f>IFERROR(M16,"")</f>
        <v/>
      </c>
      <c r="O16" s="5">
        <f>IFERROR(H16-N16,"")</f>
        <v/>
      </c>
      <c r="P16" s="3" t="inlineStr">
        <is>
          <t>Belum dihitung</t>
        </is>
      </c>
      <c r="Q16" s="3" t="n"/>
    </row>
    <row r="17">
      <c r="A17" s="3" t="n">
        <v>16</v>
      </c>
      <c r="B17" s="3" t="inlineStr">
        <is>
          <t>Desember 2025</t>
        </is>
      </c>
      <c r="C17" s="3">
        <f>'Data Aset'!B19</f>
        <v/>
      </c>
      <c r="D17" s="3">
        <f>'Data Aset'!F19</f>
        <v/>
      </c>
      <c r="E17" s="3" t="inlineStr">
        <is>
          <t>Inventaris Ruangan</t>
        </is>
      </c>
      <c r="F17" s="3">
        <f>'Data Aset'!C19</f>
        <v/>
      </c>
      <c r="G17" s="3">
        <f>'Data Aset'!J19</f>
        <v/>
      </c>
      <c r="H17" s="5">
        <f>'Data Aset'!M19</f>
        <v/>
      </c>
      <c r="I17" s="3">
        <f>'Data Aset'!O19</f>
        <v/>
      </c>
      <c r="J17" s="5" t="n">
        <v>0</v>
      </c>
      <c r="K17" s="3" t="inlineStr">
        <is>
          <t>Garis Lurus</t>
        </is>
      </c>
      <c r="L17" s="5">
        <f>IFERROR(M17/12,"")</f>
        <v/>
      </c>
      <c r="M17" s="5">
        <f>IFERROR((H17-J17)/I17,"")</f>
        <v/>
      </c>
      <c r="N17" s="5">
        <f>IFERROR(M17,"")</f>
        <v/>
      </c>
      <c r="O17" s="5">
        <f>IFERROR(H17-N17,"")</f>
        <v/>
      </c>
      <c r="P17" s="3" t="inlineStr">
        <is>
          <t>Belum dihitung</t>
        </is>
      </c>
      <c r="Q17" s="3" t="n"/>
    </row>
    <row r="18">
      <c r="A18" s="3" t="n">
        <v>17</v>
      </c>
      <c r="B18" s="3" t="inlineStr">
        <is>
          <t>Desember 2025</t>
        </is>
      </c>
      <c r="C18" s="3">
        <f>'Data Aset'!B20</f>
        <v/>
      </c>
      <c r="D18" s="3">
        <f>'Data Aset'!F20</f>
        <v/>
      </c>
      <c r="E18" s="3" t="inlineStr">
        <is>
          <t>Inventaris Ruangan</t>
        </is>
      </c>
      <c r="F18" s="3">
        <f>'Data Aset'!C20</f>
        <v/>
      </c>
      <c r="G18" s="3">
        <f>'Data Aset'!J20</f>
        <v/>
      </c>
      <c r="H18" s="5">
        <f>'Data Aset'!M20</f>
        <v/>
      </c>
      <c r="I18" s="3">
        <f>'Data Aset'!O20</f>
        <v/>
      </c>
      <c r="J18" s="5" t="n">
        <v>0</v>
      </c>
      <c r="K18" s="3" t="inlineStr">
        <is>
          <t>Garis Lurus</t>
        </is>
      </c>
      <c r="L18" s="5">
        <f>IFERROR(M18/12,"")</f>
        <v/>
      </c>
      <c r="M18" s="5">
        <f>IFERROR((H18-J18)/I18,"")</f>
        <v/>
      </c>
      <c r="N18" s="5">
        <f>IFERROR(M18,"")</f>
        <v/>
      </c>
      <c r="O18" s="5">
        <f>IFERROR(H18-N18,"")</f>
        <v/>
      </c>
      <c r="P18" s="3" t="inlineStr">
        <is>
          <t>Belum dihitung</t>
        </is>
      </c>
      <c r="Q18" s="3" t="n"/>
    </row>
    <row r="19">
      <c r="A19" s="3" t="n">
        <v>18</v>
      </c>
      <c r="B19" s="3" t="inlineStr">
        <is>
          <t>Desember 2025</t>
        </is>
      </c>
      <c r="C19" s="3">
        <f>'Data Aset'!B21</f>
        <v/>
      </c>
      <c r="D19" s="3">
        <f>'Data Aset'!F21</f>
        <v/>
      </c>
      <c r="E19" s="3" t="inlineStr">
        <is>
          <t>Inventaris Ruangan</t>
        </is>
      </c>
      <c r="F19" s="3">
        <f>'Data Aset'!C21</f>
        <v/>
      </c>
      <c r="G19" s="3">
        <f>'Data Aset'!J21</f>
        <v/>
      </c>
      <c r="H19" s="5">
        <f>'Data Aset'!M21</f>
        <v/>
      </c>
      <c r="I19" s="3">
        <f>'Data Aset'!O21</f>
        <v/>
      </c>
      <c r="J19" s="5" t="n">
        <v>0</v>
      </c>
      <c r="K19" s="3" t="inlineStr">
        <is>
          <t>Garis Lurus</t>
        </is>
      </c>
      <c r="L19" s="5">
        <f>IFERROR(M19/12,"")</f>
        <v/>
      </c>
      <c r="M19" s="5">
        <f>IFERROR((H19-J19)/I19,"")</f>
        <v/>
      </c>
      <c r="N19" s="5">
        <f>IFERROR(M19,"")</f>
        <v/>
      </c>
      <c r="O19" s="5">
        <f>IFERROR(H19-N19,"")</f>
        <v/>
      </c>
      <c r="P19" s="3" t="inlineStr">
        <is>
          <t>Belum dihitung</t>
        </is>
      </c>
      <c r="Q19" s="3" t="n"/>
    </row>
    <row r="20">
      <c r="A20" s="3" t="n">
        <v>19</v>
      </c>
      <c r="B20" s="3" t="inlineStr">
        <is>
          <t>Desember 2025</t>
        </is>
      </c>
      <c r="C20" s="3">
        <f>'Data Aset'!B22</f>
        <v/>
      </c>
      <c r="D20" s="3">
        <f>'Data Aset'!F22</f>
        <v/>
      </c>
      <c r="E20" s="3" t="inlineStr">
        <is>
          <t>Inventaris Ruangan</t>
        </is>
      </c>
      <c r="F20" s="3">
        <f>'Data Aset'!C22</f>
        <v/>
      </c>
      <c r="G20" s="3">
        <f>'Data Aset'!J22</f>
        <v/>
      </c>
      <c r="H20" s="5">
        <f>'Data Aset'!M22</f>
        <v/>
      </c>
      <c r="I20" s="3">
        <f>'Data Aset'!O22</f>
        <v/>
      </c>
      <c r="J20" s="5" t="n">
        <v>0</v>
      </c>
      <c r="K20" s="3" t="inlineStr">
        <is>
          <t>Garis Lurus</t>
        </is>
      </c>
      <c r="L20" s="5">
        <f>IFERROR(M20/12,"")</f>
        <v/>
      </c>
      <c r="M20" s="5">
        <f>IFERROR((H20-J20)/I20,"")</f>
        <v/>
      </c>
      <c r="N20" s="5">
        <f>IFERROR(M20,"")</f>
        <v/>
      </c>
      <c r="O20" s="5">
        <f>IFERROR(H20-N20,"")</f>
        <v/>
      </c>
      <c r="P20" s="3" t="inlineStr">
        <is>
          <t>Belum dihitung</t>
        </is>
      </c>
      <c r="Q20" s="3" t="n"/>
    </row>
    <row r="21">
      <c r="A21" s="3" t="n">
        <v>20</v>
      </c>
      <c r="B21" s="3" t="inlineStr">
        <is>
          <t>Desember 2025</t>
        </is>
      </c>
      <c r="C21" s="3">
        <f>'Data Aset'!B23</f>
        <v/>
      </c>
      <c r="D21" s="3">
        <f>'Data Aset'!F23</f>
        <v/>
      </c>
      <c r="E21" s="3" t="inlineStr">
        <is>
          <t>Inventaris Ruangan</t>
        </is>
      </c>
      <c r="F21" s="3">
        <f>'Data Aset'!C23</f>
        <v/>
      </c>
      <c r="G21" s="3">
        <f>'Data Aset'!J23</f>
        <v/>
      </c>
      <c r="H21" s="5">
        <f>'Data Aset'!M23</f>
        <v/>
      </c>
      <c r="I21" s="3">
        <f>'Data Aset'!O23</f>
        <v/>
      </c>
      <c r="J21" s="5" t="n">
        <v>0</v>
      </c>
      <c r="K21" s="3" t="inlineStr">
        <is>
          <t>Garis Lurus</t>
        </is>
      </c>
      <c r="L21" s="5">
        <f>IFERROR(M21/12,"")</f>
        <v/>
      </c>
      <c r="M21" s="5">
        <f>IFERROR((H21-J21)/I21,"")</f>
        <v/>
      </c>
      <c r="N21" s="5">
        <f>IFERROR(M21,"")</f>
        <v/>
      </c>
      <c r="O21" s="5">
        <f>IFERROR(H21-N21,"")</f>
        <v/>
      </c>
      <c r="P21" s="3" t="inlineStr">
        <is>
          <t>Belum dihitung</t>
        </is>
      </c>
      <c r="Q21" s="3" t="n"/>
    </row>
    <row r="22">
      <c r="A22" s="3" t="n">
        <v>21</v>
      </c>
      <c r="B22" s="3" t="inlineStr">
        <is>
          <t>Desember 2025</t>
        </is>
      </c>
      <c r="C22" s="3">
        <f>'Data Aset'!B24</f>
        <v/>
      </c>
      <c r="D22" s="3">
        <f>'Data Aset'!F24</f>
        <v/>
      </c>
      <c r="E22" s="3" t="inlineStr">
        <is>
          <t>Inventaris Ruangan</t>
        </is>
      </c>
      <c r="F22" s="3">
        <f>'Data Aset'!C24</f>
        <v/>
      </c>
      <c r="G22" s="3">
        <f>'Data Aset'!J24</f>
        <v/>
      </c>
      <c r="H22" s="5">
        <f>'Data Aset'!M24</f>
        <v/>
      </c>
      <c r="I22" s="3">
        <f>'Data Aset'!O24</f>
        <v/>
      </c>
      <c r="J22" s="5" t="n">
        <v>0</v>
      </c>
      <c r="K22" s="3" t="inlineStr">
        <is>
          <t>Garis Lurus</t>
        </is>
      </c>
      <c r="L22" s="5">
        <f>IFERROR(M22/12,"")</f>
        <v/>
      </c>
      <c r="M22" s="5">
        <f>IFERROR((H22-J22)/I22,"")</f>
        <v/>
      </c>
      <c r="N22" s="5">
        <f>IFERROR(M22,"")</f>
        <v/>
      </c>
      <c r="O22" s="5">
        <f>IFERROR(H22-N22,"")</f>
        <v/>
      </c>
      <c r="P22" s="3" t="inlineStr">
        <is>
          <t>Belum dihitung</t>
        </is>
      </c>
      <c r="Q22" s="3" t="n"/>
    </row>
    <row r="23">
      <c r="A23" s="3" t="n">
        <v>22</v>
      </c>
      <c r="B23" s="3" t="inlineStr">
        <is>
          <t>Desember 2025</t>
        </is>
      </c>
      <c r="C23" s="3">
        <f>'Data Aset'!B25</f>
        <v/>
      </c>
      <c r="D23" s="3">
        <f>'Data Aset'!F25</f>
        <v/>
      </c>
      <c r="E23" s="3" t="inlineStr">
        <is>
          <t>Inventaris Ruangan</t>
        </is>
      </c>
      <c r="F23" s="3">
        <f>'Data Aset'!C25</f>
        <v/>
      </c>
      <c r="G23" s="3">
        <f>'Data Aset'!J25</f>
        <v/>
      </c>
      <c r="H23" s="5">
        <f>'Data Aset'!M25</f>
        <v/>
      </c>
      <c r="I23" s="3">
        <f>'Data Aset'!O25</f>
        <v/>
      </c>
      <c r="J23" s="5" t="n">
        <v>0</v>
      </c>
      <c r="K23" s="3" t="inlineStr">
        <is>
          <t>Garis Lurus</t>
        </is>
      </c>
      <c r="L23" s="5">
        <f>IFERROR(M23/12,"")</f>
        <v/>
      </c>
      <c r="M23" s="5">
        <f>IFERROR((H23-J23)/I23,"")</f>
        <v/>
      </c>
      <c r="N23" s="5">
        <f>IFERROR(M23,"")</f>
        <v/>
      </c>
      <c r="O23" s="5">
        <f>IFERROR(H23-N23,"")</f>
        <v/>
      </c>
      <c r="P23" s="3" t="inlineStr">
        <is>
          <t>Belum dihitung</t>
        </is>
      </c>
      <c r="Q23" s="3" t="n"/>
    </row>
    <row r="24">
      <c r="A24" s="3" t="n">
        <v>23</v>
      </c>
      <c r="B24" s="3" t="inlineStr">
        <is>
          <t>Desember 2025</t>
        </is>
      </c>
      <c r="C24" s="3">
        <f>'Data Aset'!B26</f>
        <v/>
      </c>
      <c r="D24" s="3">
        <f>'Data Aset'!F26</f>
        <v/>
      </c>
      <c r="E24" s="3" t="inlineStr">
        <is>
          <t>Inventaris Ruangan</t>
        </is>
      </c>
      <c r="F24" s="3">
        <f>'Data Aset'!C26</f>
        <v/>
      </c>
      <c r="G24" s="3">
        <f>'Data Aset'!J26</f>
        <v/>
      </c>
      <c r="H24" s="5">
        <f>'Data Aset'!M26</f>
        <v/>
      </c>
      <c r="I24" s="3">
        <f>'Data Aset'!O26</f>
        <v/>
      </c>
      <c r="J24" s="5" t="n">
        <v>0</v>
      </c>
      <c r="K24" s="3" t="inlineStr">
        <is>
          <t>Garis Lurus</t>
        </is>
      </c>
      <c r="L24" s="5">
        <f>IFERROR(M24/12,"")</f>
        <v/>
      </c>
      <c r="M24" s="5">
        <f>IFERROR((H24-J24)/I24,"")</f>
        <v/>
      </c>
      <c r="N24" s="5">
        <f>IFERROR(M24,"")</f>
        <v/>
      </c>
      <c r="O24" s="5">
        <f>IFERROR(H24-N24,"")</f>
        <v/>
      </c>
      <c r="P24" s="3" t="inlineStr">
        <is>
          <t>Belum dihitung</t>
        </is>
      </c>
      <c r="Q24" s="3" t="n"/>
    </row>
    <row r="25">
      <c r="A25" s="3" t="n">
        <v>24</v>
      </c>
      <c r="B25" s="3" t="inlineStr">
        <is>
          <t>Desember 2025</t>
        </is>
      </c>
      <c r="C25" s="3">
        <f>'Data Aset'!B27</f>
        <v/>
      </c>
      <c r="D25" s="3">
        <f>'Data Aset'!F27</f>
        <v/>
      </c>
      <c r="E25" s="3" t="inlineStr">
        <is>
          <t>Inventaris Ruangan</t>
        </is>
      </c>
      <c r="F25" s="3">
        <f>'Data Aset'!C27</f>
        <v/>
      </c>
      <c r="G25" s="3">
        <f>'Data Aset'!J27</f>
        <v/>
      </c>
      <c r="H25" s="5">
        <f>'Data Aset'!M27</f>
        <v/>
      </c>
      <c r="I25" s="3">
        <f>'Data Aset'!O27</f>
        <v/>
      </c>
      <c r="J25" s="5" t="n">
        <v>0</v>
      </c>
      <c r="K25" s="3" t="inlineStr">
        <is>
          <t>Garis Lurus</t>
        </is>
      </c>
      <c r="L25" s="5">
        <f>IFERROR(M25/12,"")</f>
        <v/>
      </c>
      <c r="M25" s="5">
        <f>IFERROR((H25-J25)/I25,"")</f>
        <v/>
      </c>
      <c r="N25" s="5">
        <f>IFERROR(M25,"")</f>
        <v/>
      </c>
      <c r="O25" s="5">
        <f>IFERROR(H25-N25,"")</f>
        <v/>
      </c>
      <c r="P25" s="3" t="inlineStr">
        <is>
          <t>Belum dihitung</t>
        </is>
      </c>
      <c r="Q25" s="3" t="n"/>
    </row>
    <row r="26">
      <c r="A26" s="3" t="n">
        <v>25</v>
      </c>
      <c r="B26" s="3" t="inlineStr">
        <is>
          <t>Desember 2025</t>
        </is>
      </c>
      <c r="C26" s="3">
        <f>'Data Aset'!B28</f>
        <v/>
      </c>
      <c r="D26" s="3">
        <f>'Data Aset'!F28</f>
        <v/>
      </c>
      <c r="E26" s="3" t="inlineStr">
        <is>
          <t>Inventaris Ruangan</t>
        </is>
      </c>
      <c r="F26" s="3">
        <f>'Data Aset'!C28</f>
        <v/>
      </c>
      <c r="G26" s="3">
        <f>'Data Aset'!J28</f>
        <v/>
      </c>
      <c r="H26" s="5">
        <f>'Data Aset'!M28</f>
        <v/>
      </c>
      <c r="I26" s="3">
        <f>'Data Aset'!O28</f>
        <v/>
      </c>
      <c r="J26" s="5" t="n">
        <v>0</v>
      </c>
      <c r="K26" s="3" t="inlineStr">
        <is>
          <t>Garis Lurus</t>
        </is>
      </c>
      <c r="L26" s="5">
        <f>IFERROR(M26/12,"")</f>
        <v/>
      </c>
      <c r="M26" s="5">
        <f>IFERROR((H26-J26)/I26,"")</f>
        <v/>
      </c>
      <c r="N26" s="5">
        <f>IFERROR(M26,"")</f>
        <v/>
      </c>
      <c r="O26" s="5">
        <f>IFERROR(H26-N26,"")</f>
        <v/>
      </c>
      <c r="P26" s="3" t="inlineStr">
        <is>
          <t>Belum dihitung</t>
        </is>
      </c>
      <c r="Q26" s="3" t="n"/>
    </row>
    <row r="27">
      <c r="A27" s="3" t="n">
        <v>26</v>
      </c>
      <c r="B27" s="3" t="inlineStr">
        <is>
          <t>Desember 2025</t>
        </is>
      </c>
      <c r="C27" s="3">
        <f>'Data Aset'!B29</f>
        <v/>
      </c>
      <c r="D27" s="3">
        <f>'Data Aset'!F29</f>
        <v/>
      </c>
      <c r="E27" s="3" t="inlineStr">
        <is>
          <t>Inventaris Ruangan</t>
        </is>
      </c>
      <c r="F27" s="3">
        <f>'Data Aset'!C29</f>
        <v/>
      </c>
      <c r="G27" s="3">
        <f>'Data Aset'!J29</f>
        <v/>
      </c>
      <c r="H27" s="5">
        <f>'Data Aset'!M29</f>
        <v/>
      </c>
      <c r="I27" s="3">
        <f>'Data Aset'!O29</f>
        <v/>
      </c>
      <c r="J27" s="5" t="n">
        <v>0</v>
      </c>
      <c r="K27" s="3" t="inlineStr">
        <is>
          <t>Garis Lurus</t>
        </is>
      </c>
      <c r="L27" s="5">
        <f>IFERROR(M27/12,"")</f>
        <v/>
      </c>
      <c r="M27" s="5">
        <f>IFERROR((H27-J27)/I27,"")</f>
        <v/>
      </c>
      <c r="N27" s="5">
        <f>IFERROR(M27,"")</f>
        <v/>
      </c>
      <c r="O27" s="5">
        <f>IFERROR(H27-N27,"")</f>
        <v/>
      </c>
      <c r="P27" s="3" t="inlineStr">
        <is>
          <t>Belum dihitung</t>
        </is>
      </c>
      <c r="Q27" s="3" t="n"/>
    </row>
    <row r="28">
      <c r="A28" s="3" t="n">
        <v>27</v>
      </c>
      <c r="B28" s="3" t="inlineStr">
        <is>
          <t>Desember 2025</t>
        </is>
      </c>
      <c r="C28" s="3">
        <f>'Data Aset'!B30</f>
        <v/>
      </c>
      <c r="D28" s="3">
        <f>'Data Aset'!F30</f>
        <v/>
      </c>
      <c r="E28" s="3" t="inlineStr">
        <is>
          <t>Inventaris Ruangan</t>
        </is>
      </c>
      <c r="F28" s="3">
        <f>'Data Aset'!C30</f>
        <v/>
      </c>
      <c r="G28" s="3">
        <f>'Data Aset'!J30</f>
        <v/>
      </c>
      <c r="H28" s="5">
        <f>'Data Aset'!M30</f>
        <v/>
      </c>
      <c r="I28" s="3">
        <f>'Data Aset'!O30</f>
        <v/>
      </c>
      <c r="J28" s="5" t="n">
        <v>0</v>
      </c>
      <c r="K28" s="3" t="inlineStr">
        <is>
          <t>Garis Lurus</t>
        </is>
      </c>
      <c r="L28" s="5">
        <f>IFERROR(M28/12,"")</f>
        <v/>
      </c>
      <c r="M28" s="5">
        <f>IFERROR((H28-J28)/I28,"")</f>
        <v/>
      </c>
      <c r="N28" s="5">
        <f>IFERROR(M28,"")</f>
        <v/>
      </c>
      <c r="O28" s="5">
        <f>IFERROR(H28-N28,"")</f>
        <v/>
      </c>
      <c r="P28" s="3" t="inlineStr">
        <is>
          <t>Belum dihitung</t>
        </is>
      </c>
      <c r="Q28" s="3" t="n"/>
    </row>
    <row r="29">
      <c r="A29" s="3" t="n">
        <v>28</v>
      </c>
      <c r="B29" s="3" t="inlineStr">
        <is>
          <t>Desember 2025</t>
        </is>
      </c>
      <c r="C29" s="3">
        <f>'Data Aset'!B31</f>
        <v/>
      </c>
      <c r="D29" s="3">
        <f>'Data Aset'!F31</f>
        <v/>
      </c>
      <c r="E29" s="3" t="inlineStr">
        <is>
          <t>Inventaris Ruangan</t>
        </is>
      </c>
      <c r="F29" s="3">
        <f>'Data Aset'!C31</f>
        <v/>
      </c>
      <c r="G29" s="3">
        <f>'Data Aset'!J31</f>
        <v/>
      </c>
      <c r="H29" s="5">
        <f>'Data Aset'!M31</f>
        <v/>
      </c>
      <c r="I29" s="3">
        <f>'Data Aset'!O31</f>
        <v/>
      </c>
      <c r="J29" s="5" t="n">
        <v>0</v>
      </c>
      <c r="K29" s="3" t="inlineStr">
        <is>
          <t>Garis Lurus</t>
        </is>
      </c>
      <c r="L29" s="5">
        <f>IFERROR(M29/12,"")</f>
        <v/>
      </c>
      <c r="M29" s="5">
        <f>IFERROR((H29-J29)/I29,"")</f>
        <v/>
      </c>
      <c r="N29" s="5">
        <f>IFERROR(M29,"")</f>
        <v/>
      </c>
      <c r="O29" s="5">
        <f>IFERROR(H29-N29,"")</f>
        <v/>
      </c>
      <c r="P29" s="3" t="inlineStr">
        <is>
          <t>Belum dihitung</t>
        </is>
      </c>
      <c r="Q29" s="3" t="n"/>
    </row>
    <row r="30">
      <c r="A30" s="3" t="n">
        <v>29</v>
      </c>
      <c r="B30" s="3" t="inlineStr">
        <is>
          <t>Desember 2025</t>
        </is>
      </c>
      <c r="C30" s="3">
        <f>'Data Aset'!B32</f>
        <v/>
      </c>
      <c r="D30" s="3">
        <f>'Data Aset'!F32</f>
        <v/>
      </c>
      <c r="E30" s="3" t="inlineStr">
        <is>
          <t>Inventaris Ruangan</t>
        </is>
      </c>
      <c r="F30" s="3">
        <f>'Data Aset'!C32</f>
        <v/>
      </c>
      <c r="G30" s="3">
        <f>'Data Aset'!J32</f>
        <v/>
      </c>
      <c r="H30" s="5">
        <f>'Data Aset'!M32</f>
        <v/>
      </c>
      <c r="I30" s="3">
        <f>'Data Aset'!O32</f>
        <v/>
      </c>
      <c r="J30" s="5" t="n">
        <v>0</v>
      </c>
      <c r="K30" s="3" t="inlineStr">
        <is>
          <t>Garis Lurus</t>
        </is>
      </c>
      <c r="L30" s="5">
        <f>IFERROR(M30/12,"")</f>
        <v/>
      </c>
      <c r="M30" s="5">
        <f>IFERROR((H30-J30)/I30,"")</f>
        <v/>
      </c>
      <c r="N30" s="5">
        <f>IFERROR(M30,"")</f>
        <v/>
      </c>
      <c r="O30" s="5">
        <f>IFERROR(H30-N30,"")</f>
        <v/>
      </c>
      <c r="P30" s="3" t="inlineStr">
        <is>
          <t>Belum dihitung</t>
        </is>
      </c>
      <c r="Q30" s="3" t="n"/>
    </row>
    <row r="31">
      <c r="A31" s="3" t="n">
        <v>30</v>
      </c>
      <c r="B31" s="3" t="inlineStr">
        <is>
          <t>Desember 2025</t>
        </is>
      </c>
      <c r="C31" s="3">
        <f>'Data Aset'!B33</f>
        <v/>
      </c>
      <c r="D31" s="3">
        <f>'Data Aset'!F33</f>
        <v/>
      </c>
      <c r="E31" s="3" t="inlineStr">
        <is>
          <t>Inventaris Ruangan</t>
        </is>
      </c>
      <c r="F31" s="3">
        <f>'Data Aset'!C33</f>
        <v/>
      </c>
      <c r="G31" s="3">
        <f>'Data Aset'!J33</f>
        <v/>
      </c>
      <c r="H31" s="5">
        <f>'Data Aset'!M33</f>
        <v/>
      </c>
      <c r="I31" s="3">
        <f>'Data Aset'!O33</f>
        <v/>
      </c>
      <c r="J31" s="5" t="n">
        <v>0</v>
      </c>
      <c r="K31" s="3" t="inlineStr">
        <is>
          <t>Garis Lurus</t>
        </is>
      </c>
      <c r="L31" s="5">
        <f>IFERROR(M31/12,"")</f>
        <v/>
      </c>
      <c r="M31" s="5">
        <f>IFERROR((H31-J31)/I31,"")</f>
        <v/>
      </c>
      <c r="N31" s="5">
        <f>IFERROR(M31,"")</f>
        <v/>
      </c>
      <c r="O31" s="5">
        <f>IFERROR(H31-N31,"")</f>
        <v/>
      </c>
      <c r="P31" s="3" t="inlineStr">
        <is>
          <t>Belum dihitung</t>
        </is>
      </c>
      <c r="Q31" s="3" t="n"/>
    </row>
    <row r="32">
      <c r="A32" s="3" t="n">
        <v>31</v>
      </c>
      <c r="B32" s="3" t="inlineStr">
        <is>
          <t>Desember 2025</t>
        </is>
      </c>
      <c r="C32" s="3">
        <f>'Data Aset'!B34</f>
        <v/>
      </c>
      <c r="D32" s="3">
        <f>'Data Aset'!F34</f>
        <v/>
      </c>
      <c r="E32" s="3" t="inlineStr">
        <is>
          <t>Inventaris Ruangan</t>
        </is>
      </c>
      <c r="F32" s="3">
        <f>'Data Aset'!C34</f>
        <v/>
      </c>
      <c r="G32" s="3">
        <f>'Data Aset'!J34</f>
        <v/>
      </c>
      <c r="H32" s="5">
        <f>'Data Aset'!M34</f>
        <v/>
      </c>
      <c r="I32" s="3">
        <f>'Data Aset'!O34</f>
        <v/>
      </c>
      <c r="J32" s="5" t="n">
        <v>0</v>
      </c>
      <c r="K32" s="3" t="inlineStr">
        <is>
          <t>Garis Lurus</t>
        </is>
      </c>
      <c r="L32" s="5">
        <f>IFERROR(M32/12,"")</f>
        <v/>
      </c>
      <c r="M32" s="5">
        <f>IFERROR((H32-J32)/I32,"")</f>
        <v/>
      </c>
      <c r="N32" s="5">
        <f>IFERROR(M32,"")</f>
        <v/>
      </c>
      <c r="O32" s="5">
        <f>IFERROR(H32-N32,"")</f>
        <v/>
      </c>
      <c r="P32" s="3" t="inlineStr">
        <is>
          <t>Belum dihitung</t>
        </is>
      </c>
      <c r="Q32" s="3" t="n"/>
    </row>
    <row r="33">
      <c r="A33" s="3" t="n">
        <v>32</v>
      </c>
      <c r="B33" s="3" t="inlineStr">
        <is>
          <t>Desember 2025</t>
        </is>
      </c>
      <c r="C33" s="3">
        <f>'Data Aset'!B35</f>
        <v/>
      </c>
      <c r="D33" s="3">
        <f>'Data Aset'!F35</f>
        <v/>
      </c>
      <c r="E33" s="3" t="inlineStr">
        <is>
          <t>Inventaris Ruangan</t>
        </is>
      </c>
      <c r="F33" s="3">
        <f>'Data Aset'!C35</f>
        <v/>
      </c>
      <c r="G33" s="3">
        <f>'Data Aset'!J35</f>
        <v/>
      </c>
      <c r="H33" s="5">
        <f>'Data Aset'!M35</f>
        <v/>
      </c>
      <c r="I33" s="3">
        <f>'Data Aset'!O35</f>
        <v/>
      </c>
      <c r="J33" s="5" t="n">
        <v>0</v>
      </c>
      <c r="K33" s="3" t="inlineStr">
        <is>
          <t>Garis Lurus</t>
        </is>
      </c>
      <c r="L33" s="5">
        <f>IFERROR(M33/12,"")</f>
        <v/>
      </c>
      <c r="M33" s="5">
        <f>IFERROR((H33-J33)/I33,"")</f>
        <v/>
      </c>
      <c r="N33" s="5">
        <f>IFERROR(M33,"")</f>
        <v/>
      </c>
      <c r="O33" s="5">
        <f>IFERROR(H33-N33,"")</f>
        <v/>
      </c>
      <c r="P33" s="3" t="inlineStr">
        <is>
          <t>Belum dihitung</t>
        </is>
      </c>
      <c r="Q33" s="3" t="n"/>
    </row>
    <row r="34">
      <c r="A34" s="3" t="n">
        <v>33</v>
      </c>
      <c r="B34" s="3" t="inlineStr">
        <is>
          <t>Desember 2025</t>
        </is>
      </c>
      <c r="C34" s="3">
        <f>'Data Aset'!B36</f>
        <v/>
      </c>
      <c r="D34" s="3">
        <f>'Data Aset'!F36</f>
        <v/>
      </c>
      <c r="E34" s="3" t="inlineStr">
        <is>
          <t>Inventaris Ruangan</t>
        </is>
      </c>
      <c r="F34" s="3">
        <f>'Data Aset'!C36</f>
        <v/>
      </c>
      <c r="G34" s="3">
        <f>'Data Aset'!J36</f>
        <v/>
      </c>
      <c r="H34" s="5">
        <f>'Data Aset'!M36</f>
        <v/>
      </c>
      <c r="I34" s="3">
        <f>'Data Aset'!O36</f>
        <v/>
      </c>
      <c r="J34" s="5" t="n">
        <v>0</v>
      </c>
      <c r="K34" s="3" t="inlineStr">
        <is>
          <t>Garis Lurus</t>
        </is>
      </c>
      <c r="L34" s="5">
        <f>IFERROR(M34/12,"")</f>
        <v/>
      </c>
      <c r="M34" s="5">
        <f>IFERROR((H34-J34)/I34,"")</f>
        <v/>
      </c>
      <c r="N34" s="5">
        <f>IFERROR(M34,"")</f>
        <v/>
      </c>
      <c r="O34" s="5">
        <f>IFERROR(H34-N34,"")</f>
        <v/>
      </c>
      <c r="P34" s="3" t="inlineStr">
        <is>
          <t>Belum dihitung</t>
        </is>
      </c>
      <c r="Q34" s="3" t="n"/>
    </row>
    <row r="35">
      <c r="A35" s="3" t="n">
        <v>34</v>
      </c>
      <c r="B35" s="3" t="inlineStr">
        <is>
          <t>Desember 2025</t>
        </is>
      </c>
      <c r="C35" s="3">
        <f>'Data Aset'!B37</f>
        <v/>
      </c>
      <c r="D35" s="3">
        <f>'Data Aset'!F37</f>
        <v/>
      </c>
      <c r="E35" s="3" t="inlineStr">
        <is>
          <t>Inventaris Ruangan</t>
        </is>
      </c>
      <c r="F35" s="3">
        <f>'Data Aset'!C37</f>
        <v/>
      </c>
      <c r="G35" s="3">
        <f>'Data Aset'!J37</f>
        <v/>
      </c>
      <c r="H35" s="5">
        <f>'Data Aset'!M37</f>
        <v/>
      </c>
      <c r="I35" s="3">
        <f>'Data Aset'!O37</f>
        <v/>
      </c>
      <c r="J35" s="5" t="n">
        <v>0</v>
      </c>
      <c r="K35" s="3" t="inlineStr">
        <is>
          <t>Garis Lurus</t>
        </is>
      </c>
      <c r="L35" s="5">
        <f>IFERROR(M35/12,"")</f>
        <v/>
      </c>
      <c r="M35" s="5">
        <f>IFERROR((H35-J35)/I35,"")</f>
        <v/>
      </c>
      <c r="N35" s="5">
        <f>IFERROR(M35,"")</f>
        <v/>
      </c>
      <c r="O35" s="5">
        <f>IFERROR(H35-N35,"")</f>
        <v/>
      </c>
      <c r="P35" s="3" t="inlineStr">
        <is>
          <t>Belum dihitung</t>
        </is>
      </c>
      <c r="Q35" s="3" t="n"/>
    </row>
    <row r="36">
      <c r="A36" s="3" t="n">
        <v>35</v>
      </c>
      <c r="B36" s="3" t="inlineStr">
        <is>
          <t>Desember 2025</t>
        </is>
      </c>
      <c r="C36" s="3">
        <f>'Data Aset'!B38</f>
        <v/>
      </c>
      <c r="D36" s="3">
        <f>'Data Aset'!F38</f>
        <v/>
      </c>
      <c r="E36" s="3" t="inlineStr">
        <is>
          <t>Inventaris Ruangan</t>
        </is>
      </c>
      <c r="F36" s="3">
        <f>'Data Aset'!C38</f>
        <v/>
      </c>
      <c r="G36" s="3">
        <f>'Data Aset'!J38</f>
        <v/>
      </c>
      <c r="H36" s="5">
        <f>'Data Aset'!M38</f>
        <v/>
      </c>
      <c r="I36" s="3">
        <f>'Data Aset'!O38</f>
        <v/>
      </c>
      <c r="J36" s="5" t="n">
        <v>0</v>
      </c>
      <c r="K36" s="3" t="inlineStr">
        <is>
          <t>Garis Lurus</t>
        </is>
      </c>
      <c r="L36" s="5">
        <f>IFERROR(M36/12,"")</f>
        <v/>
      </c>
      <c r="M36" s="5">
        <f>IFERROR((H36-J36)/I36,"")</f>
        <v/>
      </c>
      <c r="N36" s="5">
        <f>IFERROR(M36,"")</f>
        <v/>
      </c>
      <c r="O36" s="5">
        <f>IFERROR(H36-N36,"")</f>
        <v/>
      </c>
      <c r="P36" s="3" t="inlineStr">
        <is>
          <t>Belum dihitung</t>
        </is>
      </c>
      <c r="Q36" s="3" t="n"/>
    </row>
    <row r="37">
      <c r="A37" s="3" t="n">
        <v>36</v>
      </c>
      <c r="B37" s="3" t="inlineStr">
        <is>
          <t>Desember 2025</t>
        </is>
      </c>
      <c r="C37" s="3">
        <f>'Data Aset'!B39</f>
        <v/>
      </c>
      <c r="D37" s="3">
        <f>'Data Aset'!F39</f>
        <v/>
      </c>
      <c r="E37" s="3" t="inlineStr">
        <is>
          <t>Inventaris Ruangan</t>
        </is>
      </c>
      <c r="F37" s="3">
        <f>'Data Aset'!C39</f>
        <v/>
      </c>
      <c r="G37" s="3">
        <f>'Data Aset'!J39</f>
        <v/>
      </c>
      <c r="H37" s="5">
        <f>'Data Aset'!M39</f>
        <v/>
      </c>
      <c r="I37" s="3">
        <f>'Data Aset'!O39</f>
        <v/>
      </c>
      <c r="J37" s="5" t="n">
        <v>0</v>
      </c>
      <c r="K37" s="3" t="inlineStr">
        <is>
          <t>Garis Lurus</t>
        </is>
      </c>
      <c r="L37" s="5">
        <f>IFERROR(M37/12,"")</f>
        <v/>
      </c>
      <c r="M37" s="5">
        <f>IFERROR((H37-J37)/I37,"")</f>
        <v/>
      </c>
      <c r="N37" s="5">
        <f>IFERROR(M37,"")</f>
        <v/>
      </c>
      <c r="O37" s="5">
        <f>IFERROR(H37-N37,"")</f>
        <v/>
      </c>
      <c r="P37" s="3" t="inlineStr">
        <is>
          <t>Belum dihitung</t>
        </is>
      </c>
      <c r="Q37" s="3" t="n"/>
    </row>
    <row r="38">
      <c r="A38" s="3" t="n">
        <v>37</v>
      </c>
      <c r="B38" s="3" t="inlineStr">
        <is>
          <t>Desember 2025</t>
        </is>
      </c>
      <c r="C38" s="3">
        <f>'Data Aset'!B40</f>
        <v/>
      </c>
      <c r="D38" s="3">
        <f>'Data Aset'!F40</f>
        <v/>
      </c>
      <c r="E38" s="3" t="inlineStr">
        <is>
          <t>Inventaris Ruangan</t>
        </is>
      </c>
      <c r="F38" s="3">
        <f>'Data Aset'!C40</f>
        <v/>
      </c>
      <c r="G38" s="3">
        <f>'Data Aset'!J40</f>
        <v/>
      </c>
      <c r="H38" s="5">
        <f>'Data Aset'!M40</f>
        <v/>
      </c>
      <c r="I38" s="3">
        <f>'Data Aset'!O40</f>
        <v/>
      </c>
      <c r="J38" s="5" t="n">
        <v>0</v>
      </c>
      <c r="K38" s="3" t="inlineStr">
        <is>
          <t>Garis Lurus</t>
        </is>
      </c>
      <c r="L38" s="5">
        <f>IFERROR(M38/12,"")</f>
        <v/>
      </c>
      <c r="M38" s="5">
        <f>IFERROR((H38-J38)/I38,"")</f>
        <v/>
      </c>
      <c r="N38" s="5">
        <f>IFERROR(M38,"")</f>
        <v/>
      </c>
      <c r="O38" s="5">
        <f>IFERROR(H38-N38,"")</f>
        <v/>
      </c>
      <c r="P38" s="3" t="inlineStr">
        <is>
          <t>Belum dihitung</t>
        </is>
      </c>
      <c r="Q38" s="3" t="n"/>
    </row>
    <row r="39">
      <c r="A39" s="3" t="n">
        <v>38</v>
      </c>
      <c r="B39" s="3" t="inlineStr">
        <is>
          <t>Desember 2025</t>
        </is>
      </c>
      <c r="C39" s="3">
        <f>'Data Aset'!B41</f>
        <v/>
      </c>
      <c r="D39" s="3">
        <f>'Data Aset'!F41</f>
        <v/>
      </c>
      <c r="E39" s="3" t="inlineStr">
        <is>
          <t>Inventaris Ruangan</t>
        </is>
      </c>
      <c r="F39" s="3">
        <f>'Data Aset'!C41</f>
        <v/>
      </c>
      <c r="G39" s="3">
        <f>'Data Aset'!J41</f>
        <v/>
      </c>
      <c r="H39" s="5">
        <f>'Data Aset'!M41</f>
        <v/>
      </c>
      <c r="I39" s="3">
        <f>'Data Aset'!O41</f>
        <v/>
      </c>
      <c r="J39" s="5" t="n">
        <v>0</v>
      </c>
      <c r="K39" s="3" t="inlineStr">
        <is>
          <t>Garis Lurus</t>
        </is>
      </c>
      <c r="L39" s="5">
        <f>IFERROR(M39/12,"")</f>
        <v/>
      </c>
      <c r="M39" s="5">
        <f>IFERROR((H39-J39)/I39,"")</f>
        <v/>
      </c>
      <c r="N39" s="5">
        <f>IFERROR(M39,"")</f>
        <v/>
      </c>
      <c r="O39" s="5">
        <f>IFERROR(H39-N39,"")</f>
        <v/>
      </c>
      <c r="P39" s="3" t="inlineStr">
        <is>
          <t>Belum dihitung</t>
        </is>
      </c>
      <c r="Q39" s="3" t="n"/>
    </row>
    <row r="40">
      <c r="A40" s="3" t="n">
        <v>39</v>
      </c>
      <c r="B40" s="3" t="inlineStr">
        <is>
          <t>Desember 2025</t>
        </is>
      </c>
      <c r="C40" s="3">
        <f>'Data Aset'!B42</f>
        <v/>
      </c>
      <c r="D40" s="3">
        <f>'Data Aset'!F42</f>
        <v/>
      </c>
      <c r="E40" s="3" t="inlineStr">
        <is>
          <t>Inventaris Ruangan</t>
        </is>
      </c>
      <c r="F40" s="3">
        <f>'Data Aset'!C42</f>
        <v/>
      </c>
      <c r="G40" s="3">
        <f>'Data Aset'!J42</f>
        <v/>
      </c>
      <c r="H40" s="5">
        <f>'Data Aset'!M42</f>
        <v/>
      </c>
      <c r="I40" s="3">
        <f>'Data Aset'!O42</f>
        <v/>
      </c>
      <c r="J40" s="5" t="n">
        <v>0</v>
      </c>
      <c r="K40" s="3" t="inlineStr">
        <is>
          <t>Garis Lurus</t>
        </is>
      </c>
      <c r="L40" s="5">
        <f>IFERROR(M40/12,"")</f>
        <v/>
      </c>
      <c r="M40" s="5">
        <f>IFERROR((H40-J40)/I40,"")</f>
        <v/>
      </c>
      <c r="N40" s="5">
        <f>IFERROR(M40,"")</f>
        <v/>
      </c>
      <c r="O40" s="5">
        <f>IFERROR(H40-N40,"")</f>
        <v/>
      </c>
      <c r="P40" s="3" t="inlineStr">
        <is>
          <t>Belum dihitung</t>
        </is>
      </c>
      <c r="Q40" s="3" t="n"/>
    </row>
    <row r="41">
      <c r="A41" s="3" t="n">
        <v>40</v>
      </c>
      <c r="B41" s="3" t="inlineStr">
        <is>
          <t>Desember 2025</t>
        </is>
      </c>
      <c r="C41" s="3">
        <f>'Data Aset'!B43</f>
        <v/>
      </c>
      <c r="D41" s="3">
        <f>'Data Aset'!F43</f>
        <v/>
      </c>
      <c r="E41" s="3" t="inlineStr">
        <is>
          <t>Inventaris Ruangan</t>
        </is>
      </c>
      <c r="F41" s="3">
        <f>'Data Aset'!C43</f>
        <v/>
      </c>
      <c r="G41" s="3">
        <f>'Data Aset'!J43</f>
        <v/>
      </c>
      <c r="H41" s="5">
        <f>'Data Aset'!M43</f>
        <v/>
      </c>
      <c r="I41" s="3">
        <f>'Data Aset'!O43</f>
        <v/>
      </c>
      <c r="J41" s="5" t="n">
        <v>0</v>
      </c>
      <c r="K41" s="3" t="inlineStr">
        <is>
          <t>Garis Lurus</t>
        </is>
      </c>
      <c r="L41" s="5">
        <f>IFERROR(M41/12,"")</f>
        <v/>
      </c>
      <c r="M41" s="5">
        <f>IFERROR((H41-J41)/I41,"")</f>
        <v/>
      </c>
      <c r="N41" s="5">
        <f>IFERROR(M41,"")</f>
        <v/>
      </c>
      <c r="O41" s="5">
        <f>IFERROR(H41-N41,"")</f>
        <v/>
      </c>
      <c r="P41" s="3" t="inlineStr">
        <is>
          <t>Belum dihitung</t>
        </is>
      </c>
      <c r="Q41" s="3" t="n"/>
    </row>
    <row r="42">
      <c r="A42" s="3" t="n">
        <v>41</v>
      </c>
      <c r="B42" s="3" t="inlineStr">
        <is>
          <t>Desember 2025</t>
        </is>
      </c>
      <c r="C42" s="3">
        <f>'Data Aset'!B44</f>
        <v/>
      </c>
      <c r="D42" s="3">
        <f>'Data Aset'!F44</f>
        <v/>
      </c>
      <c r="E42" s="3" t="inlineStr">
        <is>
          <t>Inventaris Ruangan</t>
        </is>
      </c>
      <c r="F42" s="3">
        <f>'Data Aset'!C44</f>
        <v/>
      </c>
      <c r="G42" s="3">
        <f>'Data Aset'!J44</f>
        <v/>
      </c>
      <c r="H42" s="5">
        <f>'Data Aset'!M44</f>
        <v/>
      </c>
      <c r="I42" s="3">
        <f>'Data Aset'!O44</f>
        <v/>
      </c>
      <c r="J42" s="5" t="n">
        <v>0</v>
      </c>
      <c r="K42" s="3" t="inlineStr">
        <is>
          <t>Garis Lurus</t>
        </is>
      </c>
      <c r="L42" s="5">
        <f>IFERROR(M42/12,"")</f>
        <v/>
      </c>
      <c r="M42" s="5">
        <f>IFERROR((H42-J42)/I42,"")</f>
        <v/>
      </c>
      <c r="N42" s="5">
        <f>IFERROR(M42,"")</f>
        <v/>
      </c>
      <c r="O42" s="5">
        <f>IFERROR(H42-N42,"")</f>
        <v/>
      </c>
      <c r="P42" s="3" t="inlineStr">
        <is>
          <t>Belum dihitung</t>
        </is>
      </c>
      <c r="Q42" s="3" t="n"/>
    </row>
    <row r="43">
      <c r="A43" s="3" t="n">
        <v>42</v>
      </c>
      <c r="B43" s="3" t="inlineStr">
        <is>
          <t>Desember 2025</t>
        </is>
      </c>
      <c r="C43" s="3">
        <f>'Data Aset'!B45</f>
        <v/>
      </c>
      <c r="D43" s="3">
        <f>'Data Aset'!F45</f>
        <v/>
      </c>
      <c r="E43" s="3" t="inlineStr">
        <is>
          <t>Inventaris Ruangan</t>
        </is>
      </c>
      <c r="F43" s="3">
        <f>'Data Aset'!C45</f>
        <v/>
      </c>
      <c r="G43" s="3">
        <f>'Data Aset'!J45</f>
        <v/>
      </c>
      <c r="H43" s="5">
        <f>'Data Aset'!M45</f>
        <v/>
      </c>
      <c r="I43" s="3">
        <f>'Data Aset'!O45</f>
        <v/>
      </c>
      <c r="J43" s="5" t="n">
        <v>0</v>
      </c>
      <c r="K43" s="3" t="inlineStr">
        <is>
          <t>Garis Lurus</t>
        </is>
      </c>
      <c r="L43" s="5">
        <f>IFERROR(M43/12,"")</f>
        <v/>
      </c>
      <c r="M43" s="5">
        <f>IFERROR((H43-J43)/I43,"")</f>
        <v/>
      </c>
      <c r="N43" s="5">
        <f>IFERROR(M43,"")</f>
        <v/>
      </c>
      <c r="O43" s="5">
        <f>IFERROR(H43-N43,"")</f>
        <v/>
      </c>
      <c r="P43" s="3" t="inlineStr">
        <is>
          <t>Belum dihitung</t>
        </is>
      </c>
      <c r="Q43" s="3" t="n"/>
    </row>
    <row r="44">
      <c r="A44" s="3" t="n">
        <v>43</v>
      </c>
      <c r="B44" s="3" t="inlineStr">
        <is>
          <t>Desember 2025</t>
        </is>
      </c>
      <c r="C44" s="3">
        <f>'Data Aset'!B46</f>
        <v/>
      </c>
      <c r="D44" s="3">
        <f>'Data Aset'!F46</f>
        <v/>
      </c>
      <c r="E44" s="3" t="inlineStr">
        <is>
          <t>Inventaris Ruangan</t>
        </is>
      </c>
      <c r="F44" s="3">
        <f>'Data Aset'!C46</f>
        <v/>
      </c>
      <c r="G44" s="3">
        <f>'Data Aset'!J46</f>
        <v/>
      </c>
      <c r="H44" s="5">
        <f>'Data Aset'!M46</f>
        <v/>
      </c>
      <c r="I44" s="3">
        <f>'Data Aset'!O46</f>
        <v/>
      </c>
      <c r="J44" s="5" t="n">
        <v>0</v>
      </c>
      <c r="K44" s="3" t="inlineStr">
        <is>
          <t>Garis Lurus</t>
        </is>
      </c>
      <c r="L44" s="5">
        <f>IFERROR(M44/12,"")</f>
        <v/>
      </c>
      <c r="M44" s="5">
        <f>IFERROR((H44-J44)/I44,"")</f>
        <v/>
      </c>
      <c r="N44" s="5">
        <f>IFERROR(M44,"")</f>
        <v/>
      </c>
      <c r="O44" s="5">
        <f>IFERROR(H44-N44,"")</f>
        <v/>
      </c>
      <c r="P44" s="3" t="inlineStr">
        <is>
          <t>Belum dihitung</t>
        </is>
      </c>
      <c r="Q44" s="3" t="n"/>
    </row>
    <row r="45">
      <c r="A45" s="3" t="n">
        <v>44</v>
      </c>
      <c r="B45" s="3" t="inlineStr">
        <is>
          <t>Desember 2025</t>
        </is>
      </c>
      <c r="C45" s="3">
        <f>'Data Aset'!B47</f>
        <v/>
      </c>
      <c r="D45" s="3">
        <f>'Data Aset'!F47</f>
        <v/>
      </c>
      <c r="E45" s="3" t="inlineStr">
        <is>
          <t>Inventaris Ruangan</t>
        </is>
      </c>
      <c r="F45" s="3">
        <f>'Data Aset'!C47</f>
        <v/>
      </c>
      <c r="G45" s="3">
        <f>'Data Aset'!J47</f>
        <v/>
      </c>
      <c r="H45" s="5">
        <f>'Data Aset'!M47</f>
        <v/>
      </c>
      <c r="I45" s="3">
        <f>'Data Aset'!O47</f>
        <v/>
      </c>
      <c r="J45" s="5" t="n">
        <v>0</v>
      </c>
      <c r="K45" s="3" t="inlineStr">
        <is>
          <t>Garis Lurus</t>
        </is>
      </c>
      <c r="L45" s="5">
        <f>IFERROR(M45/12,"")</f>
        <v/>
      </c>
      <c r="M45" s="5">
        <f>IFERROR((H45-J45)/I45,"")</f>
        <v/>
      </c>
      <c r="N45" s="5">
        <f>IFERROR(M45,"")</f>
        <v/>
      </c>
      <c r="O45" s="5">
        <f>IFERROR(H45-N45,"")</f>
        <v/>
      </c>
      <c r="P45" s="3" t="inlineStr">
        <is>
          <t>Belum dihitung</t>
        </is>
      </c>
      <c r="Q45" s="3" t="n"/>
    </row>
    <row r="46">
      <c r="A46" s="3" t="n">
        <v>45</v>
      </c>
      <c r="B46" s="3" t="inlineStr">
        <is>
          <t>Desember 2025</t>
        </is>
      </c>
      <c r="C46" s="3">
        <f>'Data Aset'!B48</f>
        <v/>
      </c>
      <c r="D46" s="3">
        <f>'Data Aset'!F48</f>
        <v/>
      </c>
      <c r="E46" s="3" t="inlineStr">
        <is>
          <t>Inventaris Ruangan</t>
        </is>
      </c>
      <c r="F46" s="3">
        <f>'Data Aset'!C48</f>
        <v/>
      </c>
      <c r="G46" s="3">
        <f>'Data Aset'!J48</f>
        <v/>
      </c>
      <c r="H46" s="5">
        <f>'Data Aset'!M48</f>
        <v/>
      </c>
      <c r="I46" s="3">
        <f>'Data Aset'!O48</f>
        <v/>
      </c>
      <c r="J46" s="5" t="n">
        <v>0</v>
      </c>
      <c r="K46" s="3" t="inlineStr">
        <is>
          <t>Garis Lurus</t>
        </is>
      </c>
      <c r="L46" s="5">
        <f>IFERROR(M46/12,"")</f>
        <v/>
      </c>
      <c r="M46" s="5">
        <f>IFERROR((H46-J46)/I46,"")</f>
        <v/>
      </c>
      <c r="N46" s="5">
        <f>IFERROR(M46,"")</f>
        <v/>
      </c>
      <c r="O46" s="5">
        <f>IFERROR(H46-N46,"")</f>
        <v/>
      </c>
      <c r="P46" s="3" t="inlineStr">
        <is>
          <t>Belum dihitung</t>
        </is>
      </c>
      <c r="Q46" s="3" t="n"/>
    </row>
    <row r="47">
      <c r="A47" s="3" t="n">
        <v>46</v>
      </c>
      <c r="B47" s="3" t="inlineStr">
        <is>
          <t>Desember 2025</t>
        </is>
      </c>
      <c r="C47" s="3">
        <f>'Data Aset'!B49</f>
        <v/>
      </c>
      <c r="D47" s="3">
        <f>'Data Aset'!F49</f>
        <v/>
      </c>
      <c r="E47" s="3" t="inlineStr">
        <is>
          <t>Inventaris Ruangan</t>
        </is>
      </c>
      <c r="F47" s="3">
        <f>'Data Aset'!C49</f>
        <v/>
      </c>
      <c r="G47" s="3">
        <f>'Data Aset'!J49</f>
        <v/>
      </c>
      <c r="H47" s="5">
        <f>'Data Aset'!M49</f>
        <v/>
      </c>
      <c r="I47" s="3">
        <f>'Data Aset'!O49</f>
        <v/>
      </c>
      <c r="J47" s="5" t="n">
        <v>0</v>
      </c>
      <c r="K47" s="3" t="inlineStr">
        <is>
          <t>Garis Lurus</t>
        </is>
      </c>
      <c r="L47" s="5">
        <f>IFERROR(M47/12,"")</f>
        <v/>
      </c>
      <c r="M47" s="5">
        <f>IFERROR((H47-J47)/I47,"")</f>
        <v/>
      </c>
      <c r="N47" s="5">
        <f>IFERROR(M47,"")</f>
        <v/>
      </c>
      <c r="O47" s="5">
        <f>IFERROR(H47-N47,"")</f>
        <v/>
      </c>
      <c r="P47" s="3" t="inlineStr">
        <is>
          <t>Belum dihitung</t>
        </is>
      </c>
      <c r="Q47" s="3" t="n"/>
    </row>
    <row r="48">
      <c r="A48" s="3" t="n">
        <v>47</v>
      </c>
      <c r="B48" s="3" t="inlineStr">
        <is>
          <t>Desember 2025</t>
        </is>
      </c>
      <c r="C48" s="3">
        <f>'Data Aset'!B50</f>
        <v/>
      </c>
      <c r="D48" s="3">
        <f>'Data Aset'!F50</f>
        <v/>
      </c>
      <c r="E48" s="3" t="inlineStr">
        <is>
          <t>Inventaris Ruangan</t>
        </is>
      </c>
      <c r="F48" s="3">
        <f>'Data Aset'!C50</f>
        <v/>
      </c>
      <c r="G48" s="3">
        <f>'Data Aset'!J50</f>
        <v/>
      </c>
      <c r="H48" s="5">
        <f>'Data Aset'!M50</f>
        <v/>
      </c>
      <c r="I48" s="3">
        <f>'Data Aset'!O50</f>
        <v/>
      </c>
      <c r="J48" s="5" t="n">
        <v>0</v>
      </c>
      <c r="K48" s="3" t="inlineStr">
        <is>
          <t>Garis Lurus</t>
        </is>
      </c>
      <c r="L48" s="5">
        <f>IFERROR(M48/12,"")</f>
        <v/>
      </c>
      <c r="M48" s="5">
        <f>IFERROR((H48-J48)/I48,"")</f>
        <v/>
      </c>
      <c r="N48" s="5">
        <f>IFERROR(M48,"")</f>
        <v/>
      </c>
      <c r="O48" s="5">
        <f>IFERROR(H48-N48,"")</f>
        <v/>
      </c>
      <c r="P48" s="3" t="inlineStr">
        <is>
          <t>Belum dihitung</t>
        </is>
      </c>
      <c r="Q48" s="3" t="n"/>
    </row>
    <row r="49">
      <c r="A49" s="3" t="n">
        <v>48</v>
      </c>
      <c r="B49" s="3" t="inlineStr">
        <is>
          <t>Desember 2025</t>
        </is>
      </c>
      <c r="C49" s="3">
        <f>'Data Aset'!B51</f>
        <v/>
      </c>
      <c r="D49" s="3">
        <f>'Data Aset'!F51</f>
        <v/>
      </c>
      <c r="E49" s="3" t="inlineStr">
        <is>
          <t>Inventaris Ruangan</t>
        </is>
      </c>
      <c r="F49" s="3">
        <f>'Data Aset'!C51</f>
        <v/>
      </c>
      <c r="G49" s="3">
        <f>'Data Aset'!J51</f>
        <v/>
      </c>
      <c r="H49" s="5">
        <f>'Data Aset'!M51</f>
        <v/>
      </c>
      <c r="I49" s="3">
        <f>'Data Aset'!O51</f>
        <v/>
      </c>
      <c r="J49" s="5" t="n">
        <v>0</v>
      </c>
      <c r="K49" s="3" t="inlineStr">
        <is>
          <t>Garis Lurus</t>
        </is>
      </c>
      <c r="L49" s="5">
        <f>IFERROR(M49/12,"")</f>
        <v/>
      </c>
      <c r="M49" s="5">
        <f>IFERROR((H49-J49)/I49,"")</f>
        <v/>
      </c>
      <c r="N49" s="5">
        <f>IFERROR(M49,"")</f>
        <v/>
      </c>
      <c r="O49" s="5">
        <f>IFERROR(H49-N49,"")</f>
        <v/>
      </c>
      <c r="P49" s="3" t="inlineStr">
        <is>
          <t>Belum dihitung</t>
        </is>
      </c>
      <c r="Q49" s="3" t="n"/>
    </row>
    <row r="50">
      <c r="A50" s="3" t="n">
        <v>49</v>
      </c>
      <c r="B50" s="3" t="inlineStr">
        <is>
          <t>Desember 2025</t>
        </is>
      </c>
      <c r="C50" s="3">
        <f>'Data Aset'!B52</f>
        <v/>
      </c>
      <c r="D50" s="3">
        <f>'Data Aset'!F52</f>
        <v/>
      </c>
      <c r="E50" s="3" t="inlineStr">
        <is>
          <t>Inventaris Ruangan</t>
        </is>
      </c>
      <c r="F50" s="3">
        <f>'Data Aset'!C52</f>
        <v/>
      </c>
      <c r="G50" s="3">
        <f>'Data Aset'!J52</f>
        <v/>
      </c>
      <c r="H50" s="5">
        <f>'Data Aset'!M52</f>
        <v/>
      </c>
      <c r="I50" s="3">
        <f>'Data Aset'!O52</f>
        <v/>
      </c>
      <c r="J50" s="5" t="n">
        <v>0</v>
      </c>
      <c r="K50" s="3" t="inlineStr">
        <is>
          <t>Garis Lurus</t>
        </is>
      </c>
      <c r="L50" s="5">
        <f>IFERROR(M50/12,"")</f>
        <v/>
      </c>
      <c r="M50" s="5">
        <f>IFERROR((H50-J50)/I50,"")</f>
        <v/>
      </c>
      <c r="N50" s="5">
        <f>IFERROR(M50,"")</f>
        <v/>
      </c>
      <c r="O50" s="5">
        <f>IFERROR(H50-N50,"")</f>
        <v/>
      </c>
      <c r="P50" s="3" t="inlineStr">
        <is>
          <t>Belum dihitung</t>
        </is>
      </c>
      <c r="Q50" s="3" t="n"/>
    </row>
    <row r="51">
      <c r="A51" s="3" t="n">
        <v>50</v>
      </c>
      <c r="B51" s="3" t="inlineStr">
        <is>
          <t>Desember 2025</t>
        </is>
      </c>
      <c r="C51" s="3">
        <f>'Data Aset'!B53</f>
        <v/>
      </c>
      <c r="D51" s="3">
        <f>'Data Aset'!F53</f>
        <v/>
      </c>
      <c r="E51" s="3" t="inlineStr">
        <is>
          <t>Inventaris Ruangan</t>
        </is>
      </c>
      <c r="F51" s="3">
        <f>'Data Aset'!C53</f>
        <v/>
      </c>
      <c r="G51" s="3">
        <f>'Data Aset'!J53</f>
        <v/>
      </c>
      <c r="H51" s="5">
        <f>'Data Aset'!M53</f>
        <v/>
      </c>
      <c r="I51" s="3">
        <f>'Data Aset'!O53</f>
        <v/>
      </c>
      <c r="J51" s="5" t="n">
        <v>0</v>
      </c>
      <c r="K51" s="3" t="inlineStr">
        <is>
          <t>Garis Lurus</t>
        </is>
      </c>
      <c r="L51" s="5">
        <f>IFERROR(M51/12,"")</f>
        <v/>
      </c>
      <c r="M51" s="5">
        <f>IFERROR((H51-J51)/I51,"")</f>
        <v/>
      </c>
      <c r="N51" s="5">
        <f>IFERROR(M51,"")</f>
        <v/>
      </c>
      <c r="O51" s="5">
        <f>IFERROR(H51-N51,"")</f>
        <v/>
      </c>
      <c r="P51" s="3" t="inlineStr">
        <is>
          <t>Belum dihitung</t>
        </is>
      </c>
      <c r="Q51" s="3" t="n"/>
    </row>
    <row r="52">
      <c r="A52" s="3" t="n">
        <v>51</v>
      </c>
      <c r="B52" s="3" t="inlineStr">
        <is>
          <t>Desember 2025</t>
        </is>
      </c>
      <c r="C52" s="3">
        <f>'Data Aset'!B54</f>
        <v/>
      </c>
      <c r="D52" s="3">
        <f>'Data Aset'!F54</f>
        <v/>
      </c>
      <c r="E52" s="3" t="inlineStr">
        <is>
          <t>Inventaris Ruangan</t>
        </is>
      </c>
      <c r="F52" s="3">
        <f>'Data Aset'!C54</f>
        <v/>
      </c>
      <c r="G52" s="3">
        <f>'Data Aset'!J54</f>
        <v/>
      </c>
      <c r="H52" s="5">
        <f>'Data Aset'!M54</f>
        <v/>
      </c>
      <c r="I52" s="3">
        <f>'Data Aset'!O54</f>
        <v/>
      </c>
      <c r="J52" s="5" t="n">
        <v>0</v>
      </c>
      <c r="K52" s="3" t="inlineStr">
        <is>
          <t>Garis Lurus</t>
        </is>
      </c>
      <c r="L52" s="5">
        <f>IFERROR(M52/12,"")</f>
        <v/>
      </c>
      <c r="M52" s="5">
        <f>IFERROR((H52-J52)/I52,"")</f>
        <v/>
      </c>
      <c r="N52" s="5">
        <f>IFERROR(M52,"")</f>
        <v/>
      </c>
      <c r="O52" s="5">
        <f>IFERROR(H52-N52,"")</f>
        <v/>
      </c>
      <c r="P52" s="3" t="inlineStr">
        <is>
          <t>Belum dihitung</t>
        </is>
      </c>
      <c r="Q52" s="3" t="n"/>
    </row>
    <row r="53">
      <c r="A53" s="3" t="n">
        <v>52</v>
      </c>
      <c r="B53" s="3" t="inlineStr">
        <is>
          <t>Desember 2025</t>
        </is>
      </c>
      <c r="C53" s="3">
        <f>'Data Aset'!B55</f>
        <v/>
      </c>
      <c r="D53" s="3">
        <f>'Data Aset'!F55</f>
        <v/>
      </c>
      <c r="E53" s="3" t="inlineStr">
        <is>
          <t>Inventaris Ruangan</t>
        </is>
      </c>
      <c r="F53" s="3">
        <f>'Data Aset'!C55</f>
        <v/>
      </c>
      <c r="G53" s="3">
        <f>'Data Aset'!J55</f>
        <v/>
      </c>
      <c r="H53" s="5">
        <f>'Data Aset'!M55</f>
        <v/>
      </c>
      <c r="I53" s="3">
        <f>'Data Aset'!O55</f>
        <v/>
      </c>
      <c r="J53" s="5" t="n">
        <v>0</v>
      </c>
      <c r="K53" s="3" t="inlineStr">
        <is>
          <t>Garis Lurus</t>
        </is>
      </c>
      <c r="L53" s="5">
        <f>IFERROR(M53/12,"")</f>
        <v/>
      </c>
      <c r="M53" s="5">
        <f>IFERROR((H53-J53)/I53,"")</f>
        <v/>
      </c>
      <c r="N53" s="5">
        <f>IFERROR(M53,"")</f>
        <v/>
      </c>
      <c r="O53" s="5">
        <f>IFERROR(H53-N53,"")</f>
        <v/>
      </c>
      <c r="P53" s="3" t="inlineStr">
        <is>
          <t>Belum dihitung</t>
        </is>
      </c>
      <c r="Q53" s="3" t="n"/>
    </row>
    <row r="54">
      <c r="A54" s="3" t="n">
        <v>53</v>
      </c>
      <c r="B54" s="3" t="inlineStr">
        <is>
          <t>Desember 2025</t>
        </is>
      </c>
      <c r="C54" s="3">
        <f>'Data Aset'!B56</f>
        <v/>
      </c>
      <c r="D54" s="3">
        <f>'Data Aset'!F56</f>
        <v/>
      </c>
      <c r="E54" s="3" t="inlineStr">
        <is>
          <t>Inventaris Ruangan</t>
        </is>
      </c>
      <c r="F54" s="3">
        <f>'Data Aset'!C56</f>
        <v/>
      </c>
      <c r="G54" s="3">
        <f>'Data Aset'!J56</f>
        <v/>
      </c>
      <c r="H54" s="5">
        <f>'Data Aset'!M56</f>
        <v/>
      </c>
      <c r="I54" s="3">
        <f>'Data Aset'!O56</f>
        <v/>
      </c>
      <c r="J54" s="5" t="n">
        <v>0</v>
      </c>
      <c r="K54" s="3" t="inlineStr">
        <is>
          <t>Garis Lurus</t>
        </is>
      </c>
      <c r="L54" s="5">
        <f>IFERROR(M54/12,"")</f>
        <v/>
      </c>
      <c r="M54" s="5">
        <f>IFERROR((H54-J54)/I54,"")</f>
        <v/>
      </c>
      <c r="N54" s="5">
        <f>IFERROR(M54,"")</f>
        <v/>
      </c>
      <c r="O54" s="5">
        <f>IFERROR(H54-N54,"")</f>
        <v/>
      </c>
      <c r="P54" s="3" t="inlineStr">
        <is>
          <t>Belum dihitung</t>
        </is>
      </c>
      <c r="Q54" s="3" t="n"/>
    </row>
    <row r="55">
      <c r="A55" s="3" t="n">
        <v>54</v>
      </c>
      <c r="B55" s="3" t="inlineStr">
        <is>
          <t>Desember 2025</t>
        </is>
      </c>
      <c r="C55" s="3">
        <f>'Data Aset'!B57</f>
        <v/>
      </c>
      <c r="D55" s="3">
        <f>'Data Aset'!F57</f>
        <v/>
      </c>
      <c r="E55" s="3" t="inlineStr">
        <is>
          <t>Inventaris Ruangan</t>
        </is>
      </c>
      <c r="F55" s="3">
        <f>'Data Aset'!C57</f>
        <v/>
      </c>
      <c r="G55" s="3">
        <f>'Data Aset'!J57</f>
        <v/>
      </c>
      <c r="H55" s="5">
        <f>'Data Aset'!M57</f>
        <v/>
      </c>
      <c r="I55" s="3">
        <f>'Data Aset'!O57</f>
        <v/>
      </c>
      <c r="J55" s="5" t="n">
        <v>0</v>
      </c>
      <c r="K55" s="3" t="inlineStr">
        <is>
          <t>Garis Lurus</t>
        </is>
      </c>
      <c r="L55" s="5">
        <f>IFERROR(M55/12,"")</f>
        <v/>
      </c>
      <c r="M55" s="5">
        <f>IFERROR((H55-J55)/I55,"")</f>
        <v/>
      </c>
      <c r="N55" s="5">
        <f>IFERROR(M55,"")</f>
        <v/>
      </c>
      <c r="O55" s="5">
        <f>IFERROR(H55-N55,"")</f>
        <v/>
      </c>
      <c r="P55" s="3" t="inlineStr">
        <is>
          <t>Belum dihitung</t>
        </is>
      </c>
      <c r="Q55" s="3" t="n"/>
    </row>
    <row r="56">
      <c r="A56" s="3" t="n">
        <v>55</v>
      </c>
      <c r="B56" s="3" t="inlineStr">
        <is>
          <t>Desember 2025</t>
        </is>
      </c>
      <c r="C56" s="3">
        <f>'Data Aset'!B58</f>
        <v/>
      </c>
      <c r="D56" s="3">
        <f>'Data Aset'!F58</f>
        <v/>
      </c>
      <c r="E56" s="3" t="inlineStr">
        <is>
          <t>Inventaris Ruangan</t>
        </is>
      </c>
      <c r="F56" s="3">
        <f>'Data Aset'!C58</f>
        <v/>
      </c>
      <c r="G56" s="3">
        <f>'Data Aset'!J58</f>
        <v/>
      </c>
      <c r="H56" s="5">
        <f>'Data Aset'!M58</f>
        <v/>
      </c>
      <c r="I56" s="3">
        <f>'Data Aset'!O58</f>
        <v/>
      </c>
      <c r="J56" s="5" t="n">
        <v>0</v>
      </c>
      <c r="K56" s="3" t="inlineStr">
        <is>
          <t>Garis Lurus</t>
        </is>
      </c>
      <c r="L56" s="5">
        <f>IFERROR(M56/12,"")</f>
        <v/>
      </c>
      <c r="M56" s="5">
        <f>IFERROR((H56-J56)/I56,"")</f>
        <v/>
      </c>
      <c r="N56" s="5">
        <f>IFERROR(M56,"")</f>
        <v/>
      </c>
      <c r="O56" s="5">
        <f>IFERROR(H56-N56,"")</f>
        <v/>
      </c>
      <c r="P56" s="3" t="inlineStr">
        <is>
          <t>Belum dihitung</t>
        </is>
      </c>
      <c r="Q56" s="3" t="n"/>
    </row>
    <row r="57">
      <c r="A57" s="3" t="n">
        <v>56</v>
      </c>
      <c r="B57" s="3" t="inlineStr">
        <is>
          <t>Desember 2025</t>
        </is>
      </c>
      <c r="C57" s="3">
        <f>'Data Aset'!B59</f>
        <v/>
      </c>
      <c r="D57" s="3">
        <f>'Data Aset'!F59</f>
        <v/>
      </c>
      <c r="E57" s="3" t="inlineStr">
        <is>
          <t>Inventaris Ruangan</t>
        </is>
      </c>
      <c r="F57" s="3">
        <f>'Data Aset'!C59</f>
        <v/>
      </c>
      <c r="G57" s="3">
        <f>'Data Aset'!J59</f>
        <v/>
      </c>
      <c r="H57" s="5">
        <f>'Data Aset'!M59</f>
        <v/>
      </c>
      <c r="I57" s="3">
        <f>'Data Aset'!O59</f>
        <v/>
      </c>
      <c r="J57" s="5" t="n">
        <v>0</v>
      </c>
      <c r="K57" s="3" t="inlineStr">
        <is>
          <t>Garis Lurus</t>
        </is>
      </c>
      <c r="L57" s="5">
        <f>IFERROR(M57/12,"")</f>
        <v/>
      </c>
      <c r="M57" s="5">
        <f>IFERROR((H57-J57)/I57,"")</f>
        <v/>
      </c>
      <c r="N57" s="5">
        <f>IFERROR(M57,"")</f>
        <v/>
      </c>
      <c r="O57" s="5">
        <f>IFERROR(H57-N57,"")</f>
        <v/>
      </c>
      <c r="P57" s="3" t="inlineStr">
        <is>
          <t>Belum dihitung</t>
        </is>
      </c>
      <c r="Q57" s="3" t="n"/>
    </row>
    <row r="58">
      <c r="A58" s="3" t="n">
        <v>57</v>
      </c>
      <c r="B58" s="3" t="inlineStr">
        <is>
          <t>Desember 2025</t>
        </is>
      </c>
      <c r="C58" s="3">
        <f>'Data Aset'!B60</f>
        <v/>
      </c>
      <c r="D58" s="3">
        <f>'Data Aset'!F60</f>
        <v/>
      </c>
      <c r="E58" s="3" t="inlineStr">
        <is>
          <t>Inventaris Ruangan</t>
        </is>
      </c>
      <c r="F58" s="3">
        <f>'Data Aset'!C60</f>
        <v/>
      </c>
      <c r="G58" s="3">
        <f>'Data Aset'!J60</f>
        <v/>
      </c>
      <c r="H58" s="5">
        <f>'Data Aset'!M60</f>
        <v/>
      </c>
      <c r="I58" s="3">
        <f>'Data Aset'!O60</f>
        <v/>
      </c>
      <c r="J58" s="5" t="n">
        <v>0</v>
      </c>
      <c r="K58" s="3" t="inlineStr">
        <is>
          <t>Garis Lurus</t>
        </is>
      </c>
      <c r="L58" s="5">
        <f>IFERROR(M58/12,"")</f>
        <v/>
      </c>
      <c r="M58" s="5">
        <f>IFERROR((H58-J58)/I58,"")</f>
        <v/>
      </c>
      <c r="N58" s="5">
        <f>IFERROR(M58,"")</f>
        <v/>
      </c>
      <c r="O58" s="5">
        <f>IFERROR(H58-N58,"")</f>
        <v/>
      </c>
      <c r="P58" s="3" t="inlineStr">
        <is>
          <t>Belum dihitung</t>
        </is>
      </c>
      <c r="Q58" s="3" t="n"/>
    </row>
    <row r="59">
      <c r="A59" s="3" t="n">
        <v>58</v>
      </c>
      <c r="B59" s="3" t="inlineStr">
        <is>
          <t>Desember 2025</t>
        </is>
      </c>
      <c r="C59" s="3">
        <f>'Data Aset'!B61</f>
        <v/>
      </c>
      <c r="D59" s="3">
        <f>'Data Aset'!F61</f>
        <v/>
      </c>
      <c r="E59" s="3" t="inlineStr">
        <is>
          <t>Inventaris Ruangan</t>
        </is>
      </c>
      <c r="F59" s="3">
        <f>'Data Aset'!C61</f>
        <v/>
      </c>
      <c r="G59" s="3">
        <f>'Data Aset'!J61</f>
        <v/>
      </c>
      <c r="H59" s="5">
        <f>'Data Aset'!M61</f>
        <v/>
      </c>
      <c r="I59" s="3">
        <f>'Data Aset'!O61</f>
        <v/>
      </c>
      <c r="J59" s="5" t="n">
        <v>0</v>
      </c>
      <c r="K59" s="3" t="inlineStr">
        <is>
          <t>Garis Lurus</t>
        </is>
      </c>
      <c r="L59" s="5">
        <f>IFERROR(M59/12,"")</f>
        <v/>
      </c>
      <c r="M59" s="5">
        <f>IFERROR((H59-J59)/I59,"")</f>
        <v/>
      </c>
      <c r="N59" s="5">
        <f>IFERROR(M59,"")</f>
        <v/>
      </c>
      <c r="O59" s="5">
        <f>IFERROR(H59-N59,"")</f>
        <v/>
      </c>
      <c r="P59" s="3" t="inlineStr">
        <is>
          <t>Belum dihitung</t>
        </is>
      </c>
      <c r="Q59" s="3" t="n"/>
    </row>
    <row r="60">
      <c r="A60" s="3" t="n">
        <v>59</v>
      </c>
      <c r="B60" s="3" t="inlineStr">
        <is>
          <t>Desember 2025</t>
        </is>
      </c>
      <c r="C60" s="3">
        <f>'Data Aset'!B62</f>
        <v/>
      </c>
      <c r="D60" s="3">
        <f>'Data Aset'!F62</f>
        <v/>
      </c>
      <c r="E60" s="3" t="inlineStr">
        <is>
          <t>Inventaris Ruangan</t>
        </is>
      </c>
      <c r="F60" s="3">
        <f>'Data Aset'!C62</f>
        <v/>
      </c>
      <c r="G60" s="3">
        <f>'Data Aset'!J62</f>
        <v/>
      </c>
      <c r="H60" s="5">
        <f>'Data Aset'!M62</f>
        <v/>
      </c>
      <c r="I60" s="3">
        <f>'Data Aset'!O62</f>
        <v/>
      </c>
      <c r="J60" s="5" t="n">
        <v>0</v>
      </c>
      <c r="K60" s="3" t="inlineStr">
        <is>
          <t>Garis Lurus</t>
        </is>
      </c>
      <c r="L60" s="5">
        <f>IFERROR(M60/12,"")</f>
        <v/>
      </c>
      <c r="M60" s="5">
        <f>IFERROR((H60-J60)/I60,"")</f>
        <v/>
      </c>
      <c r="N60" s="5">
        <f>IFERROR(M60,"")</f>
        <v/>
      </c>
      <c r="O60" s="5">
        <f>IFERROR(H60-N60,"")</f>
        <v/>
      </c>
      <c r="P60" s="3" t="inlineStr">
        <is>
          <t>Belum dihitung</t>
        </is>
      </c>
      <c r="Q60" s="3" t="n"/>
    </row>
    <row r="61">
      <c r="A61" s="3" t="n">
        <v>60</v>
      </c>
      <c r="B61" s="3" t="inlineStr">
        <is>
          <t>Desember 2025</t>
        </is>
      </c>
      <c r="C61" s="3">
        <f>'Data Aset'!B63</f>
        <v/>
      </c>
      <c r="D61" s="3">
        <f>'Data Aset'!F63</f>
        <v/>
      </c>
      <c r="E61" s="3" t="inlineStr">
        <is>
          <t>Inventaris Ruangan</t>
        </is>
      </c>
      <c r="F61" s="3">
        <f>'Data Aset'!C63</f>
        <v/>
      </c>
      <c r="G61" s="3">
        <f>'Data Aset'!J63</f>
        <v/>
      </c>
      <c r="H61" s="5">
        <f>'Data Aset'!M63</f>
        <v/>
      </c>
      <c r="I61" s="3">
        <f>'Data Aset'!O63</f>
        <v/>
      </c>
      <c r="J61" s="5" t="n">
        <v>0</v>
      </c>
      <c r="K61" s="3" t="inlineStr">
        <is>
          <t>Garis Lurus</t>
        </is>
      </c>
      <c r="L61" s="5">
        <f>IFERROR(M61/12,"")</f>
        <v/>
      </c>
      <c r="M61" s="5">
        <f>IFERROR((H61-J61)/I61,"")</f>
        <v/>
      </c>
      <c r="N61" s="5">
        <f>IFERROR(M61,"")</f>
        <v/>
      </c>
      <c r="O61" s="5">
        <f>IFERROR(H61-N61,"")</f>
        <v/>
      </c>
      <c r="P61" s="3" t="inlineStr">
        <is>
          <t>Belum dihitung</t>
        </is>
      </c>
      <c r="Q61" s="3" t="n"/>
    </row>
    <row r="62">
      <c r="A62" s="3" t="n">
        <v>61</v>
      </c>
      <c r="B62" s="3" t="inlineStr">
        <is>
          <t>Desember 2025</t>
        </is>
      </c>
      <c r="C62" s="3">
        <f>'Data Aset'!B64</f>
        <v/>
      </c>
      <c r="D62" s="3">
        <f>'Data Aset'!F64</f>
        <v/>
      </c>
      <c r="E62" s="3" t="inlineStr">
        <is>
          <t>Inventaris Ruangan</t>
        </is>
      </c>
      <c r="F62" s="3">
        <f>'Data Aset'!C64</f>
        <v/>
      </c>
      <c r="G62" s="3">
        <f>'Data Aset'!J64</f>
        <v/>
      </c>
      <c r="H62" s="5">
        <f>'Data Aset'!M64</f>
        <v/>
      </c>
      <c r="I62" s="3">
        <f>'Data Aset'!O64</f>
        <v/>
      </c>
      <c r="J62" s="5" t="n">
        <v>0</v>
      </c>
      <c r="K62" s="3" t="inlineStr">
        <is>
          <t>Garis Lurus</t>
        </is>
      </c>
      <c r="L62" s="5">
        <f>IFERROR(M62/12,"")</f>
        <v/>
      </c>
      <c r="M62" s="5">
        <f>IFERROR((H62-J62)/I62,"")</f>
        <v/>
      </c>
      <c r="N62" s="5">
        <f>IFERROR(M62,"")</f>
        <v/>
      </c>
      <c r="O62" s="5">
        <f>IFERROR(H62-N62,"")</f>
        <v/>
      </c>
      <c r="P62" s="3" t="inlineStr">
        <is>
          <t>Belum dihitung</t>
        </is>
      </c>
      <c r="Q62" s="3" t="n"/>
    </row>
    <row r="63">
      <c r="A63" s="3" t="n">
        <v>62</v>
      </c>
      <c r="B63" s="3" t="inlineStr">
        <is>
          <t>Desember 2025</t>
        </is>
      </c>
      <c r="C63" s="3">
        <f>'Data Aset'!B65</f>
        <v/>
      </c>
      <c r="D63" s="3">
        <f>'Data Aset'!F65</f>
        <v/>
      </c>
      <c r="E63" s="3" t="inlineStr">
        <is>
          <t>Inventaris Ruangan</t>
        </is>
      </c>
      <c r="F63" s="3">
        <f>'Data Aset'!C65</f>
        <v/>
      </c>
      <c r="G63" s="3">
        <f>'Data Aset'!J65</f>
        <v/>
      </c>
      <c r="H63" s="5">
        <f>'Data Aset'!M65</f>
        <v/>
      </c>
      <c r="I63" s="3">
        <f>'Data Aset'!O65</f>
        <v/>
      </c>
      <c r="J63" s="5" t="n">
        <v>0</v>
      </c>
      <c r="K63" s="3" t="inlineStr">
        <is>
          <t>Garis Lurus</t>
        </is>
      </c>
      <c r="L63" s="5">
        <f>IFERROR(M63/12,"")</f>
        <v/>
      </c>
      <c r="M63" s="5">
        <f>IFERROR((H63-J63)/I63,"")</f>
        <v/>
      </c>
      <c r="N63" s="5">
        <f>IFERROR(M63,"")</f>
        <v/>
      </c>
      <c r="O63" s="5">
        <f>IFERROR(H63-N63,"")</f>
        <v/>
      </c>
      <c r="P63" s="3" t="inlineStr">
        <is>
          <t>Belum dihitung</t>
        </is>
      </c>
      <c r="Q63" s="3" t="n"/>
    </row>
    <row r="64">
      <c r="A64" s="3" t="n">
        <v>63</v>
      </c>
      <c r="B64" s="3" t="inlineStr">
        <is>
          <t>Desember 2025</t>
        </is>
      </c>
      <c r="C64" s="3">
        <f>'Data Aset'!B66</f>
        <v/>
      </c>
      <c r="D64" s="3">
        <f>'Data Aset'!F66</f>
        <v/>
      </c>
      <c r="E64" s="3" t="inlineStr">
        <is>
          <t>Inventaris Ruangan</t>
        </is>
      </c>
      <c r="F64" s="3">
        <f>'Data Aset'!C66</f>
        <v/>
      </c>
      <c r="G64" s="3">
        <f>'Data Aset'!J66</f>
        <v/>
      </c>
      <c r="H64" s="5">
        <f>'Data Aset'!M66</f>
        <v/>
      </c>
      <c r="I64" s="3">
        <f>'Data Aset'!O66</f>
        <v/>
      </c>
      <c r="J64" s="5" t="n">
        <v>0</v>
      </c>
      <c r="K64" s="3" t="inlineStr">
        <is>
          <t>Garis Lurus</t>
        </is>
      </c>
      <c r="L64" s="5">
        <f>IFERROR(M64/12,"")</f>
        <v/>
      </c>
      <c r="M64" s="5">
        <f>IFERROR((H64-J64)/I64,"")</f>
        <v/>
      </c>
      <c r="N64" s="5">
        <f>IFERROR(M64,"")</f>
        <v/>
      </c>
      <c r="O64" s="5">
        <f>IFERROR(H64-N64,"")</f>
        <v/>
      </c>
      <c r="P64" s="3" t="inlineStr">
        <is>
          <t>Belum dihitung</t>
        </is>
      </c>
      <c r="Q64" s="3" t="n"/>
    </row>
    <row r="65">
      <c r="A65" s="3" t="n">
        <v>64</v>
      </c>
      <c r="B65" s="3" t="inlineStr">
        <is>
          <t>Desember 2025</t>
        </is>
      </c>
      <c r="C65" s="3">
        <f>'Data Aset'!B67</f>
        <v/>
      </c>
      <c r="D65" s="3">
        <f>'Data Aset'!F67</f>
        <v/>
      </c>
      <c r="E65" s="3" t="inlineStr">
        <is>
          <t>Inventaris Ruangan</t>
        </is>
      </c>
      <c r="F65" s="3">
        <f>'Data Aset'!C67</f>
        <v/>
      </c>
      <c r="G65" s="3">
        <f>'Data Aset'!J67</f>
        <v/>
      </c>
      <c r="H65" s="5">
        <f>'Data Aset'!M67</f>
        <v/>
      </c>
      <c r="I65" s="3">
        <f>'Data Aset'!O67</f>
        <v/>
      </c>
      <c r="J65" s="5" t="n">
        <v>0</v>
      </c>
      <c r="K65" s="3" t="inlineStr">
        <is>
          <t>Garis Lurus</t>
        </is>
      </c>
      <c r="L65" s="5">
        <f>IFERROR(M65/12,"")</f>
        <v/>
      </c>
      <c r="M65" s="5">
        <f>IFERROR((H65-J65)/I65,"")</f>
        <v/>
      </c>
      <c r="N65" s="5">
        <f>IFERROR(M65,"")</f>
        <v/>
      </c>
      <c r="O65" s="5">
        <f>IFERROR(H65-N65,"")</f>
        <v/>
      </c>
      <c r="P65" s="3" t="inlineStr">
        <is>
          <t>Belum dihitung</t>
        </is>
      </c>
      <c r="Q65" s="3" t="n"/>
    </row>
    <row r="66">
      <c r="A66" s="3" t="n">
        <v>65</v>
      </c>
      <c r="B66" s="3" t="inlineStr">
        <is>
          <t>Desember 2025</t>
        </is>
      </c>
      <c r="C66" s="3">
        <f>'Data Aset'!B68</f>
        <v/>
      </c>
      <c r="D66" s="3">
        <f>'Data Aset'!F68</f>
        <v/>
      </c>
      <c r="E66" s="3" t="inlineStr">
        <is>
          <t>Inventaris Ruangan</t>
        </is>
      </c>
      <c r="F66" s="3">
        <f>'Data Aset'!C68</f>
        <v/>
      </c>
      <c r="G66" s="3">
        <f>'Data Aset'!J68</f>
        <v/>
      </c>
      <c r="H66" s="5">
        <f>'Data Aset'!M68</f>
        <v/>
      </c>
      <c r="I66" s="3">
        <f>'Data Aset'!O68</f>
        <v/>
      </c>
      <c r="J66" s="5" t="n">
        <v>0</v>
      </c>
      <c r="K66" s="3" t="inlineStr">
        <is>
          <t>Garis Lurus</t>
        </is>
      </c>
      <c r="L66" s="5">
        <f>IFERROR(M66/12,"")</f>
        <v/>
      </c>
      <c r="M66" s="5">
        <f>IFERROR((H66-J66)/I66,"")</f>
        <v/>
      </c>
      <c r="N66" s="5">
        <f>IFERROR(M66,"")</f>
        <v/>
      </c>
      <c r="O66" s="5">
        <f>IFERROR(H66-N66,"")</f>
        <v/>
      </c>
      <c r="P66" s="3" t="inlineStr">
        <is>
          <t>Belum dihitung</t>
        </is>
      </c>
      <c r="Q66" s="3" t="n"/>
    </row>
    <row r="67">
      <c r="A67" s="3" t="n">
        <v>66</v>
      </c>
      <c r="B67" s="3" t="inlineStr">
        <is>
          <t>Desember 2025</t>
        </is>
      </c>
      <c r="C67" s="3">
        <f>'Data Aset'!B69</f>
        <v/>
      </c>
      <c r="D67" s="3">
        <f>'Data Aset'!F69</f>
        <v/>
      </c>
      <c r="E67" s="3" t="inlineStr">
        <is>
          <t>Inventaris Ruangan</t>
        </is>
      </c>
      <c r="F67" s="3">
        <f>'Data Aset'!C69</f>
        <v/>
      </c>
      <c r="G67" s="3">
        <f>'Data Aset'!J69</f>
        <v/>
      </c>
      <c r="H67" s="5">
        <f>'Data Aset'!M69</f>
        <v/>
      </c>
      <c r="I67" s="3">
        <f>'Data Aset'!O69</f>
        <v/>
      </c>
      <c r="J67" s="5" t="n">
        <v>0</v>
      </c>
      <c r="K67" s="3" t="inlineStr">
        <is>
          <t>Garis Lurus</t>
        </is>
      </c>
      <c r="L67" s="5">
        <f>IFERROR(M67/12,"")</f>
        <v/>
      </c>
      <c r="M67" s="5">
        <f>IFERROR((H67-J67)/I67,"")</f>
        <v/>
      </c>
      <c r="N67" s="5">
        <f>IFERROR(M67,"")</f>
        <v/>
      </c>
      <c r="O67" s="5">
        <f>IFERROR(H67-N67,"")</f>
        <v/>
      </c>
      <c r="P67" s="3" t="inlineStr">
        <is>
          <t>Belum dihitung</t>
        </is>
      </c>
      <c r="Q67" s="3" t="n"/>
    </row>
    <row r="68">
      <c r="A68" s="3" t="n">
        <v>67</v>
      </c>
      <c r="B68" s="3" t="inlineStr">
        <is>
          <t>Desember 2025</t>
        </is>
      </c>
      <c r="C68" s="3">
        <f>'Data Aset'!B70</f>
        <v/>
      </c>
      <c r="D68" s="3">
        <f>'Data Aset'!F70</f>
        <v/>
      </c>
      <c r="E68" s="3" t="inlineStr">
        <is>
          <t>Inventaris Ruangan</t>
        </is>
      </c>
      <c r="F68" s="3">
        <f>'Data Aset'!C70</f>
        <v/>
      </c>
      <c r="G68" s="3">
        <f>'Data Aset'!J70</f>
        <v/>
      </c>
      <c r="H68" s="5">
        <f>'Data Aset'!M70</f>
        <v/>
      </c>
      <c r="I68" s="3">
        <f>'Data Aset'!O70</f>
        <v/>
      </c>
      <c r="J68" s="5" t="n">
        <v>0</v>
      </c>
      <c r="K68" s="3" t="inlineStr">
        <is>
          <t>Garis Lurus</t>
        </is>
      </c>
      <c r="L68" s="5">
        <f>IFERROR(M68/12,"")</f>
        <v/>
      </c>
      <c r="M68" s="5">
        <f>IFERROR((H68-J68)/I68,"")</f>
        <v/>
      </c>
      <c r="N68" s="5">
        <f>IFERROR(M68,"")</f>
        <v/>
      </c>
      <c r="O68" s="5">
        <f>IFERROR(H68-N68,"")</f>
        <v/>
      </c>
      <c r="P68" s="3" t="inlineStr">
        <is>
          <t>Belum dihitung</t>
        </is>
      </c>
      <c r="Q68" s="3" t="n"/>
    </row>
    <row r="69">
      <c r="A69" s="3" t="n">
        <v>68</v>
      </c>
      <c r="B69" s="3" t="inlineStr">
        <is>
          <t>Desember 2025</t>
        </is>
      </c>
      <c r="C69" s="3">
        <f>'Data Aset'!B71</f>
        <v/>
      </c>
      <c r="D69" s="3">
        <f>'Data Aset'!F71</f>
        <v/>
      </c>
      <c r="E69" s="3" t="inlineStr">
        <is>
          <t>Inventaris Ruangan</t>
        </is>
      </c>
      <c r="F69" s="3">
        <f>'Data Aset'!C71</f>
        <v/>
      </c>
      <c r="G69" s="3">
        <f>'Data Aset'!J71</f>
        <v/>
      </c>
      <c r="H69" s="5">
        <f>'Data Aset'!M71</f>
        <v/>
      </c>
      <c r="I69" s="3">
        <f>'Data Aset'!O71</f>
        <v/>
      </c>
      <c r="J69" s="5" t="n">
        <v>0</v>
      </c>
      <c r="K69" s="3" t="inlineStr">
        <is>
          <t>Garis Lurus</t>
        </is>
      </c>
      <c r="L69" s="5">
        <f>IFERROR(M69/12,"")</f>
        <v/>
      </c>
      <c r="M69" s="5">
        <f>IFERROR((H69-J69)/I69,"")</f>
        <v/>
      </c>
      <c r="N69" s="5">
        <f>IFERROR(M69,"")</f>
        <v/>
      </c>
      <c r="O69" s="5">
        <f>IFERROR(H69-N69,"")</f>
        <v/>
      </c>
      <c r="P69" s="3" t="inlineStr">
        <is>
          <t>Belum dihitung</t>
        </is>
      </c>
      <c r="Q69" s="3" t="n"/>
    </row>
    <row r="70">
      <c r="A70" s="3" t="n">
        <v>69</v>
      </c>
      <c r="B70" s="3" t="inlineStr">
        <is>
          <t>Desember 2025</t>
        </is>
      </c>
      <c r="C70" s="3">
        <f>'Data Aset'!B72</f>
        <v/>
      </c>
      <c r="D70" s="3">
        <f>'Data Aset'!F72</f>
        <v/>
      </c>
      <c r="E70" s="3" t="inlineStr">
        <is>
          <t>Inventaris Ruangan</t>
        </is>
      </c>
      <c r="F70" s="3">
        <f>'Data Aset'!C72</f>
        <v/>
      </c>
      <c r="G70" s="3">
        <f>'Data Aset'!J72</f>
        <v/>
      </c>
      <c r="H70" s="5">
        <f>'Data Aset'!M72</f>
        <v/>
      </c>
      <c r="I70" s="3">
        <f>'Data Aset'!O72</f>
        <v/>
      </c>
      <c r="J70" s="5" t="n">
        <v>0</v>
      </c>
      <c r="K70" s="3" t="inlineStr">
        <is>
          <t>Garis Lurus</t>
        </is>
      </c>
      <c r="L70" s="5">
        <f>IFERROR(M70/12,"")</f>
        <v/>
      </c>
      <c r="M70" s="5">
        <f>IFERROR((H70-J70)/I70,"")</f>
        <v/>
      </c>
      <c r="N70" s="5">
        <f>IFERROR(M70,"")</f>
        <v/>
      </c>
      <c r="O70" s="5">
        <f>IFERROR(H70-N70,"")</f>
        <v/>
      </c>
      <c r="P70" s="3" t="inlineStr">
        <is>
          <t>Belum dihitung</t>
        </is>
      </c>
      <c r="Q70" s="3" t="n"/>
    </row>
    <row r="71">
      <c r="A71" s="3" t="n">
        <v>70</v>
      </c>
      <c r="B71" s="3" t="inlineStr">
        <is>
          <t>Desember 2025</t>
        </is>
      </c>
      <c r="C71" s="3">
        <f>'Data Aset'!B73</f>
        <v/>
      </c>
      <c r="D71" s="3">
        <f>'Data Aset'!F73</f>
        <v/>
      </c>
      <c r="E71" s="3" t="inlineStr">
        <is>
          <t>Inventaris Ruangan</t>
        </is>
      </c>
      <c r="F71" s="3">
        <f>'Data Aset'!C73</f>
        <v/>
      </c>
      <c r="G71" s="3">
        <f>'Data Aset'!J73</f>
        <v/>
      </c>
      <c r="H71" s="5">
        <f>'Data Aset'!M73</f>
        <v/>
      </c>
      <c r="I71" s="3">
        <f>'Data Aset'!O73</f>
        <v/>
      </c>
      <c r="J71" s="5" t="n">
        <v>0</v>
      </c>
      <c r="K71" s="3" t="inlineStr">
        <is>
          <t>Garis Lurus</t>
        </is>
      </c>
      <c r="L71" s="5">
        <f>IFERROR(M71/12,"")</f>
        <v/>
      </c>
      <c r="M71" s="5">
        <f>IFERROR((H71-J71)/I71,"")</f>
        <v/>
      </c>
      <c r="N71" s="5">
        <f>IFERROR(M71,"")</f>
        <v/>
      </c>
      <c r="O71" s="5">
        <f>IFERROR(H71-N71,"")</f>
        <v/>
      </c>
      <c r="P71" s="3" t="inlineStr">
        <is>
          <t>Belum dihitung</t>
        </is>
      </c>
      <c r="Q71" s="3" t="n"/>
    </row>
    <row r="72">
      <c r="A72" s="3" t="n">
        <v>71</v>
      </c>
      <c r="B72" s="3" t="inlineStr">
        <is>
          <t>Desember 2025</t>
        </is>
      </c>
      <c r="C72" s="3">
        <f>'Data Aset'!B74</f>
        <v/>
      </c>
      <c r="D72" s="3">
        <f>'Data Aset'!F74</f>
        <v/>
      </c>
      <c r="E72" s="3" t="inlineStr">
        <is>
          <t>Inventaris Ruangan</t>
        </is>
      </c>
      <c r="F72" s="3">
        <f>'Data Aset'!C74</f>
        <v/>
      </c>
      <c r="G72" s="3">
        <f>'Data Aset'!J74</f>
        <v/>
      </c>
      <c r="H72" s="5">
        <f>'Data Aset'!M74</f>
        <v/>
      </c>
      <c r="I72" s="3">
        <f>'Data Aset'!O74</f>
        <v/>
      </c>
      <c r="J72" s="5" t="n">
        <v>0</v>
      </c>
      <c r="K72" s="3" t="inlineStr">
        <is>
          <t>Garis Lurus</t>
        </is>
      </c>
      <c r="L72" s="5">
        <f>IFERROR(M72/12,"")</f>
        <v/>
      </c>
      <c r="M72" s="5">
        <f>IFERROR((H72-J72)/I72,"")</f>
        <v/>
      </c>
      <c r="N72" s="5">
        <f>IFERROR(M72,"")</f>
        <v/>
      </c>
      <c r="O72" s="5">
        <f>IFERROR(H72-N72,"")</f>
        <v/>
      </c>
      <c r="P72" s="3" t="inlineStr">
        <is>
          <t>Belum dihitung</t>
        </is>
      </c>
      <c r="Q72" s="3" t="n"/>
    </row>
    <row r="73">
      <c r="A73" s="3" t="n">
        <v>72</v>
      </c>
      <c r="B73" s="3" t="inlineStr">
        <is>
          <t>Desember 2025</t>
        </is>
      </c>
      <c r="C73" s="3">
        <f>'Data Aset'!B75</f>
        <v/>
      </c>
      <c r="D73" s="3">
        <f>'Data Aset'!F75</f>
        <v/>
      </c>
      <c r="E73" s="3" t="inlineStr">
        <is>
          <t>Inventaris Ruangan</t>
        </is>
      </c>
      <c r="F73" s="3">
        <f>'Data Aset'!C75</f>
        <v/>
      </c>
      <c r="G73" s="3">
        <f>'Data Aset'!J75</f>
        <v/>
      </c>
      <c r="H73" s="5">
        <f>'Data Aset'!M75</f>
        <v/>
      </c>
      <c r="I73" s="3">
        <f>'Data Aset'!O75</f>
        <v/>
      </c>
      <c r="J73" s="5" t="n">
        <v>0</v>
      </c>
      <c r="K73" s="3" t="inlineStr">
        <is>
          <t>Garis Lurus</t>
        </is>
      </c>
      <c r="L73" s="5">
        <f>IFERROR(M73/12,"")</f>
        <v/>
      </c>
      <c r="M73" s="5">
        <f>IFERROR((H73-J73)/I73,"")</f>
        <v/>
      </c>
      <c r="N73" s="5">
        <f>IFERROR(M73,"")</f>
        <v/>
      </c>
      <c r="O73" s="5">
        <f>IFERROR(H73-N73,"")</f>
        <v/>
      </c>
      <c r="P73" s="3" t="inlineStr">
        <is>
          <t>Belum dihitung</t>
        </is>
      </c>
      <c r="Q73" s="3" t="n"/>
    </row>
    <row r="74">
      <c r="A74" s="3" t="n">
        <v>73</v>
      </c>
      <c r="B74" s="3" t="inlineStr">
        <is>
          <t>Desember 2025</t>
        </is>
      </c>
      <c r="C74" s="3">
        <f>'Data Aset'!B76</f>
        <v/>
      </c>
      <c r="D74" s="3">
        <f>'Data Aset'!F76</f>
        <v/>
      </c>
      <c r="E74" s="3" t="inlineStr">
        <is>
          <t>Inventaris Ruangan</t>
        </is>
      </c>
      <c r="F74" s="3">
        <f>'Data Aset'!C76</f>
        <v/>
      </c>
      <c r="G74" s="3">
        <f>'Data Aset'!J76</f>
        <v/>
      </c>
      <c r="H74" s="5">
        <f>'Data Aset'!M76</f>
        <v/>
      </c>
      <c r="I74" s="3">
        <f>'Data Aset'!O76</f>
        <v/>
      </c>
      <c r="J74" s="5" t="n">
        <v>0</v>
      </c>
      <c r="K74" s="3" t="inlineStr">
        <is>
          <t>Garis Lurus</t>
        </is>
      </c>
      <c r="L74" s="5">
        <f>IFERROR(M74/12,"")</f>
        <v/>
      </c>
      <c r="M74" s="5">
        <f>IFERROR((H74-J74)/I74,"")</f>
        <v/>
      </c>
      <c r="N74" s="5">
        <f>IFERROR(M74,"")</f>
        <v/>
      </c>
      <c r="O74" s="5">
        <f>IFERROR(H74-N74,"")</f>
        <v/>
      </c>
      <c r="P74" s="3" t="inlineStr">
        <is>
          <t>Belum dihitung</t>
        </is>
      </c>
      <c r="Q74" s="3" t="n"/>
    </row>
    <row r="75">
      <c r="A75" s="3" t="n">
        <v>74</v>
      </c>
      <c r="B75" s="3" t="inlineStr">
        <is>
          <t>Desember 2025</t>
        </is>
      </c>
      <c r="C75" s="3">
        <f>'Data Aset'!B77</f>
        <v/>
      </c>
      <c r="D75" s="3">
        <f>'Data Aset'!F77</f>
        <v/>
      </c>
      <c r="E75" s="3" t="inlineStr">
        <is>
          <t>Inventaris Ruangan</t>
        </is>
      </c>
      <c r="F75" s="3">
        <f>'Data Aset'!C77</f>
        <v/>
      </c>
      <c r="G75" s="3">
        <f>'Data Aset'!J77</f>
        <v/>
      </c>
      <c r="H75" s="5">
        <f>'Data Aset'!M77</f>
        <v/>
      </c>
      <c r="I75" s="3">
        <f>'Data Aset'!O77</f>
        <v/>
      </c>
      <c r="J75" s="5" t="n">
        <v>0</v>
      </c>
      <c r="K75" s="3" t="inlineStr">
        <is>
          <t>Garis Lurus</t>
        </is>
      </c>
      <c r="L75" s="5">
        <f>IFERROR(M75/12,"")</f>
        <v/>
      </c>
      <c r="M75" s="5">
        <f>IFERROR((H75-J75)/I75,"")</f>
        <v/>
      </c>
      <c r="N75" s="5">
        <f>IFERROR(M75,"")</f>
        <v/>
      </c>
      <c r="O75" s="5">
        <f>IFERROR(H75-N75,"")</f>
        <v/>
      </c>
      <c r="P75" s="3" t="inlineStr">
        <is>
          <t>Belum dihitung</t>
        </is>
      </c>
      <c r="Q75" s="3" t="n"/>
    </row>
    <row r="76">
      <c r="A76" s="3" t="n">
        <v>75</v>
      </c>
      <c r="B76" s="3" t="inlineStr">
        <is>
          <t>Desember 2025</t>
        </is>
      </c>
      <c r="C76" s="3">
        <f>'Data Aset'!B78</f>
        <v/>
      </c>
      <c r="D76" s="3">
        <f>'Data Aset'!F78</f>
        <v/>
      </c>
      <c r="E76" s="3" t="inlineStr">
        <is>
          <t>Inventaris Ruangan</t>
        </is>
      </c>
      <c r="F76" s="3">
        <f>'Data Aset'!C78</f>
        <v/>
      </c>
      <c r="G76" s="3">
        <f>'Data Aset'!J78</f>
        <v/>
      </c>
      <c r="H76" s="5">
        <f>'Data Aset'!M78</f>
        <v/>
      </c>
      <c r="I76" s="3">
        <f>'Data Aset'!O78</f>
        <v/>
      </c>
      <c r="J76" s="5" t="n">
        <v>0</v>
      </c>
      <c r="K76" s="3" t="inlineStr">
        <is>
          <t>Garis Lurus</t>
        </is>
      </c>
      <c r="L76" s="5">
        <f>IFERROR(M76/12,"")</f>
        <v/>
      </c>
      <c r="M76" s="5">
        <f>IFERROR((H76-J76)/I76,"")</f>
        <v/>
      </c>
      <c r="N76" s="5">
        <f>IFERROR(M76,"")</f>
        <v/>
      </c>
      <c r="O76" s="5">
        <f>IFERROR(H76-N76,"")</f>
        <v/>
      </c>
      <c r="P76" s="3" t="inlineStr">
        <is>
          <t>Belum dihitung</t>
        </is>
      </c>
      <c r="Q76" s="3" t="n"/>
    </row>
    <row r="77">
      <c r="A77" s="3" t="n">
        <v>76</v>
      </c>
      <c r="B77" s="3" t="inlineStr">
        <is>
          <t>Desember 2025</t>
        </is>
      </c>
      <c r="C77" s="3">
        <f>'Data Aset'!B79</f>
        <v/>
      </c>
      <c r="D77" s="3">
        <f>'Data Aset'!F79</f>
        <v/>
      </c>
      <c r="E77" s="3" t="inlineStr">
        <is>
          <t>Inventaris Ruangan</t>
        </is>
      </c>
      <c r="F77" s="3">
        <f>'Data Aset'!C79</f>
        <v/>
      </c>
      <c r="G77" s="3">
        <f>'Data Aset'!J79</f>
        <v/>
      </c>
      <c r="H77" s="5">
        <f>'Data Aset'!M79</f>
        <v/>
      </c>
      <c r="I77" s="3">
        <f>'Data Aset'!O79</f>
        <v/>
      </c>
      <c r="J77" s="5" t="n">
        <v>0</v>
      </c>
      <c r="K77" s="3" t="inlineStr">
        <is>
          <t>Garis Lurus</t>
        </is>
      </c>
      <c r="L77" s="5">
        <f>IFERROR(M77/12,"")</f>
        <v/>
      </c>
      <c r="M77" s="5">
        <f>IFERROR((H77-J77)/I77,"")</f>
        <v/>
      </c>
      <c r="N77" s="5">
        <f>IFERROR(M77,"")</f>
        <v/>
      </c>
      <c r="O77" s="5">
        <f>IFERROR(H77-N77,"")</f>
        <v/>
      </c>
      <c r="P77" s="3" t="inlineStr">
        <is>
          <t>Belum dihitung</t>
        </is>
      </c>
      <c r="Q77" s="3" t="n"/>
    </row>
    <row r="78">
      <c r="A78" s="3" t="n">
        <v>77</v>
      </c>
      <c r="B78" s="3" t="inlineStr">
        <is>
          <t>Desember 2025</t>
        </is>
      </c>
      <c r="C78" s="3">
        <f>'Data Aset'!B80</f>
        <v/>
      </c>
      <c r="D78" s="3">
        <f>'Data Aset'!F80</f>
        <v/>
      </c>
      <c r="E78" s="3" t="inlineStr">
        <is>
          <t>Inventaris Ruangan</t>
        </is>
      </c>
      <c r="F78" s="3">
        <f>'Data Aset'!C80</f>
        <v/>
      </c>
      <c r="G78" s="3">
        <f>'Data Aset'!J80</f>
        <v/>
      </c>
      <c r="H78" s="5">
        <f>'Data Aset'!M80</f>
        <v/>
      </c>
      <c r="I78" s="3">
        <f>'Data Aset'!O80</f>
        <v/>
      </c>
      <c r="J78" s="5" t="n">
        <v>0</v>
      </c>
      <c r="K78" s="3" t="inlineStr">
        <is>
          <t>Garis Lurus</t>
        </is>
      </c>
      <c r="L78" s="5">
        <f>IFERROR(M78/12,"")</f>
        <v/>
      </c>
      <c r="M78" s="5">
        <f>IFERROR((H78-J78)/I78,"")</f>
        <v/>
      </c>
      <c r="N78" s="5">
        <f>IFERROR(M78,"")</f>
        <v/>
      </c>
      <c r="O78" s="5">
        <f>IFERROR(H78-N78,"")</f>
        <v/>
      </c>
      <c r="P78" s="3" t="inlineStr">
        <is>
          <t>Belum dihitung</t>
        </is>
      </c>
      <c r="Q78" s="3" t="n"/>
    </row>
    <row r="79">
      <c r="A79" s="3" t="n">
        <v>78</v>
      </c>
      <c r="B79" s="3" t="inlineStr">
        <is>
          <t>Desember 2025</t>
        </is>
      </c>
      <c r="C79" s="3">
        <f>'Data Aset'!B81</f>
        <v/>
      </c>
      <c r="D79" s="3">
        <f>'Data Aset'!F81</f>
        <v/>
      </c>
      <c r="E79" s="3" t="inlineStr">
        <is>
          <t>Inventaris Ruangan</t>
        </is>
      </c>
      <c r="F79" s="3">
        <f>'Data Aset'!C81</f>
        <v/>
      </c>
      <c r="G79" s="3">
        <f>'Data Aset'!J81</f>
        <v/>
      </c>
      <c r="H79" s="5">
        <f>'Data Aset'!M81</f>
        <v/>
      </c>
      <c r="I79" s="3">
        <f>'Data Aset'!O81</f>
        <v/>
      </c>
      <c r="J79" s="5" t="n">
        <v>0</v>
      </c>
      <c r="K79" s="3" t="inlineStr">
        <is>
          <t>Garis Lurus</t>
        </is>
      </c>
      <c r="L79" s="5">
        <f>IFERROR(M79/12,"")</f>
        <v/>
      </c>
      <c r="M79" s="5">
        <f>IFERROR((H79-J79)/I79,"")</f>
        <v/>
      </c>
      <c r="N79" s="5">
        <f>IFERROR(M79,"")</f>
        <v/>
      </c>
      <c r="O79" s="5">
        <f>IFERROR(H79-N79,"")</f>
        <v/>
      </c>
      <c r="P79" s="3" t="inlineStr">
        <is>
          <t>Belum dihitung</t>
        </is>
      </c>
      <c r="Q79" s="3" t="n"/>
    </row>
    <row r="80">
      <c r="A80" s="3" t="n">
        <v>79</v>
      </c>
      <c r="B80" s="3" t="inlineStr">
        <is>
          <t>Desember 2025</t>
        </is>
      </c>
      <c r="C80" s="3">
        <f>'Data Aset'!B82</f>
        <v/>
      </c>
      <c r="D80" s="3">
        <f>'Data Aset'!F82</f>
        <v/>
      </c>
      <c r="E80" s="3" t="inlineStr">
        <is>
          <t>Inventaris Ruangan</t>
        </is>
      </c>
      <c r="F80" s="3">
        <f>'Data Aset'!C82</f>
        <v/>
      </c>
      <c r="G80" s="3">
        <f>'Data Aset'!J82</f>
        <v/>
      </c>
      <c r="H80" s="5">
        <f>'Data Aset'!M82</f>
        <v/>
      </c>
      <c r="I80" s="3">
        <f>'Data Aset'!O82</f>
        <v/>
      </c>
      <c r="J80" s="5" t="n">
        <v>0</v>
      </c>
      <c r="K80" s="3" t="inlineStr">
        <is>
          <t>Garis Lurus</t>
        </is>
      </c>
      <c r="L80" s="5">
        <f>IFERROR(M80/12,"")</f>
        <v/>
      </c>
      <c r="M80" s="5">
        <f>IFERROR((H80-J80)/I80,"")</f>
        <v/>
      </c>
      <c r="N80" s="5">
        <f>IFERROR(M80,"")</f>
        <v/>
      </c>
      <c r="O80" s="5">
        <f>IFERROR(H80-N80,"")</f>
        <v/>
      </c>
      <c r="P80" s="3" t="inlineStr">
        <is>
          <t>Belum dihitung</t>
        </is>
      </c>
      <c r="Q80" s="3" t="n"/>
    </row>
    <row r="81">
      <c r="A81" s="3" t="n">
        <v>80</v>
      </c>
      <c r="B81" s="3" t="inlineStr">
        <is>
          <t>Desember 2025</t>
        </is>
      </c>
      <c r="C81" s="3">
        <f>'Data Aset'!B83</f>
        <v/>
      </c>
      <c r="D81" s="3">
        <f>'Data Aset'!F83</f>
        <v/>
      </c>
      <c r="E81" s="3" t="inlineStr">
        <is>
          <t>Inventaris Ruangan</t>
        </is>
      </c>
      <c r="F81" s="3">
        <f>'Data Aset'!C83</f>
        <v/>
      </c>
      <c r="G81" s="3">
        <f>'Data Aset'!J83</f>
        <v/>
      </c>
      <c r="H81" s="5">
        <f>'Data Aset'!M83</f>
        <v/>
      </c>
      <c r="I81" s="3">
        <f>'Data Aset'!O83</f>
        <v/>
      </c>
      <c r="J81" s="5" t="n">
        <v>0</v>
      </c>
      <c r="K81" s="3" t="inlineStr">
        <is>
          <t>Garis Lurus</t>
        </is>
      </c>
      <c r="L81" s="5">
        <f>IFERROR(M81/12,"")</f>
        <v/>
      </c>
      <c r="M81" s="5">
        <f>IFERROR((H81-J81)/I81,"")</f>
        <v/>
      </c>
      <c r="N81" s="5">
        <f>IFERROR(M81,"")</f>
        <v/>
      </c>
      <c r="O81" s="5">
        <f>IFERROR(H81-N81,"")</f>
        <v/>
      </c>
      <c r="P81" s="3" t="inlineStr">
        <is>
          <t>Belum dihitung</t>
        </is>
      </c>
      <c r="Q81" s="3" t="n"/>
    </row>
    <row r="82">
      <c r="A82" s="3" t="n">
        <v>81</v>
      </c>
      <c r="B82" s="3" t="inlineStr">
        <is>
          <t>Desember 2025</t>
        </is>
      </c>
      <c r="C82" s="3">
        <f>'Data Aset'!B84</f>
        <v/>
      </c>
      <c r="D82" s="3">
        <f>'Data Aset'!F84</f>
        <v/>
      </c>
      <c r="E82" s="3" t="inlineStr">
        <is>
          <t>Inventaris Ruangan</t>
        </is>
      </c>
      <c r="F82" s="3">
        <f>'Data Aset'!C84</f>
        <v/>
      </c>
      <c r="G82" s="3">
        <f>'Data Aset'!J84</f>
        <v/>
      </c>
      <c r="H82" s="5">
        <f>'Data Aset'!M84</f>
        <v/>
      </c>
      <c r="I82" s="3">
        <f>'Data Aset'!O84</f>
        <v/>
      </c>
      <c r="J82" s="5" t="n">
        <v>0</v>
      </c>
      <c r="K82" s="3" t="inlineStr">
        <is>
          <t>Garis Lurus</t>
        </is>
      </c>
      <c r="L82" s="5">
        <f>IFERROR(M82/12,"")</f>
        <v/>
      </c>
      <c r="M82" s="5">
        <f>IFERROR((H82-J82)/I82,"")</f>
        <v/>
      </c>
      <c r="N82" s="5">
        <f>IFERROR(M82,"")</f>
        <v/>
      </c>
      <c r="O82" s="5">
        <f>IFERROR(H82-N82,"")</f>
        <v/>
      </c>
      <c r="P82" s="3" t="inlineStr">
        <is>
          <t>Belum dihitung</t>
        </is>
      </c>
      <c r="Q82" s="3" t="n"/>
    </row>
    <row r="83">
      <c r="A83" s="3" t="n">
        <v>82</v>
      </c>
      <c r="B83" s="3" t="inlineStr">
        <is>
          <t>Desember 2025</t>
        </is>
      </c>
      <c r="C83" s="3">
        <f>'Data Aset'!B85</f>
        <v/>
      </c>
      <c r="D83" s="3">
        <f>'Data Aset'!F85</f>
        <v/>
      </c>
      <c r="E83" s="3" t="inlineStr">
        <is>
          <t>Inventaris Ruangan</t>
        </is>
      </c>
      <c r="F83" s="3">
        <f>'Data Aset'!C85</f>
        <v/>
      </c>
      <c r="G83" s="3">
        <f>'Data Aset'!J85</f>
        <v/>
      </c>
      <c r="H83" s="5">
        <f>'Data Aset'!M85</f>
        <v/>
      </c>
      <c r="I83" s="3">
        <f>'Data Aset'!O85</f>
        <v/>
      </c>
      <c r="J83" s="5" t="n">
        <v>0</v>
      </c>
      <c r="K83" s="3" t="inlineStr">
        <is>
          <t>Garis Lurus</t>
        </is>
      </c>
      <c r="L83" s="5">
        <f>IFERROR(M83/12,"")</f>
        <v/>
      </c>
      <c r="M83" s="5">
        <f>IFERROR((H83-J83)/I83,"")</f>
        <v/>
      </c>
      <c r="N83" s="5">
        <f>IFERROR(M83,"")</f>
        <v/>
      </c>
      <c r="O83" s="5">
        <f>IFERROR(H83-N83,"")</f>
        <v/>
      </c>
      <c r="P83" s="3" t="inlineStr">
        <is>
          <t>Belum dihitung</t>
        </is>
      </c>
      <c r="Q83" s="3" t="n"/>
    </row>
    <row r="84">
      <c r="A84" s="3" t="n">
        <v>83</v>
      </c>
      <c r="B84" s="3" t="inlineStr">
        <is>
          <t>Desember 2025</t>
        </is>
      </c>
      <c r="C84" s="3">
        <f>'Data Aset'!B86</f>
        <v/>
      </c>
      <c r="D84" s="3">
        <f>'Data Aset'!F86</f>
        <v/>
      </c>
      <c r="E84" s="3" t="inlineStr">
        <is>
          <t>Inventaris Ruangan</t>
        </is>
      </c>
      <c r="F84" s="3">
        <f>'Data Aset'!C86</f>
        <v/>
      </c>
      <c r="G84" s="3">
        <f>'Data Aset'!J86</f>
        <v/>
      </c>
      <c r="H84" s="5">
        <f>'Data Aset'!M86</f>
        <v/>
      </c>
      <c r="I84" s="3">
        <f>'Data Aset'!O86</f>
        <v/>
      </c>
      <c r="J84" s="5" t="n">
        <v>0</v>
      </c>
      <c r="K84" s="3" t="inlineStr">
        <is>
          <t>Garis Lurus</t>
        </is>
      </c>
      <c r="L84" s="5">
        <f>IFERROR(M84/12,"")</f>
        <v/>
      </c>
      <c r="M84" s="5">
        <f>IFERROR((H84-J84)/I84,"")</f>
        <v/>
      </c>
      <c r="N84" s="5">
        <f>IFERROR(M84,"")</f>
        <v/>
      </c>
      <c r="O84" s="5">
        <f>IFERROR(H84-N84,"")</f>
        <v/>
      </c>
      <c r="P84" s="3" t="inlineStr">
        <is>
          <t>Belum dihitung</t>
        </is>
      </c>
      <c r="Q84" s="3" t="n"/>
    </row>
    <row r="85">
      <c r="A85" s="3" t="n">
        <v>84</v>
      </c>
      <c r="B85" s="3" t="inlineStr">
        <is>
          <t>Desember 2025</t>
        </is>
      </c>
      <c r="C85" s="3">
        <f>'Data Aset'!B87</f>
        <v/>
      </c>
      <c r="D85" s="3">
        <f>'Data Aset'!F87</f>
        <v/>
      </c>
      <c r="E85" s="3" t="inlineStr">
        <is>
          <t>Inventaris Ruangan</t>
        </is>
      </c>
      <c r="F85" s="3">
        <f>'Data Aset'!C87</f>
        <v/>
      </c>
      <c r="G85" s="3">
        <f>'Data Aset'!J87</f>
        <v/>
      </c>
      <c r="H85" s="5">
        <f>'Data Aset'!M87</f>
        <v/>
      </c>
      <c r="I85" s="3">
        <f>'Data Aset'!O87</f>
        <v/>
      </c>
      <c r="J85" s="5" t="n">
        <v>0</v>
      </c>
      <c r="K85" s="3" t="inlineStr">
        <is>
          <t>Garis Lurus</t>
        </is>
      </c>
      <c r="L85" s="5">
        <f>IFERROR(M85/12,"")</f>
        <v/>
      </c>
      <c r="M85" s="5">
        <f>IFERROR((H85-J85)/I85,"")</f>
        <v/>
      </c>
      <c r="N85" s="5">
        <f>IFERROR(M85,"")</f>
        <v/>
      </c>
      <c r="O85" s="5">
        <f>IFERROR(H85-N85,"")</f>
        <v/>
      </c>
      <c r="P85" s="3" t="inlineStr">
        <is>
          <t>Belum dihitung</t>
        </is>
      </c>
      <c r="Q85" s="3" t="n"/>
    </row>
    <row r="86">
      <c r="A86" s="3" t="n">
        <v>85</v>
      </c>
      <c r="B86" s="3" t="inlineStr">
        <is>
          <t>Desember 2025</t>
        </is>
      </c>
      <c r="C86" s="3">
        <f>'Data Aset'!B88</f>
        <v/>
      </c>
      <c r="D86" s="3">
        <f>'Data Aset'!F88</f>
        <v/>
      </c>
      <c r="E86" s="3" t="inlineStr">
        <is>
          <t>Inventaris Ruangan</t>
        </is>
      </c>
      <c r="F86" s="3">
        <f>'Data Aset'!C88</f>
        <v/>
      </c>
      <c r="G86" s="3">
        <f>'Data Aset'!J88</f>
        <v/>
      </c>
      <c r="H86" s="5">
        <f>'Data Aset'!M88</f>
        <v/>
      </c>
      <c r="I86" s="3">
        <f>'Data Aset'!O88</f>
        <v/>
      </c>
      <c r="J86" s="5" t="n">
        <v>0</v>
      </c>
      <c r="K86" s="3" t="inlineStr">
        <is>
          <t>Garis Lurus</t>
        </is>
      </c>
      <c r="L86" s="5">
        <f>IFERROR(M86/12,"")</f>
        <v/>
      </c>
      <c r="M86" s="5">
        <f>IFERROR((H86-J86)/I86,"")</f>
        <v/>
      </c>
      <c r="N86" s="5">
        <f>IFERROR(M86,"")</f>
        <v/>
      </c>
      <c r="O86" s="5">
        <f>IFERROR(H86-N86,"")</f>
        <v/>
      </c>
      <c r="P86" s="3" t="inlineStr">
        <is>
          <t>Belum dihitung</t>
        </is>
      </c>
      <c r="Q86" s="3" t="n"/>
    </row>
    <row r="87">
      <c r="A87" s="3" t="n">
        <v>86</v>
      </c>
      <c r="B87" s="3" t="inlineStr">
        <is>
          <t>Desember 2025</t>
        </is>
      </c>
      <c r="C87" s="3">
        <f>'Data Aset'!B89</f>
        <v/>
      </c>
      <c r="D87" s="3">
        <f>'Data Aset'!F89</f>
        <v/>
      </c>
      <c r="E87" s="3" t="inlineStr">
        <is>
          <t>Inventaris Ruangan</t>
        </is>
      </c>
      <c r="F87" s="3">
        <f>'Data Aset'!C89</f>
        <v/>
      </c>
      <c r="G87" s="3">
        <f>'Data Aset'!J89</f>
        <v/>
      </c>
      <c r="H87" s="5">
        <f>'Data Aset'!M89</f>
        <v/>
      </c>
      <c r="I87" s="3">
        <f>'Data Aset'!O89</f>
        <v/>
      </c>
      <c r="J87" s="5" t="n">
        <v>0</v>
      </c>
      <c r="K87" s="3" t="inlineStr">
        <is>
          <t>Garis Lurus</t>
        </is>
      </c>
      <c r="L87" s="5">
        <f>IFERROR(M87/12,"")</f>
        <v/>
      </c>
      <c r="M87" s="5">
        <f>IFERROR((H87-J87)/I87,"")</f>
        <v/>
      </c>
      <c r="N87" s="5">
        <f>IFERROR(M87,"")</f>
        <v/>
      </c>
      <c r="O87" s="5">
        <f>IFERROR(H87-N87,"")</f>
        <v/>
      </c>
      <c r="P87" s="3" t="inlineStr">
        <is>
          <t>Belum dihitung</t>
        </is>
      </c>
      <c r="Q87" s="3" t="n"/>
    </row>
    <row r="88">
      <c r="A88" s="3" t="n">
        <v>87</v>
      </c>
      <c r="B88" s="3" t="inlineStr">
        <is>
          <t>Desember 2025</t>
        </is>
      </c>
      <c r="C88" s="3">
        <f>'Data Aset'!B90</f>
        <v/>
      </c>
      <c r="D88" s="3">
        <f>'Data Aset'!F90</f>
        <v/>
      </c>
      <c r="E88" s="3" t="inlineStr">
        <is>
          <t>Inventaris Ruangan</t>
        </is>
      </c>
      <c r="F88" s="3">
        <f>'Data Aset'!C90</f>
        <v/>
      </c>
      <c r="G88" s="3">
        <f>'Data Aset'!J90</f>
        <v/>
      </c>
      <c r="H88" s="5">
        <f>'Data Aset'!M90</f>
        <v/>
      </c>
      <c r="I88" s="3">
        <f>'Data Aset'!O90</f>
        <v/>
      </c>
      <c r="J88" s="5" t="n">
        <v>0</v>
      </c>
      <c r="K88" s="3" t="inlineStr">
        <is>
          <t>Garis Lurus</t>
        </is>
      </c>
      <c r="L88" s="5">
        <f>IFERROR(M88/12,"")</f>
        <v/>
      </c>
      <c r="M88" s="5">
        <f>IFERROR((H88-J88)/I88,"")</f>
        <v/>
      </c>
      <c r="N88" s="5">
        <f>IFERROR(M88,"")</f>
        <v/>
      </c>
      <c r="O88" s="5">
        <f>IFERROR(H88-N88,"")</f>
        <v/>
      </c>
      <c r="P88" s="3" t="inlineStr">
        <is>
          <t>Belum dihitung</t>
        </is>
      </c>
      <c r="Q88" s="3" t="n"/>
    </row>
    <row r="89">
      <c r="A89" s="3" t="n">
        <v>88</v>
      </c>
      <c r="B89" s="3" t="inlineStr">
        <is>
          <t>Desember 2025</t>
        </is>
      </c>
      <c r="C89" s="3">
        <f>'Data Aset'!B91</f>
        <v/>
      </c>
      <c r="D89" s="3">
        <f>'Data Aset'!F91</f>
        <v/>
      </c>
      <c r="E89" s="3" t="inlineStr">
        <is>
          <t>Inventaris Ruangan</t>
        </is>
      </c>
      <c r="F89" s="3">
        <f>'Data Aset'!C91</f>
        <v/>
      </c>
      <c r="G89" s="3">
        <f>'Data Aset'!J91</f>
        <v/>
      </c>
      <c r="H89" s="5">
        <f>'Data Aset'!M91</f>
        <v/>
      </c>
      <c r="I89" s="3">
        <f>'Data Aset'!O91</f>
        <v/>
      </c>
      <c r="J89" s="5" t="n">
        <v>0</v>
      </c>
      <c r="K89" s="3" t="inlineStr">
        <is>
          <t>Garis Lurus</t>
        </is>
      </c>
      <c r="L89" s="5">
        <f>IFERROR(M89/12,"")</f>
        <v/>
      </c>
      <c r="M89" s="5">
        <f>IFERROR((H89-J89)/I89,"")</f>
        <v/>
      </c>
      <c r="N89" s="5">
        <f>IFERROR(M89,"")</f>
        <v/>
      </c>
      <c r="O89" s="5">
        <f>IFERROR(H89-N89,"")</f>
        <v/>
      </c>
      <c r="P89" s="3" t="inlineStr">
        <is>
          <t>Belum dihitung</t>
        </is>
      </c>
      <c r="Q89" s="3" t="n"/>
    </row>
    <row r="90">
      <c r="A90" s="3" t="n">
        <v>89</v>
      </c>
      <c r="B90" s="3" t="inlineStr">
        <is>
          <t>Desember 2025</t>
        </is>
      </c>
      <c r="C90" s="3">
        <f>'Data Aset'!B92</f>
        <v/>
      </c>
      <c r="D90" s="3">
        <f>'Data Aset'!F92</f>
        <v/>
      </c>
      <c r="E90" s="3" t="inlineStr">
        <is>
          <t>Inventaris Ruangan</t>
        </is>
      </c>
      <c r="F90" s="3">
        <f>'Data Aset'!C92</f>
        <v/>
      </c>
      <c r="G90" s="3">
        <f>'Data Aset'!J92</f>
        <v/>
      </c>
      <c r="H90" s="5">
        <f>'Data Aset'!M92</f>
        <v/>
      </c>
      <c r="I90" s="3">
        <f>'Data Aset'!O92</f>
        <v/>
      </c>
      <c r="J90" s="5" t="n">
        <v>0</v>
      </c>
      <c r="K90" s="3" t="inlineStr">
        <is>
          <t>Garis Lurus</t>
        </is>
      </c>
      <c r="L90" s="5">
        <f>IFERROR(M90/12,"")</f>
        <v/>
      </c>
      <c r="M90" s="5">
        <f>IFERROR((H90-J90)/I90,"")</f>
        <v/>
      </c>
      <c r="N90" s="5">
        <f>IFERROR(M90,"")</f>
        <v/>
      </c>
      <c r="O90" s="5">
        <f>IFERROR(H90-N90,"")</f>
        <v/>
      </c>
      <c r="P90" s="3" t="inlineStr">
        <is>
          <t>Belum dihitung</t>
        </is>
      </c>
      <c r="Q90" s="3" t="n"/>
    </row>
    <row r="91">
      <c r="A91" s="3" t="n">
        <v>90</v>
      </c>
      <c r="B91" s="3" t="inlineStr">
        <is>
          <t>Desember 2025</t>
        </is>
      </c>
      <c r="C91" s="3">
        <f>'Data Aset'!B93</f>
        <v/>
      </c>
      <c r="D91" s="3">
        <f>'Data Aset'!F93</f>
        <v/>
      </c>
      <c r="E91" s="3" t="inlineStr">
        <is>
          <t>Inventaris Ruangan</t>
        </is>
      </c>
      <c r="F91" s="3">
        <f>'Data Aset'!C93</f>
        <v/>
      </c>
      <c r="G91" s="3">
        <f>'Data Aset'!J93</f>
        <v/>
      </c>
      <c r="H91" s="5">
        <f>'Data Aset'!M93</f>
        <v/>
      </c>
      <c r="I91" s="3">
        <f>'Data Aset'!O93</f>
        <v/>
      </c>
      <c r="J91" s="5" t="n">
        <v>0</v>
      </c>
      <c r="K91" s="3" t="inlineStr">
        <is>
          <t>Garis Lurus</t>
        </is>
      </c>
      <c r="L91" s="5">
        <f>IFERROR(M91/12,"")</f>
        <v/>
      </c>
      <c r="M91" s="5">
        <f>IFERROR((H91-J91)/I91,"")</f>
        <v/>
      </c>
      <c r="N91" s="5">
        <f>IFERROR(M91,"")</f>
        <v/>
      </c>
      <c r="O91" s="5">
        <f>IFERROR(H91-N91,"")</f>
        <v/>
      </c>
      <c r="P91" s="3" t="inlineStr">
        <is>
          <t>Belum dihitung</t>
        </is>
      </c>
      <c r="Q91" s="3" t="n"/>
    </row>
    <row r="92">
      <c r="A92" s="3" t="n">
        <v>91</v>
      </c>
      <c r="B92" s="3" t="inlineStr">
        <is>
          <t>Desember 2025</t>
        </is>
      </c>
      <c r="C92" s="3">
        <f>'Data Aset'!B94</f>
        <v/>
      </c>
      <c r="D92" s="3">
        <f>'Data Aset'!F94</f>
        <v/>
      </c>
      <c r="E92" s="3" t="inlineStr">
        <is>
          <t>Inventaris Ruangan</t>
        </is>
      </c>
      <c r="F92" s="3">
        <f>'Data Aset'!C94</f>
        <v/>
      </c>
      <c r="G92" s="3">
        <f>'Data Aset'!J94</f>
        <v/>
      </c>
      <c r="H92" s="5">
        <f>'Data Aset'!M94</f>
        <v/>
      </c>
      <c r="I92" s="3">
        <f>'Data Aset'!O94</f>
        <v/>
      </c>
      <c r="J92" s="5" t="n">
        <v>0</v>
      </c>
      <c r="K92" s="3" t="inlineStr">
        <is>
          <t>Garis Lurus</t>
        </is>
      </c>
      <c r="L92" s="5">
        <f>IFERROR(M92/12,"")</f>
        <v/>
      </c>
      <c r="M92" s="5">
        <f>IFERROR((H92-J92)/I92,"")</f>
        <v/>
      </c>
      <c r="N92" s="5">
        <f>IFERROR(M92,"")</f>
        <v/>
      </c>
      <c r="O92" s="5">
        <f>IFERROR(H92-N92,"")</f>
        <v/>
      </c>
      <c r="P92" s="3" t="inlineStr">
        <is>
          <t>Belum dihitung</t>
        </is>
      </c>
      <c r="Q92" s="3" t="n"/>
    </row>
    <row r="93">
      <c r="A93" s="3" t="n">
        <v>92</v>
      </c>
      <c r="B93" s="3" t="inlineStr">
        <is>
          <t>Desember 2025</t>
        </is>
      </c>
      <c r="C93" s="3">
        <f>'Data Aset'!B95</f>
        <v/>
      </c>
      <c r="D93" s="3">
        <f>'Data Aset'!F95</f>
        <v/>
      </c>
      <c r="E93" s="3" t="inlineStr">
        <is>
          <t>Inventaris Ruangan</t>
        </is>
      </c>
      <c r="F93" s="3">
        <f>'Data Aset'!C95</f>
        <v/>
      </c>
      <c r="G93" s="3">
        <f>'Data Aset'!J95</f>
        <v/>
      </c>
      <c r="H93" s="5">
        <f>'Data Aset'!M95</f>
        <v/>
      </c>
      <c r="I93" s="3">
        <f>'Data Aset'!O95</f>
        <v/>
      </c>
      <c r="J93" s="5" t="n">
        <v>0</v>
      </c>
      <c r="K93" s="3" t="inlineStr">
        <is>
          <t>Garis Lurus</t>
        </is>
      </c>
      <c r="L93" s="5">
        <f>IFERROR(M93/12,"")</f>
        <v/>
      </c>
      <c r="M93" s="5">
        <f>IFERROR((H93-J93)/I93,"")</f>
        <v/>
      </c>
      <c r="N93" s="5">
        <f>IFERROR(M93,"")</f>
        <v/>
      </c>
      <c r="O93" s="5">
        <f>IFERROR(H93-N93,"")</f>
        <v/>
      </c>
      <c r="P93" s="3" t="inlineStr">
        <is>
          <t>Belum dihitung</t>
        </is>
      </c>
      <c r="Q93" s="3" t="n"/>
    </row>
    <row r="94">
      <c r="A94" s="3" t="n">
        <v>93</v>
      </c>
      <c r="B94" s="3" t="inlineStr">
        <is>
          <t>Desember 2025</t>
        </is>
      </c>
      <c r="C94" s="3">
        <f>'Data Aset'!B96</f>
        <v/>
      </c>
      <c r="D94" s="3">
        <f>'Data Aset'!F96</f>
        <v/>
      </c>
      <c r="E94" s="3" t="inlineStr">
        <is>
          <t>Inventaris Ruangan</t>
        </is>
      </c>
      <c r="F94" s="3">
        <f>'Data Aset'!C96</f>
        <v/>
      </c>
      <c r="G94" s="3">
        <f>'Data Aset'!J96</f>
        <v/>
      </c>
      <c r="H94" s="5">
        <f>'Data Aset'!M96</f>
        <v/>
      </c>
      <c r="I94" s="3">
        <f>'Data Aset'!O96</f>
        <v/>
      </c>
      <c r="J94" s="5" t="n">
        <v>0</v>
      </c>
      <c r="K94" s="3" t="inlineStr">
        <is>
          <t>Garis Lurus</t>
        </is>
      </c>
      <c r="L94" s="5">
        <f>IFERROR(M94/12,"")</f>
        <v/>
      </c>
      <c r="M94" s="5">
        <f>IFERROR((H94-J94)/I94,"")</f>
        <v/>
      </c>
      <c r="N94" s="5">
        <f>IFERROR(M94,"")</f>
        <v/>
      </c>
      <c r="O94" s="5">
        <f>IFERROR(H94-N94,"")</f>
        <v/>
      </c>
      <c r="P94" s="3" t="inlineStr">
        <is>
          <t>Belum dihitung</t>
        </is>
      </c>
      <c r="Q94" s="3" t="n"/>
    </row>
    <row r="95">
      <c r="A95" s="3" t="n">
        <v>94</v>
      </c>
      <c r="B95" s="3" t="inlineStr">
        <is>
          <t>Desember 2025</t>
        </is>
      </c>
      <c r="C95" s="3">
        <f>'Data Aset'!B97</f>
        <v/>
      </c>
      <c r="D95" s="3">
        <f>'Data Aset'!F97</f>
        <v/>
      </c>
      <c r="E95" s="3" t="inlineStr">
        <is>
          <t>Inventaris Ruangan</t>
        </is>
      </c>
      <c r="F95" s="3">
        <f>'Data Aset'!C97</f>
        <v/>
      </c>
      <c r="G95" s="3">
        <f>'Data Aset'!J97</f>
        <v/>
      </c>
      <c r="H95" s="5">
        <f>'Data Aset'!M97</f>
        <v/>
      </c>
      <c r="I95" s="3">
        <f>'Data Aset'!O97</f>
        <v/>
      </c>
      <c r="J95" s="5" t="n">
        <v>0</v>
      </c>
      <c r="K95" s="3" t="inlineStr">
        <is>
          <t>Garis Lurus</t>
        </is>
      </c>
      <c r="L95" s="5">
        <f>IFERROR(M95/12,"")</f>
        <v/>
      </c>
      <c r="M95" s="5">
        <f>IFERROR((H95-J95)/I95,"")</f>
        <v/>
      </c>
      <c r="N95" s="5">
        <f>IFERROR(M95,"")</f>
        <v/>
      </c>
      <c r="O95" s="5">
        <f>IFERROR(H95-N95,"")</f>
        <v/>
      </c>
      <c r="P95" s="3" t="inlineStr">
        <is>
          <t>Belum dihitung</t>
        </is>
      </c>
      <c r="Q95" s="3" t="n"/>
    </row>
    <row r="96">
      <c r="A96" s="3" t="n">
        <v>95</v>
      </c>
      <c r="B96" s="3" t="inlineStr">
        <is>
          <t>Desember 2025</t>
        </is>
      </c>
      <c r="C96" s="3">
        <f>'Data Aset'!B98</f>
        <v/>
      </c>
      <c r="D96" s="3">
        <f>'Data Aset'!F98</f>
        <v/>
      </c>
      <c r="E96" s="3" t="inlineStr">
        <is>
          <t>Inventaris Ruangan</t>
        </is>
      </c>
      <c r="F96" s="3">
        <f>'Data Aset'!C98</f>
        <v/>
      </c>
      <c r="G96" s="3">
        <f>'Data Aset'!J98</f>
        <v/>
      </c>
      <c r="H96" s="5">
        <f>'Data Aset'!M98</f>
        <v/>
      </c>
      <c r="I96" s="3">
        <f>'Data Aset'!O98</f>
        <v/>
      </c>
      <c r="J96" s="5" t="n">
        <v>0</v>
      </c>
      <c r="K96" s="3" t="inlineStr">
        <is>
          <t>Garis Lurus</t>
        </is>
      </c>
      <c r="L96" s="5">
        <f>IFERROR(M96/12,"")</f>
        <v/>
      </c>
      <c r="M96" s="5">
        <f>IFERROR((H96-J96)/I96,"")</f>
        <v/>
      </c>
      <c r="N96" s="5">
        <f>IFERROR(M96,"")</f>
        <v/>
      </c>
      <c r="O96" s="5">
        <f>IFERROR(H96-N96,"")</f>
        <v/>
      </c>
      <c r="P96" s="3" t="inlineStr">
        <is>
          <t>Belum dihitung</t>
        </is>
      </c>
      <c r="Q96" s="3" t="n"/>
    </row>
    <row r="97">
      <c r="A97" s="3" t="n">
        <v>96</v>
      </c>
      <c r="B97" s="3" t="inlineStr">
        <is>
          <t>Desember 2025</t>
        </is>
      </c>
      <c r="C97" s="3">
        <f>'Data Aset'!B99</f>
        <v/>
      </c>
      <c r="D97" s="3">
        <f>'Data Aset'!F99</f>
        <v/>
      </c>
      <c r="E97" s="3" t="inlineStr">
        <is>
          <t>Inventaris Ruangan</t>
        </is>
      </c>
      <c r="F97" s="3">
        <f>'Data Aset'!C99</f>
        <v/>
      </c>
      <c r="G97" s="3">
        <f>'Data Aset'!J99</f>
        <v/>
      </c>
      <c r="H97" s="5">
        <f>'Data Aset'!M99</f>
        <v/>
      </c>
      <c r="I97" s="3">
        <f>'Data Aset'!O99</f>
        <v/>
      </c>
      <c r="J97" s="5" t="n">
        <v>0</v>
      </c>
      <c r="K97" s="3" t="inlineStr">
        <is>
          <t>Garis Lurus</t>
        </is>
      </c>
      <c r="L97" s="5">
        <f>IFERROR(M97/12,"")</f>
        <v/>
      </c>
      <c r="M97" s="5">
        <f>IFERROR((H97-J97)/I97,"")</f>
        <v/>
      </c>
      <c r="N97" s="5">
        <f>IFERROR(M97,"")</f>
        <v/>
      </c>
      <c r="O97" s="5">
        <f>IFERROR(H97-N97,"")</f>
        <v/>
      </c>
      <c r="P97" s="3" t="inlineStr">
        <is>
          <t>Belum dihitung</t>
        </is>
      </c>
      <c r="Q97" s="3" t="n"/>
    </row>
    <row r="98">
      <c r="A98" s="3" t="n">
        <v>97</v>
      </c>
      <c r="B98" s="3" t="inlineStr">
        <is>
          <t>Desember 2025</t>
        </is>
      </c>
      <c r="C98" s="3">
        <f>'Data Aset'!B100</f>
        <v/>
      </c>
      <c r="D98" s="3">
        <f>'Data Aset'!F100</f>
        <v/>
      </c>
      <c r="E98" s="3" t="inlineStr">
        <is>
          <t>Inventaris Ruangan</t>
        </is>
      </c>
      <c r="F98" s="3">
        <f>'Data Aset'!C100</f>
        <v/>
      </c>
      <c r="G98" s="3">
        <f>'Data Aset'!J100</f>
        <v/>
      </c>
      <c r="H98" s="5">
        <f>'Data Aset'!M100</f>
        <v/>
      </c>
      <c r="I98" s="3">
        <f>'Data Aset'!O100</f>
        <v/>
      </c>
      <c r="J98" s="5" t="n">
        <v>0</v>
      </c>
      <c r="K98" s="3" t="inlineStr">
        <is>
          <t>Garis Lurus</t>
        </is>
      </c>
      <c r="L98" s="5">
        <f>IFERROR(M98/12,"")</f>
        <v/>
      </c>
      <c r="M98" s="5">
        <f>IFERROR((H98-J98)/I98,"")</f>
        <v/>
      </c>
      <c r="N98" s="5">
        <f>IFERROR(M98,"")</f>
        <v/>
      </c>
      <c r="O98" s="5">
        <f>IFERROR(H98-N98,"")</f>
        <v/>
      </c>
      <c r="P98" s="3" t="inlineStr">
        <is>
          <t>Belum dihitung</t>
        </is>
      </c>
      <c r="Q98" s="3" t="n"/>
    </row>
    <row r="99">
      <c r="A99" s="3" t="n">
        <v>98</v>
      </c>
      <c r="B99" s="3" t="inlineStr">
        <is>
          <t>Desember 2025</t>
        </is>
      </c>
      <c r="C99" s="3">
        <f>'Data Aset'!B101</f>
        <v/>
      </c>
      <c r="D99" s="3">
        <f>'Data Aset'!F101</f>
        <v/>
      </c>
      <c r="E99" s="3" t="inlineStr">
        <is>
          <t>Inventaris Ruangan</t>
        </is>
      </c>
      <c r="F99" s="3">
        <f>'Data Aset'!C101</f>
        <v/>
      </c>
      <c r="G99" s="3">
        <f>'Data Aset'!J101</f>
        <v/>
      </c>
      <c r="H99" s="5">
        <f>'Data Aset'!M101</f>
        <v/>
      </c>
      <c r="I99" s="3">
        <f>'Data Aset'!O101</f>
        <v/>
      </c>
      <c r="J99" s="5" t="n">
        <v>0</v>
      </c>
      <c r="K99" s="3" t="inlineStr">
        <is>
          <t>Garis Lurus</t>
        </is>
      </c>
      <c r="L99" s="5">
        <f>IFERROR(M99/12,"")</f>
        <v/>
      </c>
      <c r="M99" s="5">
        <f>IFERROR((H99-J99)/I99,"")</f>
        <v/>
      </c>
      <c r="N99" s="5">
        <f>IFERROR(M99,"")</f>
        <v/>
      </c>
      <c r="O99" s="5">
        <f>IFERROR(H99-N99,"")</f>
        <v/>
      </c>
      <c r="P99" s="3" t="inlineStr">
        <is>
          <t>Belum dihitung</t>
        </is>
      </c>
      <c r="Q99" s="3" t="n"/>
    </row>
    <row r="100">
      <c r="A100" s="3" t="n">
        <v>99</v>
      </c>
      <c r="B100" s="3" t="inlineStr">
        <is>
          <t>Desember 2025</t>
        </is>
      </c>
      <c r="C100" s="3">
        <f>'Data Aset'!B102</f>
        <v/>
      </c>
      <c r="D100" s="3">
        <f>'Data Aset'!F102</f>
        <v/>
      </c>
      <c r="E100" s="3" t="inlineStr">
        <is>
          <t>Inventaris Ruangan</t>
        </is>
      </c>
      <c r="F100" s="3">
        <f>'Data Aset'!C102</f>
        <v/>
      </c>
      <c r="G100" s="3">
        <f>'Data Aset'!J102</f>
        <v/>
      </c>
      <c r="H100" s="5">
        <f>'Data Aset'!M102</f>
        <v/>
      </c>
      <c r="I100" s="3">
        <f>'Data Aset'!O102</f>
        <v/>
      </c>
      <c r="J100" s="5" t="n">
        <v>0</v>
      </c>
      <c r="K100" s="3" t="inlineStr">
        <is>
          <t>Garis Lurus</t>
        </is>
      </c>
      <c r="L100" s="5">
        <f>IFERROR(M100/12,"")</f>
        <v/>
      </c>
      <c r="M100" s="5">
        <f>IFERROR((H100-J100)/I100,"")</f>
        <v/>
      </c>
      <c r="N100" s="5">
        <f>IFERROR(M100,"")</f>
        <v/>
      </c>
      <c r="O100" s="5">
        <f>IFERROR(H100-N100,"")</f>
        <v/>
      </c>
      <c r="P100" s="3" t="inlineStr">
        <is>
          <t>Belum dihitung</t>
        </is>
      </c>
      <c r="Q100" s="3" t="n"/>
    </row>
    <row r="101">
      <c r="A101" s="3" t="n">
        <v>100</v>
      </c>
      <c r="B101" s="3" t="inlineStr">
        <is>
          <t>Desember 2025</t>
        </is>
      </c>
      <c r="C101" s="3">
        <f>'Data Aset'!B103</f>
        <v/>
      </c>
      <c r="D101" s="3">
        <f>'Data Aset'!F103</f>
        <v/>
      </c>
      <c r="E101" s="3" t="inlineStr">
        <is>
          <t>Inventaris Ruangan</t>
        </is>
      </c>
      <c r="F101" s="3">
        <f>'Data Aset'!C103</f>
        <v/>
      </c>
      <c r="G101" s="3">
        <f>'Data Aset'!J103</f>
        <v/>
      </c>
      <c r="H101" s="5">
        <f>'Data Aset'!M103</f>
        <v/>
      </c>
      <c r="I101" s="3">
        <f>'Data Aset'!O103</f>
        <v/>
      </c>
      <c r="J101" s="5" t="n">
        <v>0</v>
      </c>
      <c r="K101" s="3" t="inlineStr">
        <is>
          <t>Garis Lurus</t>
        </is>
      </c>
      <c r="L101" s="5">
        <f>IFERROR(M101/12,"")</f>
        <v/>
      </c>
      <c r="M101" s="5">
        <f>IFERROR((H101-J101)/I101,"")</f>
        <v/>
      </c>
      <c r="N101" s="5">
        <f>IFERROR(M101,"")</f>
        <v/>
      </c>
      <c r="O101" s="5">
        <f>IFERROR(H101-N101,"")</f>
        <v/>
      </c>
      <c r="P101" s="3" t="inlineStr">
        <is>
          <t>Belum dihitung</t>
        </is>
      </c>
      <c r="Q101" s="3" t="n"/>
    </row>
    <row r="102">
      <c r="A102" s="3" t="n">
        <v>101</v>
      </c>
      <c r="B102" s="3" t="inlineStr">
        <is>
          <t>Desember 2025</t>
        </is>
      </c>
      <c r="C102" s="3">
        <f>'Data Aset'!B104</f>
        <v/>
      </c>
      <c r="D102" s="3">
        <f>'Data Aset'!F104</f>
        <v/>
      </c>
      <c r="E102" s="3" t="inlineStr">
        <is>
          <t>Inventaris Ruangan</t>
        </is>
      </c>
      <c r="F102" s="3">
        <f>'Data Aset'!C104</f>
        <v/>
      </c>
      <c r="G102" s="3">
        <f>'Data Aset'!J104</f>
        <v/>
      </c>
      <c r="H102" s="5">
        <f>'Data Aset'!M104</f>
        <v/>
      </c>
      <c r="I102" s="3">
        <f>'Data Aset'!O104</f>
        <v/>
      </c>
      <c r="J102" s="5" t="n">
        <v>0</v>
      </c>
      <c r="K102" s="3" t="inlineStr">
        <is>
          <t>Garis Lurus</t>
        </is>
      </c>
      <c r="L102" s="5">
        <f>IFERROR(M102/12,"")</f>
        <v/>
      </c>
      <c r="M102" s="5">
        <f>IFERROR((H102-J102)/I102,"")</f>
        <v/>
      </c>
      <c r="N102" s="5">
        <f>IFERROR(M102,"")</f>
        <v/>
      </c>
      <c r="O102" s="5">
        <f>IFERROR(H102-N102,"")</f>
        <v/>
      </c>
      <c r="P102" s="3" t="inlineStr">
        <is>
          <t>Belum dihitung</t>
        </is>
      </c>
      <c r="Q102" s="3" t="n"/>
    </row>
    <row r="103">
      <c r="A103" s="3" t="n">
        <v>102</v>
      </c>
      <c r="B103" s="3" t="inlineStr">
        <is>
          <t>Desember 2025</t>
        </is>
      </c>
      <c r="C103" s="3">
        <f>'Data Aset'!B105</f>
        <v/>
      </c>
      <c r="D103" s="3">
        <f>'Data Aset'!F105</f>
        <v/>
      </c>
      <c r="E103" s="3" t="inlineStr">
        <is>
          <t>Inventaris Ruangan</t>
        </is>
      </c>
      <c r="F103" s="3">
        <f>'Data Aset'!C105</f>
        <v/>
      </c>
      <c r="G103" s="3">
        <f>'Data Aset'!J105</f>
        <v/>
      </c>
      <c r="H103" s="5">
        <f>'Data Aset'!M105</f>
        <v/>
      </c>
      <c r="I103" s="3">
        <f>'Data Aset'!O105</f>
        <v/>
      </c>
      <c r="J103" s="5" t="n">
        <v>0</v>
      </c>
      <c r="K103" s="3" t="inlineStr">
        <is>
          <t>Garis Lurus</t>
        </is>
      </c>
      <c r="L103" s="5">
        <f>IFERROR(M103/12,"")</f>
        <v/>
      </c>
      <c r="M103" s="5">
        <f>IFERROR((H103-J103)/I103,"")</f>
        <v/>
      </c>
      <c r="N103" s="5">
        <f>IFERROR(M103,"")</f>
        <v/>
      </c>
      <c r="O103" s="5">
        <f>IFERROR(H103-N103,"")</f>
        <v/>
      </c>
      <c r="P103" s="3" t="inlineStr">
        <is>
          <t>Belum dihitung</t>
        </is>
      </c>
      <c r="Q103" s="3" t="n"/>
    </row>
    <row r="104">
      <c r="A104" s="3" t="n">
        <v>103</v>
      </c>
      <c r="B104" s="3" t="inlineStr">
        <is>
          <t>Desember 2025</t>
        </is>
      </c>
      <c r="C104" s="3">
        <f>'Data Aset'!B106</f>
        <v/>
      </c>
      <c r="D104" s="3">
        <f>'Data Aset'!F106</f>
        <v/>
      </c>
      <c r="E104" s="3" t="inlineStr">
        <is>
          <t>Inventaris Ruangan</t>
        </is>
      </c>
      <c r="F104" s="3">
        <f>'Data Aset'!C106</f>
        <v/>
      </c>
      <c r="G104" s="3">
        <f>'Data Aset'!J106</f>
        <v/>
      </c>
      <c r="H104" s="5">
        <f>'Data Aset'!M106</f>
        <v/>
      </c>
      <c r="I104" s="3">
        <f>'Data Aset'!O106</f>
        <v/>
      </c>
      <c r="J104" s="5" t="n">
        <v>0</v>
      </c>
      <c r="K104" s="3" t="inlineStr">
        <is>
          <t>Garis Lurus</t>
        </is>
      </c>
      <c r="L104" s="5">
        <f>IFERROR(M104/12,"")</f>
        <v/>
      </c>
      <c r="M104" s="5">
        <f>IFERROR((H104-J104)/I104,"")</f>
        <v/>
      </c>
      <c r="N104" s="5">
        <f>IFERROR(M104,"")</f>
        <v/>
      </c>
      <c r="O104" s="5">
        <f>IFERROR(H104-N104,"")</f>
        <v/>
      </c>
      <c r="P104" s="3" t="inlineStr">
        <is>
          <t>Belum dihitung</t>
        </is>
      </c>
      <c r="Q104" s="3" t="n"/>
    </row>
    <row r="105">
      <c r="A105" s="3" t="n">
        <v>104</v>
      </c>
      <c r="B105" s="3" t="inlineStr">
        <is>
          <t>Desember 2025</t>
        </is>
      </c>
      <c r="C105" s="3">
        <f>'Data Aset'!B107</f>
        <v/>
      </c>
      <c r="D105" s="3">
        <f>'Data Aset'!F107</f>
        <v/>
      </c>
      <c r="E105" s="3" t="inlineStr">
        <is>
          <t>Inventaris Ruangan</t>
        </is>
      </c>
      <c r="F105" s="3">
        <f>'Data Aset'!C107</f>
        <v/>
      </c>
      <c r="G105" s="3">
        <f>'Data Aset'!J107</f>
        <v/>
      </c>
      <c r="H105" s="5">
        <f>'Data Aset'!M107</f>
        <v/>
      </c>
      <c r="I105" s="3">
        <f>'Data Aset'!O107</f>
        <v/>
      </c>
      <c r="J105" s="5" t="n">
        <v>0</v>
      </c>
      <c r="K105" s="3" t="inlineStr">
        <is>
          <t>Garis Lurus</t>
        </is>
      </c>
      <c r="L105" s="5">
        <f>IFERROR(M105/12,"")</f>
        <v/>
      </c>
      <c r="M105" s="5">
        <f>IFERROR((H105-J105)/I105,"")</f>
        <v/>
      </c>
      <c r="N105" s="5">
        <f>IFERROR(M105,"")</f>
        <v/>
      </c>
      <c r="O105" s="5">
        <f>IFERROR(H105-N105,"")</f>
        <v/>
      </c>
      <c r="P105" s="3" t="inlineStr">
        <is>
          <t>Belum dihitung</t>
        </is>
      </c>
      <c r="Q105" s="3" t="n"/>
    </row>
    <row r="106">
      <c r="A106" s="3" t="n">
        <v>105</v>
      </c>
      <c r="B106" s="3" t="inlineStr">
        <is>
          <t>Desember 2025</t>
        </is>
      </c>
      <c r="C106" s="3">
        <f>'Data Aset'!B108</f>
        <v/>
      </c>
      <c r="D106" s="3">
        <f>'Data Aset'!F108</f>
        <v/>
      </c>
      <c r="E106" s="3" t="inlineStr">
        <is>
          <t>Inventaris Ruangan</t>
        </is>
      </c>
      <c r="F106" s="3">
        <f>'Data Aset'!C108</f>
        <v/>
      </c>
      <c r="G106" s="3">
        <f>'Data Aset'!J108</f>
        <v/>
      </c>
      <c r="H106" s="5">
        <f>'Data Aset'!M108</f>
        <v/>
      </c>
      <c r="I106" s="3">
        <f>'Data Aset'!O108</f>
        <v/>
      </c>
      <c r="J106" s="5" t="n">
        <v>0</v>
      </c>
      <c r="K106" s="3" t="inlineStr">
        <is>
          <t>Garis Lurus</t>
        </is>
      </c>
      <c r="L106" s="5">
        <f>IFERROR(M106/12,"")</f>
        <v/>
      </c>
      <c r="M106" s="5">
        <f>IFERROR((H106-J106)/I106,"")</f>
        <v/>
      </c>
      <c r="N106" s="5">
        <f>IFERROR(M106,"")</f>
        <v/>
      </c>
      <c r="O106" s="5">
        <f>IFERROR(H106-N106,"")</f>
        <v/>
      </c>
      <c r="P106" s="3" t="inlineStr">
        <is>
          <t>Belum dihitung</t>
        </is>
      </c>
      <c r="Q106" s="3" t="n"/>
    </row>
    <row r="107">
      <c r="A107" s="3" t="n">
        <v>106</v>
      </c>
      <c r="B107" s="3" t="inlineStr">
        <is>
          <t>Desember 2025</t>
        </is>
      </c>
      <c r="C107" s="3">
        <f>'Data Aset'!B109</f>
        <v/>
      </c>
      <c r="D107" s="3">
        <f>'Data Aset'!F109</f>
        <v/>
      </c>
      <c r="E107" s="3" t="inlineStr">
        <is>
          <t>Inventaris Ruangan</t>
        </is>
      </c>
      <c r="F107" s="3">
        <f>'Data Aset'!C109</f>
        <v/>
      </c>
      <c r="G107" s="3">
        <f>'Data Aset'!J109</f>
        <v/>
      </c>
      <c r="H107" s="5">
        <f>'Data Aset'!M109</f>
        <v/>
      </c>
      <c r="I107" s="3">
        <f>'Data Aset'!O109</f>
        <v/>
      </c>
      <c r="J107" s="5" t="n">
        <v>0</v>
      </c>
      <c r="K107" s="3" t="inlineStr">
        <is>
          <t>Garis Lurus</t>
        </is>
      </c>
      <c r="L107" s="5">
        <f>IFERROR(M107/12,"")</f>
        <v/>
      </c>
      <c r="M107" s="5">
        <f>IFERROR((H107-J107)/I107,"")</f>
        <v/>
      </c>
      <c r="N107" s="5">
        <f>IFERROR(M107,"")</f>
        <v/>
      </c>
      <c r="O107" s="5">
        <f>IFERROR(H107-N107,"")</f>
        <v/>
      </c>
      <c r="P107" s="3" t="inlineStr">
        <is>
          <t>Belum dihitung</t>
        </is>
      </c>
      <c r="Q107" s="3" t="n"/>
    </row>
    <row r="108">
      <c r="A108" s="3" t="n">
        <v>107</v>
      </c>
      <c r="B108" s="3" t="inlineStr">
        <is>
          <t>Desember 2025</t>
        </is>
      </c>
      <c r="C108" s="3">
        <f>'Data Aset'!B110</f>
        <v/>
      </c>
      <c r="D108" s="3">
        <f>'Data Aset'!F110</f>
        <v/>
      </c>
      <c r="E108" s="3" t="inlineStr">
        <is>
          <t>Inventaris Ruangan</t>
        </is>
      </c>
      <c r="F108" s="3">
        <f>'Data Aset'!C110</f>
        <v/>
      </c>
      <c r="G108" s="3">
        <f>'Data Aset'!J110</f>
        <v/>
      </c>
      <c r="H108" s="5">
        <f>'Data Aset'!M110</f>
        <v/>
      </c>
      <c r="I108" s="3">
        <f>'Data Aset'!O110</f>
        <v/>
      </c>
      <c r="J108" s="5" t="n">
        <v>0</v>
      </c>
      <c r="K108" s="3" t="inlineStr">
        <is>
          <t>Garis Lurus</t>
        </is>
      </c>
      <c r="L108" s="5">
        <f>IFERROR(M108/12,"")</f>
        <v/>
      </c>
      <c r="M108" s="5">
        <f>IFERROR((H108-J108)/I108,"")</f>
        <v/>
      </c>
      <c r="N108" s="5">
        <f>IFERROR(M108,"")</f>
        <v/>
      </c>
      <c r="O108" s="5">
        <f>IFERROR(H108-N108,"")</f>
        <v/>
      </c>
      <c r="P108" s="3" t="inlineStr">
        <is>
          <t>Belum dihitung</t>
        </is>
      </c>
      <c r="Q108" s="3" t="n"/>
    </row>
    <row r="109">
      <c r="A109" s="3" t="n">
        <v>108</v>
      </c>
      <c r="B109" s="3" t="inlineStr">
        <is>
          <t>Desember 2025</t>
        </is>
      </c>
      <c r="C109" s="3">
        <f>'Data Aset'!B111</f>
        <v/>
      </c>
      <c r="D109" s="3">
        <f>'Data Aset'!F111</f>
        <v/>
      </c>
      <c r="E109" s="3" t="inlineStr">
        <is>
          <t>Inventaris Ruangan</t>
        </is>
      </c>
      <c r="F109" s="3">
        <f>'Data Aset'!C111</f>
        <v/>
      </c>
      <c r="G109" s="3">
        <f>'Data Aset'!J111</f>
        <v/>
      </c>
      <c r="H109" s="5">
        <f>'Data Aset'!M111</f>
        <v/>
      </c>
      <c r="I109" s="3">
        <f>'Data Aset'!O111</f>
        <v/>
      </c>
      <c r="J109" s="5" t="n">
        <v>0</v>
      </c>
      <c r="K109" s="3" t="inlineStr">
        <is>
          <t>Garis Lurus</t>
        </is>
      </c>
      <c r="L109" s="5">
        <f>IFERROR(M109/12,"")</f>
        <v/>
      </c>
      <c r="M109" s="5">
        <f>IFERROR((H109-J109)/I109,"")</f>
        <v/>
      </c>
      <c r="N109" s="5">
        <f>IFERROR(M109,"")</f>
        <v/>
      </c>
      <c r="O109" s="5">
        <f>IFERROR(H109-N109,"")</f>
        <v/>
      </c>
      <c r="P109" s="3" t="inlineStr">
        <is>
          <t>Belum dihitung</t>
        </is>
      </c>
      <c r="Q109" s="3" t="n"/>
    </row>
    <row r="110">
      <c r="A110" s="3" t="n">
        <v>109</v>
      </c>
      <c r="B110" s="3" t="inlineStr">
        <is>
          <t>Desember 2025</t>
        </is>
      </c>
      <c r="C110" s="3">
        <f>'Data Aset'!B112</f>
        <v/>
      </c>
      <c r="D110" s="3">
        <f>'Data Aset'!F112</f>
        <v/>
      </c>
      <c r="E110" s="3" t="inlineStr">
        <is>
          <t>Inventaris Ruangan</t>
        </is>
      </c>
      <c r="F110" s="3">
        <f>'Data Aset'!C112</f>
        <v/>
      </c>
      <c r="G110" s="3">
        <f>'Data Aset'!J112</f>
        <v/>
      </c>
      <c r="H110" s="5">
        <f>'Data Aset'!M112</f>
        <v/>
      </c>
      <c r="I110" s="3">
        <f>'Data Aset'!O112</f>
        <v/>
      </c>
      <c r="J110" s="5" t="n">
        <v>0</v>
      </c>
      <c r="K110" s="3" t="inlineStr">
        <is>
          <t>Garis Lurus</t>
        </is>
      </c>
      <c r="L110" s="5">
        <f>IFERROR(M110/12,"")</f>
        <v/>
      </c>
      <c r="M110" s="5">
        <f>IFERROR((H110-J110)/I110,"")</f>
        <v/>
      </c>
      <c r="N110" s="5">
        <f>IFERROR(M110,"")</f>
        <v/>
      </c>
      <c r="O110" s="5">
        <f>IFERROR(H110-N110,"")</f>
        <v/>
      </c>
      <c r="P110" s="3" t="inlineStr">
        <is>
          <t>Belum dihitung</t>
        </is>
      </c>
      <c r="Q110" s="3" t="n"/>
    </row>
    <row r="111">
      <c r="A111" s="3" t="n">
        <v>110</v>
      </c>
      <c r="B111" s="3" t="inlineStr">
        <is>
          <t>Desember 2025</t>
        </is>
      </c>
      <c r="C111" s="3">
        <f>'Data Aset'!B113</f>
        <v/>
      </c>
      <c r="D111" s="3">
        <f>'Data Aset'!F113</f>
        <v/>
      </c>
      <c r="E111" s="3" t="inlineStr">
        <is>
          <t>Inventaris Ruangan</t>
        </is>
      </c>
      <c r="F111" s="3">
        <f>'Data Aset'!C113</f>
        <v/>
      </c>
      <c r="G111" s="3">
        <f>'Data Aset'!J113</f>
        <v/>
      </c>
      <c r="H111" s="5">
        <f>'Data Aset'!M113</f>
        <v/>
      </c>
      <c r="I111" s="3">
        <f>'Data Aset'!O113</f>
        <v/>
      </c>
      <c r="J111" s="5" t="n">
        <v>0</v>
      </c>
      <c r="K111" s="3" t="inlineStr">
        <is>
          <t>Garis Lurus</t>
        </is>
      </c>
      <c r="L111" s="5">
        <f>IFERROR(M111/12,"")</f>
        <v/>
      </c>
      <c r="M111" s="5">
        <f>IFERROR((H111-J111)/I111,"")</f>
        <v/>
      </c>
      <c r="N111" s="5">
        <f>IFERROR(M111,"")</f>
        <v/>
      </c>
      <c r="O111" s="5">
        <f>IFERROR(H111-N111,"")</f>
        <v/>
      </c>
      <c r="P111" s="3" t="inlineStr">
        <is>
          <t>Belum dihitung</t>
        </is>
      </c>
      <c r="Q111" s="3" t="n"/>
    </row>
    <row r="112">
      <c r="A112" s="3" t="n">
        <v>111</v>
      </c>
      <c r="B112" s="3" t="inlineStr">
        <is>
          <t>Desember 2025</t>
        </is>
      </c>
      <c r="C112" s="3">
        <f>'Data Aset'!B114</f>
        <v/>
      </c>
      <c r="D112" s="3">
        <f>'Data Aset'!F114</f>
        <v/>
      </c>
      <c r="E112" s="3" t="inlineStr">
        <is>
          <t>Inventaris Ruangan</t>
        </is>
      </c>
      <c r="F112" s="3">
        <f>'Data Aset'!C114</f>
        <v/>
      </c>
      <c r="G112" s="3">
        <f>'Data Aset'!J114</f>
        <v/>
      </c>
      <c r="H112" s="5">
        <f>'Data Aset'!M114</f>
        <v/>
      </c>
      <c r="I112" s="3">
        <f>'Data Aset'!O114</f>
        <v/>
      </c>
      <c r="J112" s="5" t="n">
        <v>0</v>
      </c>
      <c r="K112" s="3" t="inlineStr">
        <is>
          <t>Garis Lurus</t>
        </is>
      </c>
      <c r="L112" s="5">
        <f>IFERROR(M112/12,"")</f>
        <v/>
      </c>
      <c r="M112" s="5">
        <f>IFERROR((H112-J112)/I112,"")</f>
        <v/>
      </c>
      <c r="N112" s="5">
        <f>IFERROR(M112,"")</f>
        <v/>
      </c>
      <c r="O112" s="5">
        <f>IFERROR(H112-N112,"")</f>
        <v/>
      </c>
      <c r="P112" s="3" t="inlineStr">
        <is>
          <t>Belum dihitung</t>
        </is>
      </c>
      <c r="Q112" s="3" t="n"/>
    </row>
    <row r="113">
      <c r="A113" s="3" t="n">
        <v>112</v>
      </c>
      <c r="B113" s="3" t="inlineStr">
        <is>
          <t>Desember 2025</t>
        </is>
      </c>
      <c r="C113" s="3">
        <f>'Data Aset'!B115</f>
        <v/>
      </c>
      <c r="D113" s="3">
        <f>'Data Aset'!F115</f>
        <v/>
      </c>
      <c r="E113" s="3" t="inlineStr">
        <is>
          <t>Inventaris Ruangan</t>
        </is>
      </c>
      <c r="F113" s="3">
        <f>'Data Aset'!C115</f>
        <v/>
      </c>
      <c r="G113" s="3">
        <f>'Data Aset'!J115</f>
        <v/>
      </c>
      <c r="H113" s="5">
        <f>'Data Aset'!M115</f>
        <v/>
      </c>
      <c r="I113" s="3">
        <f>'Data Aset'!O115</f>
        <v/>
      </c>
      <c r="J113" s="5" t="n">
        <v>0</v>
      </c>
      <c r="K113" s="3" t="inlineStr">
        <is>
          <t>Garis Lurus</t>
        </is>
      </c>
      <c r="L113" s="5">
        <f>IFERROR(M113/12,"")</f>
        <v/>
      </c>
      <c r="M113" s="5">
        <f>IFERROR((H113-J113)/I113,"")</f>
        <v/>
      </c>
      <c r="N113" s="5">
        <f>IFERROR(M113,"")</f>
        <v/>
      </c>
      <c r="O113" s="5">
        <f>IFERROR(H113-N113,"")</f>
        <v/>
      </c>
      <c r="P113" s="3" t="inlineStr">
        <is>
          <t>Belum dihitung</t>
        </is>
      </c>
      <c r="Q113" s="3" t="n"/>
    </row>
    <row r="114">
      <c r="A114" s="3" t="n">
        <v>113</v>
      </c>
      <c r="B114" s="3" t="inlineStr">
        <is>
          <t>Desember 2025</t>
        </is>
      </c>
      <c r="C114" s="3">
        <f>'Data Aset'!B116</f>
        <v/>
      </c>
      <c r="D114" s="3">
        <f>'Data Aset'!F116</f>
        <v/>
      </c>
      <c r="E114" s="3" t="inlineStr">
        <is>
          <t>Inventaris Ruangan</t>
        </is>
      </c>
      <c r="F114" s="3">
        <f>'Data Aset'!C116</f>
        <v/>
      </c>
      <c r="G114" s="3">
        <f>'Data Aset'!J116</f>
        <v/>
      </c>
      <c r="H114" s="5">
        <f>'Data Aset'!M116</f>
        <v/>
      </c>
      <c r="I114" s="3">
        <f>'Data Aset'!O116</f>
        <v/>
      </c>
      <c r="J114" s="5" t="n">
        <v>0</v>
      </c>
      <c r="K114" s="3" t="inlineStr">
        <is>
          <t>Garis Lurus</t>
        </is>
      </c>
      <c r="L114" s="5">
        <f>IFERROR(M114/12,"")</f>
        <v/>
      </c>
      <c r="M114" s="5">
        <f>IFERROR((H114-J114)/I114,"")</f>
        <v/>
      </c>
      <c r="N114" s="5">
        <f>IFERROR(M114,"")</f>
        <v/>
      </c>
      <c r="O114" s="5">
        <f>IFERROR(H114-N114,"")</f>
        <v/>
      </c>
      <c r="P114" s="3" t="inlineStr">
        <is>
          <t>Belum dihitung</t>
        </is>
      </c>
      <c r="Q114" s="3" t="n"/>
    </row>
    <row r="115">
      <c r="A115" s="3" t="n">
        <v>114</v>
      </c>
      <c r="B115" s="3" t="inlineStr">
        <is>
          <t>Desember 2025</t>
        </is>
      </c>
      <c r="C115" s="3">
        <f>'Data Aset'!B117</f>
        <v/>
      </c>
      <c r="D115" s="3">
        <f>'Data Aset'!F117</f>
        <v/>
      </c>
      <c r="E115" s="3" t="inlineStr">
        <is>
          <t>Inventaris Ruangan</t>
        </is>
      </c>
      <c r="F115" s="3">
        <f>'Data Aset'!C117</f>
        <v/>
      </c>
      <c r="G115" s="3">
        <f>'Data Aset'!J117</f>
        <v/>
      </c>
      <c r="H115" s="5">
        <f>'Data Aset'!M117</f>
        <v/>
      </c>
      <c r="I115" s="3">
        <f>'Data Aset'!O117</f>
        <v/>
      </c>
      <c r="J115" s="5" t="n">
        <v>0</v>
      </c>
      <c r="K115" s="3" t="inlineStr">
        <is>
          <t>Garis Lurus</t>
        </is>
      </c>
      <c r="L115" s="5">
        <f>IFERROR(M115/12,"")</f>
        <v/>
      </c>
      <c r="M115" s="5">
        <f>IFERROR((H115-J115)/I115,"")</f>
        <v/>
      </c>
      <c r="N115" s="5">
        <f>IFERROR(M115,"")</f>
        <v/>
      </c>
      <c r="O115" s="5">
        <f>IFERROR(H115-N115,"")</f>
        <v/>
      </c>
      <c r="P115" s="3" t="inlineStr">
        <is>
          <t>Belum dihitung</t>
        </is>
      </c>
      <c r="Q115" s="3" t="n"/>
    </row>
    <row r="116">
      <c r="A116" s="3" t="n">
        <v>115</v>
      </c>
      <c r="B116" s="3" t="inlineStr">
        <is>
          <t>Desember 2025</t>
        </is>
      </c>
      <c r="C116" s="3">
        <f>'Data Aset'!B118</f>
        <v/>
      </c>
      <c r="D116" s="3">
        <f>'Data Aset'!F118</f>
        <v/>
      </c>
      <c r="E116" s="3" t="inlineStr">
        <is>
          <t>Inventaris Ruangan</t>
        </is>
      </c>
      <c r="F116" s="3">
        <f>'Data Aset'!C118</f>
        <v/>
      </c>
      <c r="G116" s="3">
        <f>'Data Aset'!J118</f>
        <v/>
      </c>
      <c r="H116" s="5">
        <f>'Data Aset'!M118</f>
        <v/>
      </c>
      <c r="I116" s="3">
        <f>'Data Aset'!O118</f>
        <v/>
      </c>
      <c r="J116" s="5" t="n">
        <v>0</v>
      </c>
      <c r="K116" s="3" t="inlineStr">
        <is>
          <t>Garis Lurus</t>
        </is>
      </c>
      <c r="L116" s="5">
        <f>IFERROR(M116/12,"")</f>
        <v/>
      </c>
      <c r="M116" s="5">
        <f>IFERROR((H116-J116)/I116,"")</f>
        <v/>
      </c>
      <c r="N116" s="5">
        <f>IFERROR(M116,"")</f>
        <v/>
      </c>
      <c r="O116" s="5">
        <f>IFERROR(H116-N116,"")</f>
        <v/>
      </c>
      <c r="P116" s="3" t="inlineStr">
        <is>
          <t>Belum dihitung</t>
        </is>
      </c>
      <c r="Q116" s="3" t="n"/>
    </row>
    <row r="117">
      <c r="A117" s="3" t="n">
        <v>116</v>
      </c>
      <c r="B117" s="3" t="inlineStr">
        <is>
          <t>Desember 2025</t>
        </is>
      </c>
      <c r="C117" s="3">
        <f>'Data Aset'!B119</f>
        <v/>
      </c>
      <c r="D117" s="3">
        <f>'Data Aset'!F119</f>
        <v/>
      </c>
      <c r="E117" s="3" t="inlineStr">
        <is>
          <t>Inventaris Ruangan</t>
        </is>
      </c>
      <c r="F117" s="3">
        <f>'Data Aset'!C119</f>
        <v/>
      </c>
      <c r="G117" s="3">
        <f>'Data Aset'!J119</f>
        <v/>
      </c>
      <c r="H117" s="5">
        <f>'Data Aset'!M119</f>
        <v/>
      </c>
      <c r="I117" s="3">
        <f>'Data Aset'!O119</f>
        <v/>
      </c>
      <c r="J117" s="5" t="n">
        <v>0</v>
      </c>
      <c r="K117" s="3" t="inlineStr">
        <is>
          <t>Garis Lurus</t>
        </is>
      </c>
      <c r="L117" s="5">
        <f>IFERROR(M117/12,"")</f>
        <v/>
      </c>
      <c r="M117" s="5">
        <f>IFERROR((H117-J117)/I117,"")</f>
        <v/>
      </c>
      <c r="N117" s="5">
        <f>IFERROR(M117,"")</f>
        <v/>
      </c>
      <c r="O117" s="5">
        <f>IFERROR(H117-N117,"")</f>
        <v/>
      </c>
      <c r="P117" s="3" t="inlineStr">
        <is>
          <t>Belum dihitung</t>
        </is>
      </c>
      <c r="Q117" s="3" t="n"/>
    </row>
    <row r="118">
      <c r="A118" s="3" t="n">
        <v>117</v>
      </c>
      <c r="B118" s="3" t="inlineStr">
        <is>
          <t>Desember 2025</t>
        </is>
      </c>
      <c r="C118" s="3">
        <f>'Data Aset'!B120</f>
        <v/>
      </c>
      <c r="D118" s="3">
        <f>'Data Aset'!F120</f>
        <v/>
      </c>
      <c r="E118" s="3" t="inlineStr">
        <is>
          <t>Inventaris Ruangan</t>
        </is>
      </c>
      <c r="F118" s="3">
        <f>'Data Aset'!C120</f>
        <v/>
      </c>
      <c r="G118" s="3">
        <f>'Data Aset'!J120</f>
        <v/>
      </c>
      <c r="H118" s="5">
        <f>'Data Aset'!M120</f>
        <v/>
      </c>
      <c r="I118" s="3">
        <f>'Data Aset'!O120</f>
        <v/>
      </c>
      <c r="J118" s="5" t="n">
        <v>0</v>
      </c>
      <c r="K118" s="3" t="inlineStr">
        <is>
          <t>Garis Lurus</t>
        </is>
      </c>
      <c r="L118" s="5">
        <f>IFERROR(M118/12,"")</f>
        <v/>
      </c>
      <c r="M118" s="5">
        <f>IFERROR((H118-J118)/I118,"")</f>
        <v/>
      </c>
      <c r="N118" s="5">
        <f>IFERROR(M118,"")</f>
        <v/>
      </c>
      <c r="O118" s="5">
        <f>IFERROR(H118-N118,"")</f>
        <v/>
      </c>
      <c r="P118" s="3" t="inlineStr">
        <is>
          <t>Belum dihitung</t>
        </is>
      </c>
      <c r="Q118" s="3" t="n"/>
    </row>
    <row r="119">
      <c r="A119" s="3" t="n">
        <v>118</v>
      </c>
      <c r="B119" s="3" t="inlineStr">
        <is>
          <t>Desember 2025</t>
        </is>
      </c>
      <c r="C119" s="3">
        <f>'Data Aset'!B121</f>
        <v/>
      </c>
      <c r="D119" s="3">
        <f>'Data Aset'!F121</f>
        <v/>
      </c>
      <c r="E119" s="3" t="inlineStr">
        <is>
          <t>Inventaris Ruangan</t>
        </is>
      </c>
      <c r="F119" s="3">
        <f>'Data Aset'!C121</f>
        <v/>
      </c>
      <c r="G119" s="3">
        <f>'Data Aset'!J121</f>
        <v/>
      </c>
      <c r="H119" s="5">
        <f>'Data Aset'!M121</f>
        <v/>
      </c>
      <c r="I119" s="3">
        <f>'Data Aset'!O121</f>
        <v/>
      </c>
      <c r="J119" s="5" t="n">
        <v>0</v>
      </c>
      <c r="K119" s="3" t="inlineStr">
        <is>
          <t>Garis Lurus</t>
        </is>
      </c>
      <c r="L119" s="5">
        <f>IFERROR(M119/12,"")</f>
        <v/>
      </c>
      <c r="M119" s="5">
        <f>IFERROR((H119-J119)/I119,"")</f>
        <v/>
      </c>
      <c r="N119" s="5">
        <f>IFERROR(M119,"")</f>
        <v/>
      </c>
      <c r="O119" s="5">
        <f>IFERROR(H119-N119,"")</f>
        <v/>
      </c>
      <c r="P119" s="3" t="inlineStr">
        <is>
          <t>Belum dihitung</t>
        </is>
      </c>
      <c r="Q119" s="3" t="n"/>
    </row>
    <row r="120">
      <c r="A120" s="3" t="n">
        <v>119</v>
      </c>
      <c r="B120" s="3" t="inlineStr">
        <is>
          <t>Desember 2025</t>
        </is>
      </c>
      <c r="C120" s="3">
        <f>'Data Aset'!B122</f>
        <v/>
      </c>
      <c r="D120" s="3">
        <f>'Data Aset'!F122</f>
        <v/>
      </c>
      <c r="E120" s="3" t="inlineStr">
        <is>
          <t>Inventaris Ruangan</t>
        </is>
      </c>
      <c r="F120" s="3">
        <f>'Data Aset'!C122</f>
        <v/>
      </c>
      <c r="G120" s="3">
        <f>'Data Aset'!J122</f>
        <v/>
      </c>
      <c r="H120" s="5">
        <f>'Data Aset'!M122</f>
        <v/>
      </c>
      <c r="I120" s="3">
        <f>'Data Aset'!O122</f>
        <v/>
      </c>
      <c r="J120" s="5" t="n">
        <v>0</v>
      </c>
      <c r="K120" s="3" t="inlineStr">
        <is>
          <t>Garis Lurus</t>
        </is>
      </c>
      <c r="L120" s="5">
        <f>IFERROR(M120/12,"")</f>
        <v/>
      </c>
      <c r="M120" s="5">
        <f>IFERROR((H120-J120)/I120,"")</f>
        <v/>
      </c>
      <c r="N120" s="5">
        <f>IFERROR(M120,"")</f>
        <v/>
      </c>
      <c r="O120" s="5">
        <f>IFERROR(H120-N120,"")</f>
        <v/>
      </c>
      <c r="P120" s="3" t="inlineStr">
        <is>
          <t>Belum dihitung</t>
        </is>
      </c>
      <c r="Q120" s="3" t="n"/>
    </row>
    <row r="121">
      <c r="A121" s="3" t="n">
        <v>120</v>
      </c>
      <c r="B121" s="3" t="inlineStr">
        <is>
          <t>Desember 2025</t>
        </is>
      </c>
      <c r="C121" s="3">
        <f>'Data Aset'!B123</f>
        <v/>
      </c>
      <c r="D121" s="3">
        <f>'Data Aset'!F123</f>
        <v/>
      </c>
      <c r="E121" s="3" t="inlineStr">
        <is>
          <t>Inventaris Ruangan</t>
        </is>
      </c>
      <c r="F121" s="3">
        <f>'Data Aset'!C123</f>
        <v/>
      </c>
      <c r="G121" s="3">
        <f>'Data Aset'!J123</f>
        <v/>
      </c>
      <c r="H121" s="5">
        <f>'Data Aset'!M123</f>
        <v/>
      </c>
      <c r="I121" s="3">
        <f>'Data Aset'!O123</f>
        <v/>
      </c>
      <c r="J121" s="5" t="n">
        <v>0</v>
      </c>
      <c r="K121" s="3" t="inlineStr">
        <is>
          <t>Garis Lurus</t>
        </is>
      </c>
      <c r="L121" s="5">
        <f>IFERROR(M121/12,"")</f>
        <v/>
      </c>
      <c r="M121" s="5">
        <f>IFERROR((H121-J121)/I121,"")</f>
        <v/>
      </c>
      <c r="N121" s="5">
        <f>IFERROR(M121,"")</f>
        <v/>
      </c>
      <c r="O121" s="5">
        <f>IFERROR(H121-N121,"")</f>
        <v/>
      </c>
      <c r="P121" s="3" t="inlineStr">
        <is>
          <t>Belum dihitung</t>
        </is>
      </c>
      <c r="Q121" s="3" t="n"/>
    </row>
    <row r="122">
      <c r="A122" s="3" t="n">
        <v>121</v>
      </c>
      <c r="B122" s="3" t="inlineStr">
        <is>
          <t>Desember 2025</t>
        </is>
      </c>
      <c r="C122" s="3">
        <f>'Data Aset'!B124</f>
        <v/>
      </c>
      <c r="D122" s="3">
        <f>'Data Aset'!F124</f>
        <v/>
      </c>
      <c r="E122" s="3" t="inlineStr">
        <is>
          <t>Inventaris Ruangan</t>
        </is>
      </c>
      <c r="F122" s="3">
        <f>'Data Aset'!C124</f>
        <v/>
      </c>
      <c r="G122" s="3">
        <f>'Data Aset'!J124</f>
        <v/>
      </c>
      <c r="H122" s="5">
        <f>'Data Aset'!M124</f>
        <v/>
      </c>
      <c r="I122" s="3">
        <f>'Data Aset'!O124</f>
        <v/>
      </c>
      <c r="J122" s="5" t="n">
        <v>0</v>
      </c>
      <c r="K122" s="3" t="inlineStr">
        <is>
          <t>Garis Lurus</t>
        </is>
      </c>
      <c r="L122" s="5">
        <f>IFERROR(M122/12,"")</f>
        <v/>
      </c>
      <c r="M122" s="5">
        <f>IFERROR((H122-J122)/I122,"")</f>
        <v/>
      </c>
      <c r="N122" s="5">
        <f>IFERROR(M122,"")</f>
        <v/>
      </c>
      <c r="O122" s="5">
        <f>IFERROR(H122-N122,"")</f>
        <v/>
      </c>
      <c r="P122" s="3" t="inlineStr">
        <is>
          <t>Belum dihitung</t>
        </is>
      </c>
      <c r="Q122" s="3" t="n"/>
    </row>
    <row r="123">
      <c r="A123" s="3" t="n">
        <v>122</v>
      </c>
      <c r="B123" s="3" t="inlineStr">
        <is>
          <t>Desember 2025</t>
        </is>
      </c>
      <c r="C123" s="3">
        <f>'Data Aset'!B125</f>
        <v/>
      </c>
      <c r="D123" s="3">
        <f>'Data Aset'!F125</f>
        <v/>
      </c>
      <c r="E123" s="3" t="inlineStr">
        <is>
          <t>Inventaris Ruangan</t>
        </is>
      </c>
      <c r="F123" s="3">
        <f>'Data Aset'!C125</f>
        <v/>
      </c>
      <c r="G123" s="3">
        <f>'Data Aset'!J125</f>
        <v/>
      </c>
      <c r="H123" s="5">
        <f>'Data Aset'!M125</f>
        <v/>
      </c>
      <c r="I123" s="3">
        <f>'Data Aset'!O125</f>
        <v/>
      </c>
      <c r="J123" s="5" t="n">
        <v>0</v>
      </c>
      <c r="K123" s="3" t="inlineStr">
        <is>
          <t>Garis Lurus</t>
        </is>
      </c>
      <c r="L123" s="5">
        <f>IFERROR(M123/12,"")</f>
        <v/>
      </c>
      <c r="M123" s="5">
        <f>IFERROR((H123-J123)/I123,"")</f>
        <v/>
      </c>
      <c r="N123" s="5">
        <f>IFERROR(M123,"")</f>
        <v/>
      </c>
      <c r="O123" s="5">
        <f>IFERROR(H123-N123,"")</f>
        <v/>
      </c>
      <c r="P123" s="3" t="inlineStr">
        <is>
          <t>Belum dihitung</t>
        </is>
      </c>
      <c r="Q123" s="3" t="n"/>
    </row>
    <row r="124">
      <c r="A124" s="3" t="n">
        <v>123</v>
      </c>
      <c r="B124" s="3" t="inlineStr">
        <is>
          <t>Desember 2025</t>
        </is>
      </c>
      <c r="C124" s="3">
        <f>'Data Aset'!B126</f>
        <v/>
      </c>
      <c r="D124" s="3">
        <f>'Data Aset'!F126</f>
        <v/>
      </c>
      <c r="E124" s="3" t="inlineStr">
        <is>
          <t>Inventaris Ruangan</t>
        </is>
      </c>
      <c r="F124" s="3">
        <f>'Data Aset'!C126</f>
        <v/>
      </c>
      <c r="G124" s="3">
        <f>'Data Aset'!J126</f>
        <v/>
      </c>
      <c r="H124" s="5">
        <f>'Data Aset'!M126</f>
        <v/>
      </c>
      <c r="I124" s="3">
        <f>'Data Aset'!O126</f>
        <v/>
      </c>
      <c r="J124" s="5" t="n">
        <v>0</v>
      </c>
      <c r="K124" s="3" t="inlineStr">
        <is>
          <t>Garis Lurus</t>
        </is>
      </c>
      <c r="L124" s="5">
        <f>IFERROR(M124/12,"")</f>
        <v/>
      </c>
      <c r="M124" s="5">
        <f>IFERROR((H124-J124)/I124,"")</f>
        <v/>
      </c>
      <c r="N124" s="5">
        <f>IFERROR(M124,"")</f>
        <v/>
      </c>
      <c r="O124" s="5">
        <f>IFERROR(H124-N124,"")</f>
        <v/>
      </c>
      <c r="P124" s="3" t="inlineStr">
        <is>
          <t>Belum dihitung</t>
        </is>
      </c>
      <c r="Q124" s="3" t="n"/>
    </row>
    <row r="125">
      <c r="A125" s="3" t="n">
        <v>124</v>
      </c>
      <c r="B125" s="3" t="inlineStr">
        <is>
          <t>Desember 2025</t>
        </is>
      </c>
      <c r="C125" s="3">
        <f>'Data Aset'!B127</f>
        <v/>
      </c>
      <c r="D125" s="3">
        <f>'Data Aset'!F127</f>
        <v/>
      </c>
      <c r="E125" s="3" t="inlineStr">
        <is>
          <t>Inventaris Ruangan</t>
        </is>
      </c>
      <c r="F125" s="3">
        <f>'Data Aset'!C127</f>
        <v/>
      </c>
      <c r="G125" s="3">
        <f>'Data Aset'!J127</f>
        <v/>
      </c>
      <c r="H125" s="5">
        <f>'Data Aset'!M127</f>
        <v/>
      </c>
      <c r="I125" s="3">
        <f>'Data Aset'!O127</f>
        <v/>
      </c>
      <c r="J125" s="5" t="n">
        <v>0</v>
      </c>
      <c r="K125" s="3" t="inlineStr">
        <is>
          <t>Garis Lurus</t>
        </is>
      </c>
      <c r="L125" s="5">
        <f>IFERROR(M125/12,"")</f>
        <v/>
      </c>
      <c r="M125" s="5">
        <f>IFERROR((H125-J125)/I125,"")</f>
        <v/>
      </c>
      <c r="N125" s="5">
        <f>IFERROR(M125,"")</f>
        <v/>
      </c>
      <c r="O125" s="5">
        <f>IFERROR(H125-N125,"")</f>
        <v/>
      </c>
      <c r="P125" s="3" t="inlineStr">
        <is>
          <t>Belum dihitung</t>
        </is>
      </c>
      <c r="Q125" s="3" t="n"/>
    </row>
    <row r="126">
      <c r="A126" s="3" t="n">
        <v>125</v>
      </c>
      <c r="B126" s="3" t="inlineStr">
        <is>
          <t>Desember 2025</t>
        </is>
      </c>
      <c r="C126" s="3">
        <f>'Data Aset'!B128</f>
        <v/>
      </c>
      <c r="D126" s="3">
        <f>'Data Aset'!F128</f>
        <v/>
      </c>
      <c r="E126" s="3" t="inlineStr">
        <is>
          <t>Inventaris Ruangan</t>
        </is>
      </c>
      <c r="F126" s="3">
        <f>'Data Aset'!C128</f>
        <v/>
      </c>
      <c r="G126" s="3">
        <f>'Data Aset'!J128</f>
        <v/>
      </c>
      <c r="H126" s="5">
        <f>'Data Aset'!M128</f>
        <v/>
      </c>
      <c r="I126" s="3">
        <f>'Data Aset'!O128</f>
        <v/>
      </c>
      <c r="J126" s="5" t="n">
        <v>0</v>
      </c>
      <c r="K126" s="3" t="inlineStr">
        <is>
          <t>Garis Lurus</t>
        </is>
      </c>
      <c r="L126" s="5">
        <f>IFERROR(M126/12,"")</f>
        <v/>
      </c>
      <c r="M126" s="5">
        <f>IFERROR((H126-J126)/I126,"")</f>
        <v/>
      </c>
      <c r="N126" s="5">
        <f>IFERROR(M126,"")</f>
        <v/>
      </c>
      <c r="O126" s="5">
        <f>IFERROR(H126-N126,"")</f>
        <v/>
      </c>
      <c r="P126" s="3" t="inlineStr">
        <is>
          <t>Belum dihitung</t>
        </is>
      </c>
      <c r="Q126" s="3" t="n"/>
    </row>
    <row r="127">
      <c r="A127" s="3" t="n">
        <v>126</v>
      </c>
      <c r="B127" s="3" t="inlineStr">
        <is>
          <t>Desember 2025</t>
        </is>
      </c>
      <c r="C127" s="3">
        <f>'Data Aset'!B129</f>
        <v/>
      </c>
      <c r="D127" s="3">
        <f>'Data Aset'!F129</f>
        <v/>
      </c>
      <c r="E127" s="3" t="inlineStr">
        <is>
          <t>Inventaris Ruangan</t>
        </is>
      </c>
      <c r="F127" s="3">
        <f>'Data Aset'!C129</f>
        <v/>
      </c>
      <c r="G127" s="3">
        <f>'Data Aset'!J129</f>
        <v/>
      </c>
      <c r="H127" s="5">
        <f>'Data Aset'!M129</f>
        <v/>
      </c>
      <c r="I127" s="3">
        <f>'Data Aset'!O129</f>
        <v/>
      </c>
      <c r="J127" s="5" t="n">
        <v>0</v>
      </c>
      <c r="K127" s="3" t="inlineStr">
        <is>
          <t>Garis Lurus</t>
        </is>
      </c>
      <c r="L127" s="5">
        <f>IFERROR(M127/12,"")</f>
        <v/>
      </c>
      <c r="M127" s="5">
        <f>IFERROR((H127-J127)/I127,"")</f>
        <v/>
      </c>
      <c r="N127" s="5">
        <f>IFERROR(M127,"")</f>
        <v/>
      </c>
      <c r="O127" s="5">
        <f>IFERROR(H127-N127,"")</f>
        <v/>
      </c>
      <c r="P127" s="3" t="inlineStr">
        <is>
          <t>Belum dihitung</t>
        </is>
      </c>
      <c r="Q127" s="3" t="n"/>
    </row>
    <row r="128">
      <c r="A128" s="3" t="n">
        <v>127</v>
      </c>
      <c r="B128" s="3" t="inlineStr">
        <is>
          <t>Desember 2025</t>
        </is>
      </c>
      <c r="C128" s="3">
        <f>'Data Aset'!B130</f>
        <v/>
      </c>
      <c r="D128" s="3">
        <f>'Data Aset'!F130</f>
        <v/>
      </c>
      <c r="E128" s="3" t="inlineStr">
        <is>
          <t>Inventaris Ruangan</t>
        </is>
      </c>
      <c r="F128" s="3">
        <f>'Data Aset'!C130</f>
        <v/>
      </c>
      <c r="G128" s="3">
        <f>'Data Aset'!J130</f>
        <v/>
      </c>
      <c r="H128" s="5">
        <f>'Data Aset'!M130</f>
        <v/>
      </c>
      <c r="I128" s="3">
        <f>'Data Aset'!O130</f>
        <v/>
      </c>
      <c r="J128" s="5" t="n">
        <v>0</v>
      </c>
      <c r="K128" s="3" t="inlineStr">
        <is>
          <t>Garis Lurus</t>
        </is>
      </c>
      <c r="L128" s="5">
        <f>IFERROR(M128/12,"")</f>
        <v/>
      </c>
      <c r="M128" s="5">
        <f>IFERROR((H128-J128)/I128,"")</f>
        <v/>
      </c>
      <c r="N128" s="5">
        <f>IFERROR(M128,"")</f>
        <v/>
      </c>
      <c r="O128" s="5">
        <f>IFERROR(H128-N128,"")</f>
        <v/>
      </c>
      <c r="P128" s="3" t="inlineStr">
        <is>
          <t>Belum dihitung</t>
        </is>
      </c>
      <c r="Q128" s="3" t="n"/>
    </row>
    <row r="129">
      <c r="A129" s="3" t="n">
        <v>128</v>
      </c>
      <c r="B129" s="3" t="inlineStr">
        <is>
          <t>Desember 2025</t>
        </is>
      </c>
      <c r="C129" s="3">
        <f>'Data Aset'!B131</f>
        <v/>
      </c>
      <c r="D129" s="3">
        <f>'Data Aset'!F131</f>
        <v/>
      </c>
      <c r="E129" s="3" t="inlineStr">
        <is>
          <t>Inventaris Ruangan</t>
        </is>
      </c>
      <c r="F129" s="3">
        <f>'Data Aset'!C131</f>
        <v/>
      </c>
      <c r="G129" s="3">
        <f>'Data Aset'!J131</f>
        <v/>
      </c>
      <c r="H129" s="5">
        <f>'Data Aset'!M131</f>
        <v/>
      </c>
      <c r="I129" s="3">
        <f>'Data Aset'!O131</f>
        <v/>
      </c>
      <c r="J129" s="5" t="n">
        <v>0</v>
      </c>
      <c r="K129" s="3" t="inlineStr">
        <is>
          <t>Garis Lurus</t>
        </is>
      </c>
      <c r="L129" s="5">
        <f>IFERROR(M129/12,"")</f>
        <v/>
      </c>
      <c r="M129" s="5">
        <f>IFERROR((H129-J129)/I129,"")</f>
        <v/>
      </c>
      <c r="N129" s="5">
        <f>IFERROR(M129,"")</f>
        <v/>
      </c>
      <c r="O129" s="5">
        <f>IFERROR(H129-N129,"")</f>
        <v/>
      </c>
      <c r="P129" s="3" t="inlineStr">
        <is>
          <t>Belum dihitung</t>
        </is>
      </c>
      <c r="Q129" s="3" t="n"/>
    </row>
    <row r="130">
      <c r="A130" s="3" t="n">
        <v>129</v>
      </c>
      <c r="B130" s="3" t="inlineStr">
        <is>
          <t>Desember 2025</t>
        </is>
      </c>
      <c r="C130" s="3">
        <f>'Data Aset'!B132</f>
        <v/>
      </c>
      <c r="D130" s="3">
        <f>'Data Aset'!F132</f>
        <v/>
      </c>
      <c r="E130" s="3" t="inlineStr">
        <is>
          <t>Inventaris Ruangan</t>
        </is>
      </c>
      <c r="F130" s="3">
        <f>'Data Aset'!C132</f>
        <v/>
      </c>
      <c r="G130" s="3">
        <f>'Data Aset'!J132</f>
        <v/>
      </c>
      <c r="H130" s="5">
        <f>'Data Aset'!M132</f>
        <v/>
      </c>
      <c r="I130" s="3">
        <f>'Data Aset'!O132</f>
        <v/>
      </c>
      <c r="J130" s="5" t="n">
        <v>0</v>
      </c>
      <c r="K130" s="3" t="inlineStr">
        <is>
          <t>Garis Lurus</t>
        </is>
      </c>
      <c r="L130" s="5">
        <f>IFERROR(M130/12,"")</f>
        <v/>
      </c>
      <c r="M130" s="5">
        <f>IFERROR((H130-J130)/I130,"")</f>
        <v/>
      </c>
      <c r="N130" s="5">
        <f>IFERROR(M130,"")</f>
        <v/>
      </c>
      <c r="O130" s="5">
        <f>IFERROR(H130-N130,"")</f>
        <v/>
      </c>
      <c r="P130" s="3" t="inlineStr">
        <is>
          <t>Belum dihitung</t>
        </is>
      </c>
      <c r="Q130" s="3" t="n"/>
    </row>
    <row r="131">
      <c r="A131" s="3" t="n">
        <v>130</v>
      </c>
      <c r="B131" s="3" t="inlineStr">
        <is>
          <t>Desember 2025</t>
        </is>
      </c>
      <c r="C131" s="3">
        <f>'Data Aset'!B133</f>
        <v/>
      </c>
      <c r="D131" s="3">
        <f>'Data Aset'!F133</f>
        <v/>
      </c>
      <c r="E131" s="3" t="inlineStr">
        <is>
          <t>Inventaris Ruangan</t>
        </is>
      </c>
      <c r="F131" s="3">
        <f>'Data Aset'!C133</f>
        <v/>
      </c>
      <c r="G131" s="3">
        <f>'Data Aset'!J133</f>
        <v/>
      </c>
      <c r="H131" s="5">
        <f>'Data Aset'!M133</f>
        <v/>
      </c>
      <c r="I131" s="3">
        <f>'Data Aset'!O133</f>
        <v/>
      </c>
      <c r="J131" s="5" t="n">
        <v>0</v>
      </c>
      <c r="K131" s="3" t="inlineStr">
        <is>
          <t>Garis Lurus</t>
        </is>
      </c>
      <c r="L131" s="5">
        <f>IFERROR(M131/12,"")</f>
        <v/>
      </c>
      <c r="M131" s="5">
        <f>IFERROR((H131-J131)/I131,"")</f>
        <v/>
      </c>
      <c r="N131" s="5">
        <f>IFERROR(M131,"")</f>
        <v/>
      </c>
      <c r="O131" s="5">
        <f>IFERROR(H131-N131,"")</f>
        <v/>
      </c>
      <c r="P131" s="3" t="inlineStr">
        <is>
          <t>Belum dihitung</t>
        </is>
      </c>
      <c r="Q131" s="3" t="n"/>
    </row>
    <row r="132">
      <c r="A132" s="3" t="n">
        <v>131</v>
      </c>
      <c r="B132" s="3" t="inlineStr">
        <is>
          <t>Desember 2025</t>
        </is>
      </c>
      <c r="C132" s="3">
        <f>'Data Aset'!B134</f>
        <v/>
      </c>
      <c r="D132" s="3">
        <f>'Data Aset'!F134</f>
        <v/>
      </c>
      <c r="E132" s="3" t="inlineStr">
        <is>
          <t>Inventaris Ruangan</t>
        </is>
      </c>
      <c r="F132" s="3">
        <f>'Data Aset'!C134</f>
        <v/>
      </c>
      <c r="G132" s="3">
        <f>'Data Aset'!J134</f>
        <v/>
      </c>
      <c r="H132" s="5">
        <f>'Data Aset'!M134</f>
        <v/>
      </c>
      <c r="I132" s="3">
        <f>'Data Aset'!O134</f>
        <v/>
      </c>
      <c r="J132" s="5" t="n">
        <v>0</v>
      </c>
      <c r="K132" s="3" t="inlineStr">
        <is>
          <t>Garis Lurus</t>
        </is>
      </c>
      <c r="L132" s="5">
        <f>IFERROR(M132/12,"")</f>
        <v/>
      </c>
      <c r="M132" s="5">
        <f>IFERROR((H132-J132)/I132,"")</f>
        <v/>
      </c>
      <c r="N132" s="5">
        <f>IFERROR(M132,"")</f>
        <v/>
      </c>
      <c r="O132" s="5">
        <f>IFERROR(H132-N132,"")</f>
        <v/>
      </c>
      <c r="P132" s="3" t="inlineStr">
        <is>
          <t>Belum dihitung</t>
        </is>
      </c>
      <c r="Q132" s="3" t="n"/>
    </row>
    <row r="133">
      <c r="A133" s="3" t="n">
        <v>132</v>
      </c>
      <c r="B133" s="3" t="inlineStr">
        <is>
          <t>Desember 2025</t>
        </is>
      </c>
      <c r="C133" s="3">
        <f>'Data Aset'!B135</f>
        <v/>
      </c>
      <c r="D133" s="3">
        <f>'Data Aset'!F135</f>
        <v/>
      </c>
      <c r="E133" s="3" t="inlineStr">
        <is>
          <t>Inventaris Ruangan</t>
        </is>
      </c>
      <c r="F133" s="3">
        <f>'Data Aset'!C135</f>
        <v/>
      </c>
      <c r="G133" s="3">
        <f>'Data Aset'!J135</f>
        <v/>
      </c>
      <c r="H133" s="5">
        <f>'Data Aset'!M135</f>
        <v/>
      </c>
      <c r="I133" s="3">
        <f>'Data Aset'!O135</f>
        <v/>
      </c>
      <c r="J133" s="5" t="n">
        <v>0</v>
      </c>
      <c r="K133" s="3" t="inlineStr">
        <is>
          <t>Garis Lurus</t>
        </is>
      </c>
      <c r="L133" s="5">
        <f>IFERROR(M133/12,"")</f>
        <v/>
      </c>
      <c r="M133" s="5">
        <f>IFERROR((H133-J133)/I133,"")</f>
        <v/>
      </c>
      <c r="N133" s="5">
        <f>IFERROR(M133,"")</f>
        <v/>
      </c>
      <c r="O133" s="5">
        <f>IFERROR(H133-N133,"")</f>
        <v/>
      </c>
      <c r="P133" s="3" t="inlineStr">
        <is>
          <t>Belum dihitung</t>
        </is>
      </c>
      <c r="Q133" s="3" t="n"/>
    </row>
    <row r="134">
      <c r="A134" s="3" t="n">
        <v>133</v>
      </c>
      <c r="B134" s="3" t="inlineStr">
        <is>
          <t>Desember 2025</t>
        </is>
      </c>
      <c r="C134" s="3">
        <f>'Data Aset'!B136</f>
        <v/>
      </c>
      <c r="D134" s="3">
        <f>'Data Aset'!F136</f>
        <v/>
      </c>
      <c r="E134" s="3" t="inlineStr">
        <is>
          <t>Inventaris Ruangan</t>
        </is>
      </c>
      <c r="F134" s="3">
        <f>'Data Aset'!C136</f>
        <v/>
      </c>
      <c r="G134" s="3">
        <f>'Data Aset'!J136</f>
        <v/>
      </c>
      <c r="H134" s="5">
        <f>'Data Aset'!M136</f>
        <v/>
      </c>
      <c r="I134" s="3">
        <f>'Data Aset'!O136</f>
        <v/>
      </c>
      <c r="J134" s="5" t="n">
        <v>0</v>
      </c>
      <c r="K134" s="3" t="inlineStr">
        <is>
          <t>Garis Lurus</t>
        </is>
      </c>
      <c r="L134" s="5">
        <f>IFERROR(M134/12,"")</f>
        <v/>
      </c>
      <c r="M134" s="5">
        <f>IFERROR((H134-J134)/I134,"")</f>
        <v/>
      </c>
      <c r="N134" s="5">
        <f>IFERROR(M134,"")</f>
        <v/>
      </c>
      <c r="O134" s="5">
        <f>IFERROR(H134-N134,"")</f>
        <v/>
      </c>
      <c r="P134" s="3" t="inlineStr">
        <is>
          <t>Belum dihitung</t>
        </is>
      </c>
      <c r="Q134" s="3" t="n"/>
    </row>
    <row r="135">
      <c r="A135" s="3" t="n">
        <v>134</v>
      </c>
      <c r="B135" s="3" t="inlineStr">
        <is>
          <t>Desember 2025</t>
        </is>
      </c>
      <c r="C135" s="3">
        <f>'Data Aset'!B137</f>
        <v/>
      </c>
      <c r="D135" s="3">
        <f>'Data Aset'!F137</f>
        <v/>
      </c>
      <c r="E135" s="3" t="inlineStr">
        <is>
          <t>Inventaris Ruangan</t>
        </is>
      </c>
      <c r="F135" s="3">
        <f>'Data Aset'!C137</f>
        <v/>
      </c>
      <c r="G135" s="3">
        <f>'Data Aset'!J137</f>
        <v/>
      </c>
      <c r="H135" s="5">
        <f>'Data Aset'!M137</f>
        <v/>
      </c>
      <c r="I135" s="3">
        <f>'Data Aset'!O137</f>
        <v/>
      </c>
      <c r="J135" s="5" t="n">
        <v>0</v>
      </c>
      <c r="K135" s="3" t="inlineStr">
        <is>
          <t>Garis Lurus</t>
        </is>
      </c>
      <c r="L135" s="5">
        <f>IFERROR(M135/12,"")</f>
        <v/>
      </c>
      <c r="M135" s="5">
        <f>IFERROR((H135-J135)/I135,"")</f>
        <v/>
      </c>
      <c r="N135" s="5">
        <f>IFERROR(M135,"")</f>
        <v/>
      </c>
      <c r="O135" s="5">
        <f>IFERROR(H135-N135,"")</f>
        <v/>
      </c>
      <c r="P135" s="3" t="inlineStr">
        <is>
          <t>Belum dihitung</t>
        </is>
      </c>
      <c r="Q135" s="3" t="n"/>
    </row>
    <row r="136">
      <c r="A136" s="3" t="n">
        <v>135</v>
      </c>
      <c r="B136" s="3" t="inlineStr">
        <is>
          <t>Desember 2025</t>
        </is>
      </c>
      <c r="C136" s="3">
        <f>'Data Aset'!B138</f>
        <v/>
      </c>
      <c r="D136" s="3">
        <f>'Data Aset'!F138</f>
        <v/>
      </c>
      <c r="E136" s="3" t="inlineStr">
        <is>
          <t>Inventaris Ruangan</t>
        </is>
      </c>
      <c r="F136" s="3">
        <f>'Data Aset'!C138</f>
        <v/>
      </c>
      <c r="G136" s="3">
        <f>'Data Aset'!J138</f>
        <v/>
      </c>
      <c r="H136" s="5">
        <f>'Data Aset'!M138</f>
        <v/>
      </c>
      <c r="I136" s="3">
        <f>'Data Aset'!O138</f>
        <v/>
      </c>
      <c r="J136" s="5" t="n">
        <v>0</v>
      </c>
      <c r="K136" s="3" t="inlineStr">
        <is>
          <t>Garis Lurus</t>
        </is>
      </c>
      <c r="L136" s="5">
        <f>IFERROR(M136/12,"")</f>
        <v/>
      </c>
      <c r="M136" s="5">
        <f>IFERROR((H136-J136)/I136,"")</f>
        <v/>
      </c>
      <c r="N136" s="5">
        <f>IFERROR(M136,"")</f>
        <v/>
      </c>
      <c r="O136" s="5">
        <f>IFERROR(H136-N136,"")</f>
        <v/>
      </c>
      <c r="P136" s="3" t="inlineStr">
        <is>
          <t>Belum dihitung</t>
        </is>
      </c>
      <c r="Q136" s="3" t="n"/>
    </row>
    <row r="137">
      <c r="A137" s="3" t="n">
        <v>136</v>
      </c>
      <c r="B137" s="3" t="inlineStr">
        <is>
          <t>Desember 2025</t>
        </is>
      </c>
      <c r="C137" s="3">
        <f>'Data Aset'!B139</f>
        <v/>
      </c>
      <c r="D137" s="3">
        <f>'Data Aset'!F139</f>
        <v/>
      </c>
      <c r="E137" s="3" t="inlineStr">
        <is>
          <t>Inventaris Ruangan</t>
        </is>
      </c>
      <c r="F137" s="3">
        <f>'Data Aset'!C139</f>
        <v/>
      </c>
      <c r="G137" s="3">
        <f>'Data Aset'!J139</f>
        <v/>
      </c>
      <c r="H137" s="5">
        <f>'Data Aset'!M139</f>
        <v/>
      </c>
      <c r="I137" s="3">
        <f>'Data Aset'!O139</f>
        <v/>
      </c>
      <c r="J137" s="5" t="n">
        <v>0</v>
      </c>
      <c r="K137" s="3" t="inlineStr">
        <is>
          <t>Garis Lurus</t>
        </is>
      </c>
      <c r="L137" s="5">
        <f>IFERROR(M137/12,"")</f>
        <v/>
      </c>
      <c r="M137" s="5">
        <f>IFERROR((H137-J137)/I137,"")</f>
        <v/>
      </c>
      <c r="N137" s="5">
        <f>IFERROR(M137,"")</f>
        <v/>
      </c>
      <c r="O137" s="5">
        <f>IFERROR(H137-N137,"")</f>
        <v/>
      </c>
      <c r="P137" s="3" t="inlineStr">
        <is>
          <t>Belum dihitung</t>
        </is>
      </c>
      <c r="Q137" s="3" t="n"/>
    </row>
    <row r="138">
      <c r="A138" s="3" t="n">
        <v>137</v>
      </c>
      <c r="B138" s="3" t="inlineStr">
        <is>
          <t>Desember 2025</t>
        </is>
      </c>
      <c r="C138" s="3">
        <f>'Data Aset'!B140</f>
        <v/>
      </c>
      <c r="D138" s="3">
        <f>'Data Aset'!F140</f>
        <v/>
      </c>
      <c r="E138" s="3" t="inlineStr">
        <is>
          <t>Inventaris Ruangan</t>
        </is>
      </c>
      <c r="F138" s="3">
        <f>'Data Aset'!C140</f>
        <v/>
      </c>
      <c r="G138" s="3">
        <f>'Data Aset'!J140</f>
        <v/>
      </c>
      <c r="H138" s="5">
        <f>'Data Aset'!M140</f>
        <v/>
      </c>
      <c r="I138" s="3">
        <f>'Data Aset'!O140</f>
        <v/>
      </c>
      <c r="J138" s="5" t="n">
        <v>0</v>
      </c>
      <c r="K138" s="3" t="inlineStr">
        <is>
          <t>Garis Lurus</t>
        </is>
      </c>
      <c r="L138" s="5">
        <f>IFERROR(M138/12,"")</f>
        <v/>
      </c>
      <c r="M138" s="5">
        <f>IFERROR((H138-J138)/I138,"")</f>
        <v/>
      </c>
      <c r="N138" s="5">
        <f>IFERROR(M138,"")</f>
        <v/>
      </c>
      <c r="O138" s="5">
        <f>IFERROR(H138-N138,"")</f>
        <v/>
      </c>
      <c r="P138" s="3" t="inlineStr">
        <is>
          <t>Belum dihitung</t>
        </is>
      </c>
      <c r="Q138" s="3" t="n"/>
    </row>
    <row r="139">
      <c r="A139" s="3" t="n">
        <v>138</v>
      </c>
      <c r="B139" s="3" t="inlineStr">
        <is>
          <t>Desember 2025</t>
        </is>
      </c>
      <c r="C139" s="3">
        <f>'Data Aset'!B141</f>
        <v/>
      </c>
      <c r="D139" s="3">
        <f>'Data Aset'!F141</f>
        <v/>
      </c>
      <c r="E139" s="3" t="inlineStr">
        <is>
          <t>Inventaris Ruangan</t>
        </is>
      </c>
      <c r="F139" s="3">
        <f>'Data Aset'!C141</f>
        <v/>
      </c>
      <c r="G139" s="3">
        <f>'Data Aset'!J141</f>
        <v/>
      </c>
      <c r="H139" s="5">
        <f>'Data Aset'!M141</f>
        <v/>
      </c>
      <c r="I139" s="3">
        <f>'Data Aset'!O141</f>
        <v/>
      </c>
      <c r="J139" s="5" t="n">
        <v>0</v>
      </c>
      <c r="K139" s="3" t="inlineStr">
        <is>
          <t>Garis Lurus</t>
        </is>
      </c>
      <c r="L139" s="5">
        <f>IFERROR(M139/12,"")</f>
        <v/>
      </c>
      <c r="M139" s="5">
        <f>IFERROR((H139-J139)/I139,"")</f>
        <v/>
      </c>
      <c r="N139" s="5">
        <f>IFERROR(M139,"")</f>
        <v/>
      </c>
      <c r="O139" s="5">
        <f>IFERROR(H139-N139,"")</f>
        <v/>
      </c>
      <c r="P139" s="3" t="inlineStr">
        <is>
          <t>Belum dihitung</t>
        </is>
      </c>
      <c r="Q139" s="3" t="n"/>
    </row>
    <row r="140">
      <c r="A140" s="3" t="n">
        <v>139</v>
      </c>
      <c r="B140" s="3" t="inlineStr">
        <is>
          <t>Desember 2025</t>
        </is>
      </c>
      <c r="C140" s="3">
        <f>'Data Aset'!B142</f>
        <v/>
      </c>
      <c r="D140" s="3">
        <f>'Data Aset'!F142</f>
        <v/>
      </c>
      <c r="E140" s="3" t="inlineStr">
        <is>
          <t>Inventaris Ruangan</t>
        </is>
      </c>
      <c r="F140" s="3">
        <f>'Data Aset'!C142</f>
        <v/>
      </c>
      <c r="G140" s="3">
        <f>'Data Aset'!J142</f>
        <v/>
      </c>
      <c r="H140" s="5">
        <f>'Data Aset'!M142</f>
        <v/>
      </c>
      <c r="I140" s="3">
        <f>'Data Aset'!O142</f>
        <v/>
      </c>
      <c r="J140" s="5" t="n">
        <v>0</v>
      </c>
      <c r="K140" s="3" t="inlineStr">
        <is>
          <t>Garis Lurus</t>
        </is>
      </c>
      <c r="L140" s="5">
        <f>IFERROR(M140/12,"")</f>
        <v/>
      </c>
      <c r="M140" s="5">
        <f>IFERROR((H140-J140)/I140,"")</f>
        <v/>
      </c>
      <c r="N140" s="5">
        <f>IFERROR(M140,"")</f>
        <v/>
      </c>
      <c r="O140" s="5">
        <f>IFERROR(H140-N140,"")</f>
        <v/>
      </c>
      <c r="P140" s="3" t="inlineStr">
        <is>
          <t>Belum dihitung</t>
        </is>
      </c>
      <c r="Q140" s="3" t="n"/>
    </row>
    <row r="141">
      <c r="A141" s="3" t="n">
        <v>140</v>
      </c>
      <c r="B141" s="3" t="inlineStr">
        <is>
          <t>Desember 2025</t>
        </is>
      </c>
      <c r="C141" s="3">
        <f>'Data Aset'!B143</f>
        <v/>
      </c>
      <c r="D141" s="3">
        <f>'Data Aset'!F143</f>
        <v/>
      </c>
      <c r="E141" s="3" t="inlineStr">
        <is>
          <t>Inventaris Ruangan</t>
        </is>
      </c>
      <c r="F141" s="3">
        <f>'Data Aset'!C143</f>
        <v/>
      </c>
      <c r="G141" s="3">
        <f>'Data Aset'!J143</f>
        <v/>
      </c>
      <c r="H141" s="5">
        <f>'Data Aset'!M143</f>
        <v/>
      </c>
      <c r="I141" s="3">
        <f>'Data Aset'!O143</f>
        <v/>
      </c>
      <c r="J141" s="5" t="n">
        <v>0</v>
      </c>
      <c r="K141" s="3" t="inlineStr">
        <is>
          <t>Garis Lurus</t>
        </is>
      </c>
      <c r="L141" s="5">
        <f>IFERROR(M141/12,"")</f>
        <v/>
      </c>
      <c r="M141" s="5">
        <f>IFERROR((H141-J141)/I141,"")</f>
        <v/>
      </c>
      <c r="N141" s="5">
        <f>IFERROR(M141,"")</f>
        <v/>
      </c>
      <c r="O141" s="5">
        <f>IFERROR(H141-N141,"")</f>
        <v/>
      </c>
      <c r="P141" s="3" t="inlineStr">
        <is>
          <t>Belum dihitung</t>
        </is>
      </c>
      <c r="Q141" s="3" t="n"/>
    </row>
    <row r="142">
      <c r="A142" s="3" t="n">
        <v>141</v>
      </c>
      <c r="B142" s="3" t="inlineStr">
        <is>
          <t>Desember 2025</t>
        </is>
      </c>
      <c r="C142" s="3">
        <f>'Data Aset'!B144</f>
        <v/>
      </c>
      <c r="D142" s="3">
        <f>'Data Aset'!F144</f>
        <v/>
      </c>
      <c r="E142" s="3" t="inlineStr">
        <is>
          <t>Inventaris Ruangan</t>
        </is>
      </c>
      <c r="F142" s="3">
        <f>'Data Aset'!C144</f>
        <v/>
      </c>
      <c r="G142" s="3">
        <f>'Data Aset'!J144</f>
        <v/>
      </c>
      <c r="H142" s="5">
        <f>'Data Aset'!M144</f>
        <v/>
      </c>
      <c r="I142" s="3">
        <f>'Data Aset'!O144</f>
        <v/>
      </c>
      <c r="J142" s="5" t="n">
        <v>0</v>
      </c>
      <c r="K142" s="3" t="inlineStr">
        <is>
          <t>Garis Lurus</t>
        </is>
      </c>
      <c r="L142" s="5">
        <f>IFERROR(M142/12,"")</f>
        <v/>
      </c>
      <c r="M142" s="5">
        <f>IFERROR((H142-J142)/I142,"")</f>
        <v/>
      </c>
      <c r="N142" s="5">
        <f>IFERROR(M142,"")</f>
        <v/>
      </c>
      <c r="O142" s="5">
        <f>IFERROR(H142-N142,"")</f>
        <v/>
      </c>
      <c r="P142" s="3" t="inlineStr">
        <is>
          <t>Belum dihitung</t>
        </is>
      </c>
      <c r="Q142" s="3" t="n"/>
    </row>
    <row r="143">
      <c r="A143" s="3" t="n">
        <v>142</v>
      </c>
      <c r="B143" s="3" t="inlineStr">
        <is>
          <t>Desember 2025</t>
        </is>
      </c>
      <c r="C143" s="3">
        <f>'Data Aset'!B145</f>
        <v/>
      </c>
      <c r="D143" s="3">
        <f>'Data Aset'!F145</f>
        <v/>
      </c>
      <c r="E143" s="3" t="inlineStr">
        <is>
          <t>Inventaris Ruangan</t>
        </is>
      </c>
      <c r="F143" s="3">
        <f>'Data Aset'!C145</f>
        <v/>
      </c>
      <c r="G143" s="3">
        <f>'Data Aset'!J145</f>
        <v/>
      </c>
      <c r="H143" s="5">
        <f>'Data Aset'!M145</f>
        <v/>
      </c>
      <c r="I143" s="3">
        <f>'Data Aset'!O145</f>
        <v/>
      </c>
      <c r="J143" s="5" t="n">
        <v>0</v>
      </c>
      <c r="K143" s="3" t="inlineStr">
        <is>
          <t>Garis Lurus</t>
        </is>
      </c>
      <c r="L143" s="5">
        <f>IFERROR(M143/12,"")</f>
        <v/>
      </c>
      <c r="M143" s="5">
        <f>IFERROR((H143-J143)/I143,"")</f>
        <v/>
      </c>
      <c r="N143" s="5">
        <f>IFERROR(M143,"")</f>
        <v/>
      </c>
      <c r="O143" s="5">
        <f>IFERROR(H143-N143,"")</f>
        <v/>
      </c>
      <c r="P143" s="3" t="inlineStr">
        <is>
          <t>Belum dihitung</t>
        </is>
      </c>
      <c r="Q143" s="3" t="n"/>
    </row>
    <row r="144">
      <c r="A144" s="3" t="n">
        <v>143</v>
      </c>
      <c r="B144" s="3" t="inlineStr">
        <is>
          <t>Desember 2025</t>
        </is>
      </c>
      <c r="C144" s="3">
        <f>'Data Aset'!B146</f>
        <v/>
      </c>
      <c r="D144" s="3">
        <f>'Data Aset'!F146</f>
        <v/>
      </c>
      <c r="E144" s="3" t="inlineStr">
        <is>
          <t>Inventaris Ruangan</t>
        </is>
      </c>
      <c r="F144" s="3">
        <f>'Data Aset'!C146</f>
        <v/>
      </c>
      <c r="G144" s="3">
        <f>'Data Aset'!J146</f>
        <v/>
      </c>
      <c r="H144" s="5">
        <f>'Data Aset'!M146</f>
        <v/>
      </c>
      <c r="I144" s="3">
        <f>'Data Aset'!O146</f>
        <v/>
      </c>
      <c r="J144" s="5" t="n">
        <v>0</v>
      </c>
      <c r="K144" s="3" t="inlineStr">
        <is>
          <t>Garis Lurus</t>
        </is>
      </c>
      <c r="L144" s="5">
        <f>IFERROR(M144/12,"")</f>
        <v/>
      </c>
      <c r="M144" s="5">
        <f>IFERROR((H144-J144)/I144,"")</f>
        <v/>
      </c>
      <c r="N144" s="5">
        <f>IFERROR(M144,"")</f>
        <v/>
      </c>
      <c r="O144" s="5">
        <f>IFERROR(H144-N144,"")</f>
        <v/>
      </c>
      <c r="P144" s="3" t="inlineStr">
        <is>
          <t>Belum dihitung</t>
        </is>
      </c>
      <c r="Q144" s="3" t="n"/>
    </row>
    <row r="145">
      <c r="A145" s="3" t="n">
        <v>144</v>
      </c>
      <c r="B145" s="3" t="inlineStr">
        <is>
          <t>Desember 2025</t>
        </is>
      </c>
      <c r="C145" s="3">
        <f>'Data Aset'!B147</f>
        <v/>
      </c>
      <c r="D145" s="3">
        <f>'Data Aset'!F147</f>
        <v/>
      </c>
      <c r="E145" s="3" t="inlineStr">
        <is>
          <t>Inventaris Ruangan</t>
        </is>
      </c>
      <c r="F145" s="3">
        <f>'Data Aset'!C147</f>
        <v/>
      </c>
      <c r="G145" s="3">
        <f>'Data Aset'!J147</f>
        <v/>
      </c>
      <c r="H145" s="5">
        <f>'Data Aset'!M147</f>
        <v/>
      </c>
      <c r="I145" s="3">
        <f>'Data Aset'!O147</f>
        <v/>
      </c>
      <c r="J145" s="5" t="n">
        <v>0</v>
      </c>
      <c r="K145" s="3" t="inlineStr">
        <is>
          <t>Garis Lurus</t>
        </is>
      </c>
      <c r="L145" s="5">
        <f>IFERROR(M145/12,"")</f>
        <v/>
      </c>
      <c r="M145" s="5">
        <f>IFERROR((H145-J145)/I145,"")</f>
        <v/>
      </c>
      <c r="N145" s="5">
        <f>IFERROR(M145,"")</f>
        <v/>
      </c>
      <c r="O145" s="5">
        <f>IFERROR(H145-N145,"")</f>
        <v/>
      </c>
      <c r="P145" s="3" t="inlineStr">
        <is>
          <t>Belum dihitung</t>
        </is>
      </c>
      <c r="Q145" s="3" t="n"/>
    </row>
    <row r="146">
      <c r="A146" s="3" t="n">
        <v>145</v>
      </c>
      <c r="B146" s="3" t="inlineStr">
        <is>
          <t>Desember 2025</t>
        </is>
      </c>
      <c r="C146" s="3">
        <f>'Data Aset'!B148</f>
        <v/>
      </c>
      <c r="D146" s="3">
        <f>'Data Aset'!F148</f>
        <v/>
      </c>
      <c r="E146" s="3" t="inlineStr">
        <is>
          <t>Inventaris Ruangan</t>
        </is>
      </c>
      <c r="F146" s="3">
        <f>'Data Aset'!C148</f>
        <v/>
      </c>
      <c r="G146" s="3">
        <f>'Data Aset'!J148</f>
        <v/>
      </c>
      <c r="H146" s="5">
        <f>'Data Aset'!M148</f>
        <v/>
      </c>
      <c r="I146" s="3">
        <f>'Data Aset'!O148</f>
        <v/>
      </c>
      <c r="J146" s="5" t="n">
        <v>0</v>
      </c>
      <c r="K146" s="3" t="inlineStr">
        <is>
          <t>Garis Lurus</t>
        </is>
      </c>
      <c r="L146" s="5">
        <f>IFERROR(M146/12,"")</f>
        <v/>
      </c>
      <c r="M146" s="5">
        <f>IFERROR((H146-J146)/I146,"")</f>
        <v/>
      </c>
      <c r="N146" s="5">
        <f>IFERROR(M146,"")</f>
        <v/>
      </c>
      <c r="O146" s="5">
        <f>IFERROR(H146-N146,"")</f>
        <v/>
      </c>
      <c r="P146" s="3" t="inlineStr">
        <is>
          <t>Belum dihitung</t>
        </is>
      </c>
      <c r="Q146" s="3" t="n"/>
    </row>
    <row r="147">
      <c r="A147" s="3" t="n">
        <v>146</v>
      </c>
      <c r="B147" s="3" t="inlineStr">
        <is>
          <t>Desember 2025</t>
        </is>
      </c>
      <c r="C147" s="3">
        <f>'Data Aset'!B149</f>
        <v/>
      </c>
      <c r="D147" s="3">
        <f>'Data Aset'!F149</f>
        <v/>
      </c>
      <c r="E147" s="3" t="inlineStr">
        <is>
          <t>Inventaris Ruangan</t>
        </is>
      </c>
      <c r="F147" s="3">
        <f>'Data Aset'!C149</f>
        <v/>
      </c>
      <c r="G147" s="3">
        <f>'Data Aset'!J149</f>
        <v/>
      </c>
      <c r="H147" s="5">
        <f>'Data Aset'!M149</f>
        <v/>
      </c>
      <c r="I147" s="3">
        <f>'Data Aset'!O149</f>
        <v/>
      </c>
      <c r="J147" s="5" t="n">
        <v>0</v>
      </c>
      <c r="K147" s="3" t="inlineStr">
        <is>
          <t>Garis Lurus</t>
        </is>
      </c>
      <c r="L147" s="5">
        <f>IFERROR(M147/12,"")</f>
        <v/>
      </c>
      <c r="M147" s="5">
        <f>IFERROR((H147-J147)/I147,"")</f>
        <v/>
      </c>
      <c r="N147" s="5">
        <f>IFERROR(M147,"")</f>
        <v/>
      </c>
      <c r="O147" s="5">
        <f>IFERROR(H147-N147,"")</f>
        <v/>
      </c>
      <c r="P147" s="3" t="inlineStr">
        <is>
          <t>Belum dihitung</t>
        </is>
      </c>
      <c r="Q147" s="3" t="n"/>
    </row>
    <row r="148">
      <c r="A148" s="3" t="n">
        <v>147</v>
      </c>
      <c r="B148" s="3" t="inlineStr">
        <is>
          <t>Desember 2025</t>
        </is>
      </c>
      <c r="C148" s="3">
        <f>'Data Aset'!B150</f>
        <v/>
      </c>
      <c r="D148" s="3">
        <f>'Data Aset'!F150</f>
        <v/>
      </c>
      <c r="E148" s="3" t="inlineStr">
        <is>
          <t>Inventaris Ruangan</t>
        </is>
      </c>
      <c r="F148" s="3">
        <f>'Data Aset'!C150</f>
        <v/>
      </c>
      <c r="G148" s="3">
        <f>'Data Aset'!J150</f>
        <v/>
      </c>
      <c r="H148" s="5">
        <f>'Data Aset'!M150</f>
        <v/>
      </c>
      <c r="I148" s="3">
        <f>'Data Aset'!O150</f>
        <v/>
      </c>
      <c r="J148" s="5" t="n">
        <v>0</v>
      </c>
      <c r="K148" s="3" t="inlineStr">
        <is>
          <t>Garis Lurus</t>
        </is>
      </c>
      <c r="L148" s="5">
        <f>IFERROR(M148/12,"")</f>
        <v/>
      </c>
      <c r="M148" s="5">
        <f>IFERROR((H148-J148)/I148,"")</f>
        <v/>
      </c>
      <c r="N148" s="5">
        <f>IFERROR(M148,"")</f>
        <v/>
      </c>
      <c r="O148" s="5">
        <f>IFERROR(H148-N148,"")</f>
        <v/>
      </c>
      <c r="P148" s="3" t="inlineStr">
        <is>
          <t>Belum dihitung</t>
        </is>
      </c>
      <c r="Q148" s="3" t="n"/>
    </row>
    <row r="149">
      <c r="A149" s="3" t="n">
        <v>148</v>
      </c>
      <c r="B149" s="3" t="inlineStr">
        <is>
          <t>Desember 2025</t>
        </is>
      </c>
      <c r="C149" s="3">
        <f>'Data Aset'!B151</f>
        <v/>
      </c>
      <c r="D149" s="3">
        <f>'Data Aset'!F151</f>
        <v/>
      </c>
      <c r="E149" s="3" t="inlineStr">
        <is>
          <t>Inventaris Ruangan</t>
        </is>
      </c>
      <c r="F149" s="3">
        <f>'Data Aset'!C151</f>
        <v/>
      </c>
      <c r="G149" s="3">
        <f>'Data Aset'!J151</f>
        <v/>
      </c>
      <c r="H149" s="5">
        <f>'Data Aset'!M151</f>
        <v/>
      </c>
      <c r="I149" s="3">
        <f>'Data Aset'!O151</f>
        <v/>
      </c>
      <c r="J149" s="5" t="n">
        <v>0</v>
      </c>
      <c r="K149" s="3" t="inlineStr">
        <is>
          <t>Garis Lurus</t>
        </is>
      </c>
      <c r="L149" s="5">
        <f>IFERROR(M149/12,"")</f>
        <v/>
      </c>
      <c r="M149" s="5">
        <f>IFERROR((H149-J149)/I149,"")</f>
        <v/>
      </c>
      <c r="N149" s="5">
        <f>IFERROR(M149,"")</f>
        <v/>
      </c>
      <c r="O149" s="5">
        <f>IFERROR(H149-N149,"")</f>
        <v/>
      </c>
      <c r="P149" s="3" t="inlineStr">
        <is>
          <t>Belum dihitung</t>
        </is>
      </c>
      <c r="Q149" s="3" t="n"/>
    </row>
    <row r="150">
      <c r="A150" s="3" t="n">
        <v>149</v>
      </c>
      <c r="B150" s="3" t="inlineStr">
        <is>
          <t>Desember 2025</t>
        </is>
      </c>
      <c r="C150" s="3">
        <f>'Data Aset'!B152</f>
        <v/>
      </c>
      <c r="D150" s="3">
        <f>'Data Aset'!F152</f>
        <v/>
      </c>
      <c r="E150" s="3" t="inlineStr">
        <is>
          <t>Inventaris Ruangan</t>
        </is>
      </c>
      <c r="F150" s="3">
        <f>'Data Aset'!C152</f>
        <v/>
      </c>
      <c r="G150" s="3">
        <f>'Data Aset'!J152</f>
        <v/>
      </c>
      <c r="H150" s="5">
        <f>'Data Aset'!M152</f>
        <v/>
      </c>
      <c r="I150" s="3">
        <f>'Data Aset'!O152</f>
        <v/>
      </c>
      <c r="J150" s="5" t="n">
        <v>0</v>
      </c>
      <c r="K150" s="3" t="inlineStr">
        <is>
          <t>Garis Lurus</t>
        </is>
      </c>
      <c r="L150" s="5">
        <f>IFERROR(M150/12,"")</f>
        <v/>
      </c>
      <c r="M150" s="5">
        <f>IFERROR((H150-J150)/I150,"")</f>
        <v/>
      </c>
      <c r="N150" s="5">
        <f>IFERROR(M150,"")</f>
        <v/>
      </c>
      <c r="O150" s="5">
        <f>IFERROR(H150-N150,"")</f>
        <v/>
      </c>
      <c r="P150" s="3" t="inlineStr">
        <is>
          <t>Belum dihitung</t>
        </is>
      </c>
      <c r="Q150" s="3" t="n"/>
    </row>
    <row r="151">
      <c r="A151" s="3" t="n">
        <v>150</v>
      </c>
      <c r="B151" s="3" t="inlineStr">
        <is>
          <t>Desember 2025</t>
        </is>
      </c>
      <c r="C151" s="3">
        <f>'Data Aset'!B153</f>
        <v/>
      </c>
      <c r="D151" s="3">
        <f>'Data Aset'!F153</f>
        <v/>
      </c>
      <c r="E151" s="3" t="inlineStr">
        <is>
          <t>Inventaris Ruangan</t>
        </is>
      </c>
      <c r="F151" s="3">
        <f>'Data Aset'!C153</f>
        <v/>
      </c>
      <c r="G151" s="3">
        <f>'Data Aset'!J153</f>
        <v/>
      </c>
      <c r="H151" s="5">
        <f>'Data Aset'!M153</f>
        <v/>
      </c>
      <c r="I151" s="3">
        <f>'Data Aset'!O153</f>
        <v/>
      </c>
      <c r="J151" s="5" t="n">
        <v>0</v>
      </c>
      <c r="K151" s="3" t="inlineStr">
        <is>
          <t>Garis Lurus</t>
        </is>
      </c>
      <c r="L151" s="5">
        <f>IFERROR(M151/12,"")</f>
        <v/>
      </c>
      <c r="M151" s="5">
        <f>IFERROR((H151-J151)/I151,"")</f>
        <v/>
      </c>
      <c r="N151" s="5">
        <f>IFERROR(M151,"")</f>
        <v/>
      </c>
      <c r="O151" s="5">
        <f>IFERROR(H151-N151,"")</f>
        <v/>
      </c>
      <c r="P151" s="3" t="inlineStr">
        <is>
          <t>Belum dihitung</t>
        </is>
      </c>
      <c r="Q151" s="3" t="n"/>
    </row>
    <row r="152">
      <c r="A152" s="3" t="n">
        <v>151</v>
      </c>
      <c r="B152" s="3" t="inlineStr">
        <is>
          <t>Desember 2025</t>
        </is>
      </c>
      <c r="C152" s="3">
        <f>'Data Aset'!B154</f>
        <v/>
      </c>
      <c r="D152" s="3">
        <f>'Data Aset'!F154</f>
        <v/>
      </c>
      <c r="E152" s="3" t="inlineStr">
        <is>
          <t>Inventaris Ruangan</t>
        </is>
      </c>
      <c r="F152" s="3">
        <f>'Data Aset'!C154</f>
        <v/>
      </c>
      <c r="G152" s="3">
        <f>'Data Aset'!J154</f>
        <v/>
      </c>
      <c r="H152" s="5">
        <f>'Data Aset'!M154</f>
        <v/>
      </c>
      <c r="I152" s="3">
        <f>'Data Aset'!O154</f>
        <v/>
      </c>
      <c r="J152" s="5" t="n">
        <v>0</v>
      </c>
      <c r="K152" s="3" t="inlineStr">
        <is>
          <t>Garis Lurus</t>
        </is>
      </c>
      <c r="L152" s="5">
        <f>IFERROR(M152/12,"")</f>
        <v/>
      </c>
      <c r="M152" s="5">
        <f>IFERROR((H152-J152)/I152,"")</f>
        <v/>
      </c>
      <c r="N152" s="5">
        <f>IFERROR(M152,"")</f>
        <v/>
      </c>
      <c r="O152" s="5">
        <f>IFERROR(H152-N152,"")</f>
        <v/>
      </c>
      <c r="P152" s="3" t="inlineStr">
        <is>
          <t>Belum dihitung</t>
        </is>
      </c>
      <c r="Q152" s="3" t="n"/>
    </row>
    <row r="153">
      <c r="A153" s="3" t="n">
        <v>152</v>
      </c>
      <c r="B153" s="3" t="inlineStr">
        <is>
          <t>Desember 2025</t>
        </is>
      </c>
      <c r="C153" s="3">
        <f>'Data Aset'!B155</f>
        <v/>
      </c>
      <c r="D153" s="3">
        <f>'Data Aset'!F155</f>
        <v/>
      </c>
      <c r="E153" s="3" t="inlineStr">
        <is>
          <t>Inventaris Ruangan</t>
        </is>
      </c>
      <c r="F153" s="3">
        <f>'Data Aset'!C155</f>
        <v/>
      </c>
      <c r="G153" s="3">
        <f>'Data Aset'!J155</f>
        <v/>
      </c>
      <c r="H153" s="5">
        <f>'Data Aset'!M155</f>
        <v/>
      </c>
      <c r="I153" s="3">
        <f>'Data Aset'!O155</f>
        <v/>
      </c>
      <c r="J153" s="5" t="n">
        <v>0</v>
      </c>
      <c r="K153" s="3" t="inlineStr">
        <is>
          <t>Garis Lurus</t>
        </is>
      </c>
      <c r="L153" s="5">
        <f>IFERROR(M153/12,"")</f>
        <v/>
      </c>
      <c r="M153" s="5">
        <f>IFERROR((H153-J153)/I153,"")</f>
        <v/>
      </c>
      <c r="N153" s="5">
        <f>IFERROR(M153,"")</f>
        <v/>
      </c>
      <c r="O153" s="5">
        <f>IFERROR(H153-N153,"")</f>
        <v/>
      </c>
      <c r="P153" s="3" t="inlineStr">
        <is>
          <t>Belum dihitung</t>
        </is>
      </c>
      <c r="Q153" s="3" t="n"/>
    </row>
    <row r="154">
      <c r="A154" s="3" t="n">
        <v>153</v>
      </c>
      <c r="B154" s="3" t="inlineStr">
        <is>
          <t>Desember 2025</t>
        </is>
      </c>
      <c r="C154" s="3">
        <f>'Data Aset'!B156</f>
        <v/>
      </c>
      <c r="D154" s="3">
        <f>'Data Aset'!F156</f>
        <v/>
      </c>
      <c r="E154" s="3" t="inlineStr">
        <is>
          <t>Inventaris Ruangan</t>
        </is>
      </c>
      <c r="F154" s="3">
        <f>'Data Aset'!C156</f>
        <v/>
      </c>
      <c r="G154" s="3">
        <f>'Data Aset'!J156</f>
        <v/>
      </c>
      <c r="H154" s="5">
        <f>'Data Aset'!M156</f>
        <v/>
      </c>
      <c r="I154" s="3">
        <f>'Data Aset'!O156</f>
        <v/>
      </c>
      <c r="J154" s="5" t="n">
        <v>0</v>
      </c>
      <c r="K154" s="3" t="inlineStr">
        <is>
          <t>Garis Lurus</t>
        </is>
      </c>
      <c r="L154" s="5">
        <f>IFERROR(M154/12,"")</f>
        <v/>
      </c>
      <c r="M154" s="5">
        <f>IFERROR((H154-J154)/I154,"")</f>
        <v/>
      </c>
      <c r="N154" s="5">
        <f>IFERROR(M154,"")</f>
        <v/>
      </c>
      <c r="O154" s="5">
        <f>IFERROR(H154-N154,"")</f>
        <v/>
      </c>
      <c r="P154" s="3" t="inlineStr">
        <is>
          <t>Belum dihitung</t>
        </is>
      </c>
      <c r="Q154" s="3" t="n"/>
    </row>
    <row r="155">
      <c r="A155" s="3" t="n">
        <v>154</v>
      </c>
      <c r="B155" s="3" t="inlineStr">
        <is>
          <t>Desember 2025</t>
        </is>
      </c>
      <c r="C155" s="3">
        <f>'Data Aset'!B157</f>
        <v/>
      </c>
      <c r="D155" s="3">
        <f>'Data Aset'!F157</f>
        <v/>
      </c>
      <c r="E155" s="3" t="inlineStr">
        <is>
          <t>Inventaris Ruangan</t>
        </is>
      </c>
      <c r="F155" s="3">
        <f>'Data Aset'!C157</f>
        <v/>
      </c>
      <c r="G155" s="3">
        <f>'Data Aset'!J157</f>
        <v/>
      </c>
      <c r="H155" s="5">
        <f>'Data Aset'!M157</f>
        <v/>
      </c>
      <c r="I155" s="3">
        <f>'Data Aset'!O157</f>
        <v/>
      </c>
      <c r="J155" s="5" t="n">
        <v>0</v>
      </c>
      <c r="K155" s="3" t="inlineStr">
        <is>
          <t>Garis Lurus</t>
        </is>
      </c>
      <c r="L155" s="5">
        <f>IFERROR(M155/12,"")</f>
        <v/>
      </c>
      <c r="M155" s="5">
        <f>IFERROR((H155-J155)/I155,"")</f>
        <v/>
      </c>
      <c r="N155" s="5">
        <f>IFERROR(M155,"")</f>
        <v/>
      </c>
      <c r="O155" s="5">
        <f>IFERROR(H155-N155,"")</f>
        <v/>
      </c>
      <c r="P155" s="3" t="inlineStr">
        <is>
          <t>Belum dihitung</t>
        </is>
      </c>
      <c r="Q155" s="3" t="n"/>
    </row>
    <row r="156">
      <c r="A156" s="3" t="n">
        <v>155</v>
      </c>
      <c r="B156" s="3" t="inlineStr">
        <is>
          <t>Desember 2025</t>
        </is>
      </c>
      <c r="C156" s="3">
        <f>'Data Aset'!B158</f>
        <v/>
      </c>
      <c r="D156" s="3">
        <f>'Data Aset'!F158</f>
        <v/>
      </c>
      <c r="E156" s="3" t="inlineStr">
        <is>
          <t>Inventaris Ruangan</t>
        </is>
      </c>
      <c r="F156" s="3">
        <f>'Data Aset'!C158</f>
        <v/>
      </c>
      <c r="G156" s="3">
        <f>'Data Aset'!J158</f>
        <v/>
      </c>
      <c r="H156" s="5">
        <f>'Data Aset'!M158</f>
        <v/>
      </c>
      <c r="I156" s="3">
        <f>'Data Aset'!O158</f>
        <v/>
      </c>
      <c r="J156" s="5" t="n">
        <v>0</v>
      </c>
      <c r="K156" s="3" t="inlineStr">
        <is>
          <t>Garis Lurus</t>
        </is>
      </c>
      <c r="L156" s="5">
        <f>IFERROR(M156/12,"")</f>
        <v/>
      </c>
      <c r="M156" s="5">
        <f>IFERROR((H156-J156)/I156,"")</f>
        <v/>
      </c>
      <c r="N156" s="5">
        <f>IFERROR(M156,"")</f>
        <v/>
      </c>
      <c r="O156" s="5">
        <f>IFERROR(H156-N156,"")</f>
        <v/>
      </c>
      <c r="P156" s="3" t="inlineStr">
        <is>
          <t>Belum dihitung</t>
        </is>
      </c>
      <c r="Q156" s="3" t="n"/>
    </row>
    <row r="157">
      <c r="A157" s="3" t="n">
        <v>156</v>
      </c>
      <c r="B157" s="3" t="inlineStr">
        <is>
          <t>Desember 2025</t>
        </is>
      </c>
      <c r="C157" s="3">
        <f>'Data Aset'!B159</f>
        <v/>
      </c>
      <c r="D157" s="3">
        <f>'Data Aset'!F159</f>
        <v/>
      </c>
      <c r="E157" s="3" t="inlineStr">
        <is>
          <t>Inventaris Ruangan</t>
        </is>
      </c>
      <c r="F157" s="3">
        <f>'Data Aset'!C159</f>
        <v/>
      </c>
      <c r="G157" s="3">
        <f>'Data Aset'!J159</f>
        <v/>
      </c>
      <c r="H157" s="5">
        <f>'Data Aset'!M159</f>
        <v/>
      </c>
      <c r="I157" s="3">
        <f>'Data Aset'!O159</f>
        <v/>
      </c>
      <c r="J157" s="5" t="n">
        <v>0</v>
      </c>
      <c r="K157" s="3" t="inlineStr">
        <is>
          <t>Garis Lurus</t>
        </is>
      </c>
      <c r="L157" s="5">
        <f>IFERROR(M157/12,"")</f>
        <v/>
      </c>
      <c r="M157" s="5">
        <f>IFERROR((H157-J157)/I157,"")</f>
        <v/>
      </c>
      <c r="N157" s="5">
        <f>IFERROR(M157,"")</f>
        <v/>
      </c>
      <c r="O157" s="5">
        <f>IFERROR(H157-N157,"")</f>
        <v/>
      </c>
      <c r="P157" s="3" t="inlineStr">
        <is>
          <t>Belum dihitung</t>
        </is>
      </c>
      <c r="Q157" s="3" t="n"/>
    </row>
    <row r="158">
      <c r="A158" s="3" t="n">
        <v>157</v>
      </c>
      <c r="B158" s="3" t="inlineStr">
        <is>
          <t>Desember 2025</t>
        </is>
      </c>
      <c r="C158" s="3">
        <f>'Data Aset'!B160</f>
        <v/>
      </c>
      <c r="D158" s="3">
        <f>'Data Aset'!F160</f>
        <v/>
      </c>
      <c r="E158" s="3" t="inlineStr">
        <is>
          <t>Inventaris Ruangan</t>
        </is>
      </c>
      <c r="F158" s="3">
        <f>'Data Aset'!C160</f>
        <v/>
      </c>
      <c r="G158" s="3">
        <f>'Data Aset'!J160</f>
        <v/>
      </c>
      <c r="H158" s="5">
        <f>'Data Aset'!M160</f>
        <v/>
      </c>
      <c r="I158" s="3">
        <f>'Data Aset'!O160</f>
        <v/>
      </c>
      <c r="J158" s="5" t="n">
        <v>0</v>
      </c>
      <c r="K158" s="3" t="inlineStr">
        <is>
          <t>Garis Lurus</t>
        </is>
      </c>
      <c r="L158" s="5">
        <f>IFERROR(M158/12,"")</f>
        <v/>
      </c>
      <c r="M158" s="5">
        <f>IFERROR((H158-J158)/I158,"")</f>
        <v/>
      </c>
      <c r="N158" s="5">
        <f>IFERROR(M158,"")</f>
        <v/>
      </c>
      <c r="O158" s="5">
        <f>IFERROR(H158-N158,"")</f>
        <v/>
      </c>
      <c r="P158" s="3" t="inlineStr">
        <is>
          <t>Belum dihitung</t>
        </is>
      </c>
      <c r="Q158" s="3" t="n"/>
    </row>
    <row r="159">
      <c r="A159" s="3" t="n">
        <v>158</v>
      </c>
      <c r="B159" s="3" t="inlineStr">
        <is>
          <t>Desember 2025</t>
        </is>
      </c>
      <c r="C159" s="3">
        <f>'Data Aset'!B161</f>
        <v/>
      </c>
      <c r="D159" s="3">
        <f>'Data Aset'!F161</f>
        <v/>
      </c>
      <c r="E159" s="3" t="inlineStr">
        <is>
          <t>Inventaris Ruangan</t>
        </is>
      </c>
      <c r="F159" s="3">
        <f>'Data Aset'!C161</f>
        <v/>
      </c>
      <c r="G159" s="3">
        <f>'Data Aset'!J161</f>
        <v/>
      </c>
      <c r="H159" s="5">
        <f>'Data Aset'!M161</f>
        <v/>
      </c>
      <c r="I159" s="3">
        <f>'Data Aset'!O161</f>
        <v/>
      </c>
      <c r="J159" s="5" t="n">
        <v>0</v>
      </c>
      <c r="K159" s="3" t="inlineStr">
        <is>
          <t>Garis Lurus</t>
        </is>
      </c>
      <c r="L159" s="5">
        <f>IFERROR(M159/12,"")</f>
        <v/>
      </c>
      <c r="M159" s="5">
        <f>IFERROR((H159-J159)/I159,"")</f>
        <v/>
      </c>
      <c r="N159" s="5">
        <f>IFERROR(M159,"")</f>
        <v/>
      </c>
      <c r="O159" s="5">
        <f>IFERROR(H159-N159,"")</f>
        <v/>
      </c>
      <c r="P159" s="3" t="inlineStr">
        <is>
          <t>Belum dihitung</t>
        </is>
      </c>
      <c r="Q159" s="3" t="n"/>
    </row>
    <row r="160">
      <c r="A160" s="3" t="n">
        <v>159</v>
      </c>
      <c r="B160" s="3" t="inlineStr">
        <is>
          <t>Desember 2025</t>
        </is>
      </c>
      <c r="C160" s="3">
        <f>'Data Aset'!B162</f>
        <v/>
      </c>
      <c r="D160" s="3">
        <f>'Data Aset'!F162</f>
        <v/>
      </c>
      <c r="E160" s="3" t="inlineStr">
        <is>
          <t>Inventaris Ruangan</t>
        </is>
      </c>
      <c r="F160" s="3">
        <f>'Data Aset'!C162</f>
        <v/>
      </c>
      <c r="G160" s="3">
        <f>'Data Aset'!J162</f>
        <v/>
      </c>
      <c r="H160" s="5">
        <f>'Data Aset'!M162</f>
        <v/>
      </c>
      <c r="I160" s="3">
        <f>'Data Aset'!O162</f>
        <v/>
      </c>
      <c r="J160" s="5" t="n">
        <v>0</v>
      </c>
      <c r="K160" s="3" t="inlineStr">
        <is>
          <t>Garis Lurus</t>
        </is>
      </c>
      <c r="L160" s="5">
        <f>IFERROR(M160/12,"")</f>
        <v/>
      </c>
      <c r="M160" s="5">
        <f>IFERROR((H160-J160)/I160,"")</f>
        <v/>
      </c>
      <c r="N160" s="5">
        <f>IFERROR(M160,"")</f>
        <v/>
      </c>
      <c r="O160" s="5">
        <f>IFERROR(H160-N160,"")</f>
        <v/>
      </c>
      <c r="P160" s="3" t="inlineStr">
        <is>
          <t>Belum dihitung</t>
        </is>
      </c>
      <c r="Q160" s="3" t="n"/>
    </row>
    <row r="161">
      <c r="A161" s="3" t="n">
        <v>160</v>
      </c>
      <c r="B161" s="3" t="inlineStr">
        <is>
          <t>Desember 2025</t>
        </is>
      </c>
      <c r="C161" s="3">
        <f>'Data Aset'!B163</f>
        <v/>
      </c>
      <c r="D161" s="3">
        <f>'Data Aset'!F163</f>
        <v/>
      </c>
      <c r="E161" s="3" t="inlineStr">
        <is>
          <t>Inventaris Ruangan</t>
        </is>
      </c>
      <c r="F161" s="3">
        <f>'Data Aset'!C163</f>
        <v/>
      </c>
      <c r="G161" s="3">
        <f>'Data Aset'!J163</f>
        <v/>
      </c>
      <c r="H161" s="5">
        <f>'Data Aset'!M163</f>
        <v/>
      </c>
      <c r="I161" s="3">
        <f>'Data Aset'!O163</f>
        <v/>
      </c>
      <c r="J161" s="5" t="n">
        <v>0</v>
      </c>
      <c r="K161" s="3" t="inlineStr">
        <is>
          <t>Garis Lurus</t>
        </is>
      </c>
      <c r="L161" s="5">
        <f>IFERROR(M161/12,"")</f>
        <v/>
      </c>
      <c r="M161" s="5">
        <f>IFERROR((H161-J161)/I161,"")</f>
        <v/>
      </c>
      <c r="N161" s="5">
        <f>IFERROR(M161,"")</f>
        <v/>
      </c>
      <c r="O161" s="5">
        <f>IFERROR(H161-N161,"")</f>
        <v/>
      </c>
      <c r="P161" s="3" t="inlineStr">
        <is>
          <t>Belum dihitung</t>
        </is>
      </c>
      <c r="Q161" s="3" t="n"/>
    </row>
    <row r="162">
      <c r="A162" s="3" t="n">
        <v>161</v>
      </c>
      <c r="B162" s="3" t="inlineStr">
        <is>
          <t>Desember 2025</t>
        </is>
      </c>
      <c r="C162" s="3">
        <f>'Data Aset'!B164</f>
        <v/>
      </c>
      <c r="D162" s="3">
        <f>'Data Aset'!F164</f>
        <v/>
      </c>
      <c r="E162" s="3" t="inlineStr">
        <is>
          <t>Inventaris Ruangan</t>
        </is>
      </c>
      <c r="F162" s="3">
        <f>'Data Aset'!C164</f>
        <v/>
      </c>
      <c r="G162" s="3">
        <f>'Data Aset'!J164</f>
        <v/>
      </c>
      <c r="H162" s="5">
        <f>'Data Aset'!M164</f>
        <v/>
      </c>
      <c r="I162" s="3">
        <f>'Data Aset'!O164</f>
        <v/>
      </c>
      <c r="J162" s="5" t="n">
        <v>0</v>
      </c>
      <c r="K162" s="3" t="inlineStr">
        <is>
          <t>Garis Lurus</t>
        </is>
      </c>
      <c r="L162" s="5">
        <f>IFERROR(M162/12,"")</f>
        <v/>
      </c>
      <c r="M162" s="5">
        <f>IFERROR((H162-J162)/I162,"")</f>
        <v/>
      </c>
      <c r="N162" s="5">
        <f>IFERROR(M162,"")</f>
        <v/>
      </c>
      <c r="O162" s="5">
        <f>IFERROR(H162-N162,"")</f>
        <v/>
      </c>
      <c r="P162" s="3" t="inlineStr">
        <is>
          <t>Belum dihitung</t>
        </is>
      </c>
      <c r="Q162" s="3" t="n"/>
    </row>
    <row r="163">
      <c r="A163" s="3" t="n">
        <v>162</v>
      </c>
      <c r="B163" s="3" t="inlineStr">
        <is>
          <t>Desember 2025</t>
        </is>
      </c>
      <c r="C163" s="3">
        <f>'Data Aset'!B165</f>
        <v/>
      </c>
      <c r="D163" s="3">
        <f>'Data Aset'!F165</f>
        <v/>
      </c>
      <c r="E163" s="3" t="inlineStr">
        <is>
          <t>Inventaris Ruangan</t>
        </is>
      </c>
      <c r="F163" s="3">
        <f>'Data Aset'!C165</f>
        <v/>
      </c>
      <c r="G163" s="3">
        <f>'Data Aset'!J165</f>
        <v/>
      </c>
      <c r="H163" s="5">
        <f>'Data Aset'!M165</f>
        <v/>
      </c>
      <c r="I163" s="3">
        <f>'Data Aset'!O165</f>
        <v/>
      </c>
      <c r="J163" s="5" t="n">
        <v>0</v>
      </c>
      <c r="K163" s="3" t="inlineStr">
        <is>
          <t>Garis Lurus</t>
        </is>
      </c>
      <c r="L163" s="5">
        <f>IFERROR(M163/12,"")</f>
        <v/>
      </c>
      <c r="M163" s="5">
        <f>IFERROR((H163-J163)/I163,"")</f>
        <v/>
      </c>
      <c r="N163" s="5">
        <f>IFERROR(M163,"")</f>
        <v/>
      </c>
      <c r="O163" s="5">
        <f>IFERROR(H163-N163,"")</f>
        <v/>
      </c>
      <c r="P163" s="3" t="inlineStr">
        <is>
          <t>Belum dihitung</t>
        </is>
      </c>
      <c r="Q163" s="3" t="n"/>
    </row>
    <row r="164">
      <c r="A164" s="3" t="n">
        <v>163</v>
      </c>
      <c r="B164" s="3" t="inlineStr">
        <is>
          <t>Desember 2025</t>
        </is>
      </c>
      <c r="C164" s="3">
        <f>'Data Aset'!B166</f>
        <v/>
      </c>
      <c r="D164" s="3">
        <f>'Data Aset'!F166</f>
        <v/>
      </c>
      <c r="E164" s="3" t="inlineStr">
        <is>
          <t>Inventaris Ruangan</t>
        </is>
      </c>
      <c r="F164" s="3">
        <f>'Data Aset'!C166</f>
        <v/>
      </c>
      <c r="G164" s="3">
        <f>'Data Aset'!J166</f>
        <v/>
      </c>
      <c r="H164" s="5">
        <f>'Data Aset'!M166</f>
        <v/>
      </c>
      <c r="I164" s="3">
        <f>'Data Aset'!O166</f>
        <v/>
      </c>
      <c r="J164" s="5" t="n">
        <v>0</v>
      </c>
      <c r="K164" s="3" t="inlineStr">
        <is>
          <t>Garis Lurus</t>
        </is>
      </c>
      <c r="L164" s="5">
        <f>IFERROR(M164/12,"")</f>
        <v/>
      </c>
      <c r="M164" s="5">
        <f>IFERROR((H164-J164)/I164,"")</f>
        <v/>
      </c>
      <c r="N164" s="5">
        <f>IFERROR(M164,"")</f>
        <v/>
      </c>
      <c r="O164" s="5">
        <f>IFERROR(H164-N164,"")</f>
        <v/>
      </c>
      <c r="P164" s="3" t="inlineStr">
        <is>
          <t>Belum dihitung</t>
        </is>
      </c>
      <c r="Q164" s="3" t="n"/>
    </row>
    <row r="165">
      <c r="A165" s="3" t="n">
        <v>164</v>
      </c>
      <c r="B165" s="3" t="inlineStr">
        <is>
          <t>Desember 2025</t>
        </is>
      </c>
      <c r="C165" s="3">
        <f>'Data Aset'!B167</f>
        <v/>
      </c>
      <c r="D165" s="3">
        <f>'Data Aset'!F167</f>
        <v/>
      </c>
      <c r="E165" s="3" t="inlineStr">
        <is>
          <t>Inventaris Ruangan</t>
        </is>
      </c>
      <c r="F165" s="3">
        <f>'Data Aset'!C167</f>
        <v/>
      </c>
      <c r="G165" s="3">
        <f>'Data Aset'!J167</f>
        <v/>
      </c>
      <c r="H165" s="5">
        <f>'Data Aset'!M167</f>
        <v/>
      </c>
      <c r="I165" s="3">
        <f>'Data Aset'!O167</f>
        <v/>
      </c>
      <c r="J165" s="5" t="n">
        <v>0</v>
      </c>
      <c r="K165" s="3" t="inlineStr">
        <is>
          <t>Garis Lurus</t>
        </is>
      </c>
      <c r="L165" s="5">
        <f>IFERROR(M165/12,"")</f>
        <v/>
      </c>
      <c r="M165" s="5">
        <f>IFERROR((H165-J165)/I165,"")</f>
        <v/>
      </c>
      <c r="N165" s="5">
        <f>IFERROR(M165,"")</f>
        <v/>
      </c>
      <c r="O165" s="5">
        <f>IFERROR(H165-N165,"")</f>
        <v/>
      </c>
      <c r="P165" s="3" t="inlineStr">
        <is>
          <t>Belum dihitung</t>
        </is>
      </c>
      <c r="Q165" s="3" t="n"/>
    </row>
    <row r="166">
      <c r="A166" s="3" t="n">
        <v>165</v>
      </c>
      <c r="B166" s="3" t="inlineStr">
        <is>
          <t>Desember 2025</t>
        </is>
      </c>
      <c r="C166" s="3">
        <f>'Data Aset'!B168</f>
        <v/>
      </c>
      <c r="D166" s="3">
        <f>'Data Aset'!F168</f>
        <v/>
      </c>
      <c r="E166" s="3" t="inlineStr">
        <is>
          <t>Inventaris Ruangan</t>
        </is>
      </c>
      <c r="F166" s="3">
        <f>'Data Aset'!C168</f>
        <v/>
      </c>
      <c r="G166" s="3">
        <f>'Data Aset'!J168</f>
        <v/>
      </c>
      <c r="H166" s="5">
        <f>'Data Aset'!M168</f>
        <v/>
      </c>
      <c r="I166" s="3">
        <f>'Data Aset'!O168</f>
        <v/>
      </c>
      <c r="J166" s="5" t="n">
        <v>0</v>
      </c>
      <c r="K166" s="3" t="inlineStr">
        <is>
          <t>Garis Lurus</t>
        </is>
      </c>
      <c r="L166" s="5">
        <f>IFERROR(M166/12,"")</f>
        <v/>
      </c>
      <c r="M166" s="5">
        <f>IFERROR((H166-J166)/I166,"")</f>
        <v/>
      </c>
      <c r="N166" s="5">
        <f>IFERROR(M166,"")</f>
        <v/>
      </c>
      <c r="O166" s="5">
        <f>IFERROR(H166-N166,"")</f>
        <v/>
      </c>
      <c r="P166" s="3" t="inlineStr">
        <is>
          <t>Belum dihitung</t>
        </is>
      </c>
      <c r="Q166" s="3" t="n"/>
    </row>
    <row r="167">
      <c r="A167" s="3" t="n">
        <v>166</v>
      </c>
      <c r="B167" s="3" t="inlineStr">
        <is>
          <t>Desember 2025</t>
        </is>
      </c>
      <c r="C167" s="3">
        <f>'Data Aset'!B169</f>
        <v/>
      </c>
      <c r="D167" s="3">
        <f>'Data Aset'!F169</f>
        <v/>
      </c>
      <c r="E167" s="3" t="inlineStr">
        <is>
          <t>Inventaris Ruangan</t>
        </is>
      </c>
      <c r="F167" s="3">
        <f>'Data Aset'!C169</f>
        <v/>
      </c>
      <c r="G167" s="3">
        <f>'Data Aset'!J169</f>
        <v/>
      </c>
      <c r="H167" s="5">
        <f>'Data Aset'!M169</f>
        <v/>
      </c>
      <c r="I167" s="3">
        <f>'Data Aset'!O169</f>
        <v/>
      </c>
      <c r="J167" s="5" t="n">
        <v>0</v>
      </c>
      <c r="K167" s="3" t="inlineStr">
        <is>
          <t>Garis Lurus</t>
        </is>
      </c>
      <c r="L167" s="5">
        <f>IFERROR(M167/12,"")</f>
        <v/>
      </c>
      <c r="M167" s="5">
        <f>IFERROR((H167-J167)/I167,"")</f>
        <v/>
      </c>
      <c r="N167" s="5">
        <f>IFERROR(M167,"")</f>
        <v/>
      </c>
      <c r="O167" s="5">
        <f>IFERROR(H167-N167,"")</f>
        <v/>
      </c>
      <c r="P167" s="3" t="inlineStr">
        <is>
          <t>Belum dihitung</t>
        </is>
      </c>
      <c r="Q167" s="3" t="n"/>
    </row>
    <row r="168">
      <c r="A168" s="3" t="n">
        <v>167</v>
      </c>
      <c r="B168" s="3" t="inlineStr">
        <is>
          <t>Desember 2025</t>
        </is>
      </c>
      <c r="C168" s="3">
        <f>'Data Aset'!B170</f>
        <v/>
      </c>
      <c r="D168" s="3">
        <f>'Data Aset'!F170</f>
        <v/>
      </c>
      <c r="E168" s="3" t="inlineStr">
        <is>
          <t>Inventaris Ruangan</t>
        </is>
      </c>
      <c r="F168" s="3">
        <f>'Data Aset'!C170</f>
        <v/>
      </c>
      <c r="G168" s="3">
        <f>'Data Aset'!J170</f>
        <v/>
      </c>
      <c r="H168" s="5">
        <f>'Data Aset'!M170</f>
        <v/>
      </c>
      <c r="I168" s="3">
        <f>'Data Aset'!O170</f>
        <v/>
      </c>
      <c r="J168" s="5" t="n">
        <v>0</v>
      </c>
      <c r="K168" s="3" t="inlineStr">
        <is>
          <t>Garis Lurus</t>
        </is>
      </c>
      <c r="L168" s="5">
        <f>IFERROR(M168/12,"")</f>
        <v/>
      </c>
      <c r="M168" s="5">
        <f>IFERROR((H168-J168)/I168,"")</f>
        <v/>
      </c>
      <c r="N168" s="5">
        <f>IFERROR(M168,"")</f>
        <v/>
      </c>
      <c r="O168" s="5">
        <f>IFERROR(H168-N168,"")</f>
        <v/>
      </c>
      <c r="P168" s="3" t="inlineStr">
        <is>
          <t>Belum dihitung</t>
        </is>
      </c>
      <c r="Q168" s="3" t="n"/>
    </row>
    <row r="169">
      <c r="A169" s="3" t="n">
        <v>168</v>
      </c>
      <c r="B169" s="3" t="inlineStr">
        <is>
          <t>Desember 2025</t>
        </is>
      </c>
      <c r="C169" s="3">
        <f>'Data Aset'!B171</f>
        <v/>
      </c>
      <c r="D169" s="3">
        <f>'Data Aset'!F171</f>
        <v/>
      </c>
      <c r="E169" s="3" t="inlineStr">
        <is>
          <t>Inventaris Ruangan</t>
        </is>
      </c>
      <c r="F169" s="3">
        <f>'Data Aset'!C171</f>
        <v/>
      </c>
      <c r="G169" s="3">
        <f>'Data Aset'!J171</f>
        <v/>
      </c>
      <c r="H169" s="5">
        <f>'Data Aset'!M171</f>
        <v/>
      </c>
      <c r="I169" s="3">
        <f>'Data Aset'!O171</f>
        <v/>
      </c>
      <c r="J169" s="5" t="n">
        <v>0</v>
      </c>
      <c r="K169" s="3" t="inlineStr">
        <is>
          <t>Garis Lurus</t>
        </is>
      </c>
      <c r="L169" s="5">
        <f>IFERROR(M169/12,"")</f>
        <v/>
      </c>
      <c r="M169" s="5">
        <f>IFERROR((H169-J169)/I169,"")</f>
        <v/>
      </c>
      <c r="N169" s="5">
        <f>IFERROR(M169,"")</f>
        <v/>
      </c>
      <c r="O169" s="5">
        <f>IFERROR(H169-N169,"")</f>
        <v/>
      </c>
      <c r="P169" s="3" t="inlineStr">
        <is>
          <t>Belum dihitung</t>
        </is>
      </c>
      <c r="Q169" s="3" t="n"/>
    </row>
    <row r="170">
      <c r="A170" s="3" t="n">
        <v>169</v>
      </c>
      <c r="B170" s="3" t="inlineStr">
        <is>
          <t>Desember 2025</t>
        </is>
      </c>
      <c r="C170" s="3">
        <f>'Data Aset'!B172</f>
        <v/>
      </c>
      <c r="D170" s="3">
        <f>'Data Aset'!F172</f>
        <v/>
      </c>
      <c r="E170" s="3" t="inlineStr">
        <is>
          <t>Inventaris Ruangan</t>
        </is>
      </c>
      <c r="F170" s="3">
        <f>'Data Aset'!C172</f>
        <v/>
      </c>
      <c r="G170" s="3">
        <f>'Data Aset'!J172</f>
        <v/>
      </c>
      <c r="H170" s="5">
        <f>'Data Aset'!M172</f>
        <v/>
      </c>
      <c r="I170" s="3">
        <f>'Data Aset'!O172</f>
        <v/>
      </c>
      <c r="J170" s="5" t="n">
        <v>0</v>
      </c>
      <c r="K170" s="3" t="inlineStr">
        <is>
          <t>Garis Lurus</t>
        </is>
      </c>
      <c r="L170" s="5">
        <f>IFERROR(M170/12,"")</f>
        <v/>
      </c>
      <c r="M170" s="5">
        <f>IFERROR((H170-J170)/I170,"")</f>
        <v/>
      </c>
      <c r="N170" s="5">
        <f>IFERROR(M170,"")</f>
        <v/>
      </c>
      <c r="O170" s="5">
        <f>IFERROR(H170-N170,"")</f>
        <v/>
      </c>
      <c r="P170" s="3" t="inlineStr">
        <is>
          <t>Belum dihitung</t>
        </is>
      </c>
      <c r="Q170" s="3" t="n"/>
    </row>
    <row r="171">
      <c r="A171" s="3" t="n">
        <v>170</v>
      </c>
      <c r="B171" s="3" t="inlineStr">
        <is>
          <t>Desember 2025</t>
        </is>
      </c>
      <c r="C171" s="3">
        <f>'Data Aset'!B173</f>
        <v/>
      </c>
      <c r="D171" s="3">
        <f>'Data Aset'!F173</f>
        <v/>
      </c>
      <c r="E171" s="3" t="inlineStr">
        <is>
          <t>Inventaris Ruangan</t>
        </is>
      </c>
      <c r="F171" s="3">
        <f>'Data Aset'!C173</f>
        <v/>
      </c>
      <c r="G171" s="3">
        <f>'Data Aset'!J173</f>
        <v/>
      </c>
      <c r="H171" s="5">
        <f>'Data Aset'!M173</f>
        <v/>
      </c>
      <c r="I171" s="3">
        <f>'Data Aset'!O173</f>
        <v/>
      </c>
      <c r="J171" s="5" t="n">
        <v>0</v>
      </c>
      <c r="K171" s="3" t="inlineStr">
        <is>
          <t>Garis Lurus</t>
        </is>
      </c>
      <c r="L171" s="5">
        <f>IFERROR(M171/12,"")</f>
        <v/>
      </c>
      <c r="M171" s="5">
        <f>IFERROR((H171-J171)/I171,"")</f>
        <v/>
      </c>
      <c r="N171" s="5">
        <f>IFERROR(M171,"")</f>
        <v/>
      </c>
      <c r="O171" s="5">
        <f>IFERROR(H171-N171,"")</f>
        <v/>
      </c>
      <c r="P171" s="3" t="inlineStr">
        <is>
          <t>Belum dihitung</t>
        </is>
      </c>
      <c r="Q171" s="3" t="n"/>
    </row>
    <row r="172">
      <c r="A172" s="3" t="n">
        <v>171</v>
      </c>
      <c r="B172" s="3" t="inlineStr">
        <is>
          <t>Desember 2025</t>
        </is>
      </c>
      <c r="C172" s="3">
        <f>'Data Aset'!B174</f>
        <v/>
      </c>
      <c r="D172" s="3">
        <f>'Data Aset'!F174</f>
        <v/>
      </c>
      <c r="E172" s="3" t="inlineStr">
        <is>
          <t>Inventaris Ruangan</t>
        </is>
      </c>
      <c r="F172" s="3">
        <f>'Data Aset'!C174</f>
        <v/>
      </c>
      <c r="G172" s="3">
        <f>'Data Aset'!J174</f>
        <v/>
      </c>
      <c r="H172" s="5">
        <f>'Data Aset'!M174</f>
        <v/>
      </c>
      <c r="I172" s="3">
        <f>'Data Aset'!O174</f>
        <v/>
      </c>
      <c r="J172" s="5" t="n">
        <v>0</v>
      </c>
      <c r="K172" s="3" t="inlineStr">
        <is>
          <t>Garis Lurus</t>
        </is>
      </c>
      <c r="L172" s="5">
        <f>IFERROR(M172/12,"")</f>
        <v/>
      </c>
      <c r="M172" s="5">
        <f>IFERROR((H172-J172)/I172,"")</f>
        <v/>
      </c>
      <c r="N172" s="5">
        <f>IFERROR(M172,"")</f>
        <v/>
      </c>
      <c r="O172" s="5">
        <f>IFERROR(H172-N172,"")</f>
        <v/>
      </c>
      <c r="P172" s="3" t="inlineStr">
        <is>
          <t>Belum dihitung</t>
        </is>
      </c>
      <c r="Q172" s="3" t="n"/>
    </row>
    <row r="173">
      <c r="A173" s="3" t="n">
        <v>172</v>
      </c>
      <c r="B173" s="3" t="inlineStr">
        <is>
          <t>Desember 2025</t>
        </is>
      </c>
      <c r="C173" s="3">
        <f>'Data Aset'!B175</f>
        <v/>
      </c>
      <c r="D173" s="3">
        <f>'Data Aset'!F175</f>
        <v/>
      </c>
      <c r="E173" s="3" t="inlineStr">
        <is>
          <t>Inventaris Ruangan</t>
        </is>
      </c>
      <c r="F173" s="3">
        <f>'Data Aset'!C175</f>
        <v/>
      </c>
      <c r="G173" s="3">
        <f>'Data Aset'!J175</f>
        <v/>
      </c>
      <c r="H173" s="5">
        <f>'Data Aset'!M175</f>
        <v/>
      </c>
      <c r="I173" s="3">
        <f>'Data Aset'!O175</f>
        <v/>
      </c>
      <c r="J173" s="5" t="n">
        <v>0</v>
      </c>
      <c r="K173" s="3" t="inlineStr">
        <is>
          <t>Garis Lurus</t>
        </is>
      </c>
      <c r="L173" s="5">
        <f>IFERROR(M173/12,"")</f>
        <v/>
      </c>
      <c r="M173" s="5">
        <f>IFERROR((H173-J173)/I173,"")</f>
        <v/>
      </c>
      <c r="N173" s="5">
        <f>IFERROR(M173,"")</f>
        <v/>
      </c>
      <c r="O173" s="5">
        <f>IFERROR(H173-N173,"")</f>
        <v/>
      </c>
      <c r="P173" s="3" t="inlineStr">
        <is>
          <t>Belum dihitung</t>
        </is>
      </c>
      <c r="Q173" s="3" t="n"/>
    </row>
    <row r="174">
      <c r="A174" s="3" t="n">
        <v>173</v>
      </c>
      <c r="B174" s="3" t="inlineStr">
        <is>
          <t>Desember 2025</t>
        </is>
      </c>
      <c r="C174" s="3">
        <f>'Data Aset'!B176</f>
        <v/>
      </c>
      <c r="D174" s="3">
        <f>'Data Aset'!F176</f>
        <v/>
      </c>
      <c r="E174" s="3" t="inlineStr">
        <is>
          <t>Inventaris Ruangan</t>
        </is>
      </c>
      <c r="F174" s="3">
        <f>'Data Aset'!C176</f>
        <v/>
      </c>
      <c r="G174" s="3">
        <f>'Data Aset'!J176</f>
        <v/>
      </c>
      <c r="H174" s="5">
        <f>'Data Aset'!M176</f>
        <v/>
      </c>
      <c r="I174" s="3">
        <f>'Data Aset'!O176</f>
        <v/>
      </c>
      <c r="J174" s="5" t="n">
        <v>0</v>
      </c>
      <c r="K174" s="3" t="inlineStr">
        <is>
          <t>Garis Lurus</t>
        </is>
      </c>
      <c r="L174" s="5">
        <f>IFERROR(M174/12,"")</f>
        <v/>
      </c>
      <c r="M174" s="5">
        <f>IFERROR((H174-J174)/I174,"")</f>
        <v/>
      </c>
      <c r="N174" s="5">
        <f>IFERROR(M174,"")</f>
        <v/>
      </c>
      <c r="O174" s="5">
        <f>IFERROR(H174-N174,"")</f>
        <v/>
      </c>
      <c r="P174" s="3" t="inlineStr">
        <is>
          <t>Belum dihitung</t>
        </is>
      </c>
      <c r="Q174" s="3" t="n"/>
    </row>
    <row r="175">
      <c r="A175" s="3" t="n">
        <v>174</v>
      </c>
      <c r="B175" s="3" t="inlineStr">
        <is>
          <t>Desember 2025</t>
        </is>
      </c>
      <c r="C175" s="3">
        <f>'Data Aset'!B177</f>
        <v/>
      </c>
      <c r="D175" s="3">
        <f>'Data Aset'!F177</f>
        <v/>
      </c>
      <c r="E175" s="3" t="inlineStr">
        <is>
          <t>Inventaris Ruangan</t>
        </is>
      </c>
      <c r="F175" s="3">
        <f>'Data Aset'!C177</f>
        <v/>
      </c>
      <c r="G175" s="3">
        <f>'Data Aset'!J177</f>
        <v/>
      </c>
      <c r="H175" s="5">
        <f>'Data Aset'!M177</f>
        <v/>
      </c>
      <c r="I175" s="3">
        <f>'Data Aset'!O177</f>
        <v/>
      </c>
      <c r="J175" s="5" t="n">
        <v>0</v>
      </c>
      <c r="K175" s="3" t="inlineStr">
        <is>
          <t>Garis Lurus</t>
        </is>
      </c>
      <c r="L175" s="5">
        <f>IFERROR(M175/12,"")</f>
        <v/>
      </c>
      <c r="M175" s="5">
        <f>IFERROR((H175-J175)/I175,"")</f>
        <v/>
      </c>
      <c r="N175" s="5">
        <f>IFERROR(M175,"")</f>
        <v/>
      </c>
      <c r="O175" s="5">
        <f>IFERROR(H175-N175,"")</f>
        <v/>
      </c>
      <c r="P175" s="3" t="inlineStr">
        <is>
          <t>Belum dihitung</t>
        </is>
      </c>
      <c r="Q175" s="3" t="n"/>
    </row>
    <row r="176">
      <c r="A176" s="3" t="n">
        <v>175</v>
      </c>
      <c r="B176" s="3" t="inlineStr">
        <is>
          <t>Desember 2025</t>
        </is>
      </c>
      <c r="C176" s="3">
        <f>'Data Aset'!B178</f>
        <v/>
      </c>
      <c r="D176" s="3">
        <f>'Data Aset'!F178</f>
        <v/>
      </c>
      <c r="E176" s="3" t="inlineStr">
        <is>
          <t>Inventaris Ruangan</t>
        </is>
      </c>
      <c r="F176" s="3">
        <f>'Data Aset'!C178</f>
        <v/>
      </c>
      <c r="G176" s="3">
        <f>'Data Aset'!J178</f>
        <v/>
      </c>
      <c r="H176" s="5">
        <f>'Data Aset'!M178</f>
        <v/>
      </c>
      <c r="I176" s="3">
        <f>'Data Aset'!O178</f>
        <v/>
      </c>
      <c r="J176" s="5" t="n">
        <v>0</v>
      </c>
      <c r="K176" s="3" t="inlineStr">
        <is>
          <t>Garis Lurus</t>
        </is>
      </c>
      <c r="L176" s="5">
        <f>IFERROR(M176/12,"")</f>
        <v/>
      </c>
      <c r="M176" s="5">
        <f>IFERROR((H176-J176)/I176,"")</f>
        <v/>
      </c>
      <c r="N176" s="5">
        <f>IFERROR(M176,"")</f>
        <v/>
      </c>
      <c r="O176" s="5">
        <f>IFERROR(H176-N176,"")</f>
        <v/>
      </c>
      <c r="P176" s="3" t="inlineStr">
        <is>
          <t>Belum dihitung</t>
        </is>
      </c>
      <c r="Q176" s="3" t="n"/>
    </row>
    <row r="177">
      <c r="A177" s="3" t="n">
        <v>176</v>
      </c>
      <c r="B177" s="3" t="inlineStr">
        <is>
          <t>Desember 2025</t>
        </is>
      </c>
      <c r="C177" s="3">
        <f>'Data Aset'!B179</f>
        <v/>
      </c>
      <c r="D177" s="3">
        <f>'Data Aset'!F179</f>
        <v/>
      </c>
      <c r="E177" s="3" t="inlineStr">
        <is>
          <t>Inventaris Ruangan</t>
        </is>
      </c>
      <c r="F177" s="3">
        <f>'Data Aset'!C179</f>
        <v/>
      </c>
      <c r="G177" s="3">
        <f>'Data Aset'!J179</f>
        <v/>
      </c>
      <c r="H177" s="5">
        <f>'Data Aset'!M179</f>
        <v/>
      </c>
      <c r="I177" s="3">
        <f>'Data Aset'!O179</f>
        <v/>
      </c>
      <c r="J177" s="5" t="n">
        <v>0</v>
      </c>
      <c r="K177" s="3" t="inlineStr">
        <is>
          <t>Garis Lurus</t>
        </is>
      </c>
      <c r="L177" s="5">
        <f>IFERROR(M177/12,"")</f>
        <v/>
      </c>
      <c r="M177" s="5">
        <f>IFERROR((H177-J177)/I177,"")</f>
        <v/>
      </c>
      <c r="N177" s="5">
        <f>IFERROR(M177,"")</f>
        <v/>
      </c>
      <c r="O177" s="5">
        <f>IFERROR(H177-N177,"")</f>
        <v/>
      </c>
      <c r="P177" s="3" t="inlineStr">
        <is>
          <t>Belum dihitung</t>
        </is>
      </c>
      <c r="Q177" s="3" t="n"/>
    </row>
    <row r="178">
      <c r="A178" s="3" t="n">
        <v>177</v>
      </c>
      <c r="B178" s="3" t="inlineStr">
        <is>
          <t>Desember 2025</t>
        </is>
      </c>
      <c r="C178" s="3">
        <f>'Data Aset'!B180</f>
        <v/>
      </c>
      <c r="D178" s="3">
        <f>'Data Aset'!F180</f>
        <v/>
      </c>
      <c r="E178" s="3" t="inlineStr">
        <is>
          <t>Inventaris Ruangan</t>
        </is>
      </c>
      <c r="F178" s="3">
        <f>'Data Aset'!C180</f>
        <v/>
      </c>
      <c r="G178" s="3">
        <f>'Data Aset'!J180</f>
        <v/>
      </c>
      <c r="H178" s="5">
        <f>'Data Aset'!M180</f>
        <v/>
      </c>
      <c r="I178" s="3">
        <f>'Data Aset'!O180</f>
        <v/>
      </c>
      <c r="J178" s="5" t="n">
        <v>0</v>
      </c>
      <c r="K178" s="3" t="inlineStr">
        <is>
          <t>Garis Lurus</t>
        </is>
      </c>
      <c r="L178" s="5">
        <f>IFERROR(M178/12,"")</f>
        <v/>
      </c>
      <c r="M178" s="5">
        <f>IFERROR((H178-J178)/I178,"")</f>
        <v/>
      </c>
      <c r="N178" s="5">
        <f>IFERROR(M178,"")</f>
        <v/>
      </c>
      <c r="O178" s="5">
        <f>IFERROR(H178-N178,"")</f>
        <v/>
      </c>
      <c r="P178" s="3" t="inlineStr">
        <is>
          <t>Belum dihitung</t>
        </is>
      </c>
      <c r="Q178" s="3" t="n"/>
    </row>
    <row r="179">
      <c r="A179" s="3" t="n">
        <v>178</v>
      </c>
      <c r="B179" s="3" t="inlineStr">
        <is>
          <t>Desember 2025</t>
        </is>
      </c>
      <c r="C179" s="3">
        <f>'Data Aset'!B181</f>
        <v/>
      </c>
      <c r="D179" s="3">
        <f>'Data Aset'!F181</f>
        <v/>
      </c>
      <c r="E179" s="3" t="inlineStr">
        <is>
          <t>Inventaris Ruangan</t>
        </is>
      </c>
      <c r="F179" s="3">
        <f>'Data Aset'!C181</f>
        <v/>
      </c>
      <c r="G179" s="3">
        <f>'Data Aset'!J181</f>
        <v/>
      </c>
      <c r="H179" s="5">
        <f>'Data Aset'!M181</f>
        <v/>
      </c>
      <c r="I179" s="3">
        <f>'Data Aset'!O181</f>
        <v/>
      </c>
      <c r="J179" s="5" t="n">
        <v>0</v>
      </c>
      <c r="K179" s="3" t="inlineStr">
        <is>
          <t>Garis Lurus</t>
        </is>
      </c>
      <c r="L179" s="5">
        <f>IFERROR(M179/12,"")</f>
        <v/>
      </c>
      <c r="M179" s="5">
        <f>IFERROR((H179-J179)/I179,"")</f>
        <v/>
      </c>
      <c r="N179" s="5">
        <f>IFERROR(M179,"")</f>
        <v/>
      </c>
      <c r="O179" s="5">
        <f>IFERROR(H179-N179,"")</f>
        <v/>
      </c>
      <c r="P179" s="3" t="inlineStr">
        <is>
          <t>Belum dihitung</t>
        </is>
      </c>
      <c r="Q179" s="3" t="n"/>
    </row>
    <row r="180">
      <c r="A180" s="3" t="n">
        <v>179</v>
      </c>
      <c r="B180" s="3" t="inlineStr">
        <is>
          <t>Desember 2025</t>
        </is>
      </c>
      <c r="C180" s="3">
        <f>'Data Aset'!B182</f>
        <v/>
      </c>
      <c r="D180" s="3">
        <f>'Data Aset'!F182</f>
        <v/>
      </c>
      <c r="E180" s="3" t="inlineStr">
        <is>
          <t>Inventaris Ruangan</t>
        </is>
      </c>
      <c r="F180" s="3">
        <f>'Data Aset'!C182</f>
        <v/>
      </c>
      <c r="G180" s="3">
        <f>'Data Aset'!J182</f>
        <v/>
      </c>
      <c r="H180" s="5">
        <f>'Data Aset'!M182</f>
        <v/>
      </c>
      <c r="I180" s="3">
        <f>'Data Aset'!O182</f>
        <v/>
      </c>
      <c r="J180" s="5" t="n">
        <v>0</v>
      </c>
      <c r="K180" s="3" t="inlineStr">
        <is>
          <t>Garis Lurus</t>
        </is>
      </c>
      <c r="L180" s="5">
        <f>IFERROR(M180/12,"")</f>
        <v/>
      </c>
      <c r="M180" s="5">
        <f>IFERROR((H180-J180)/I180,"")</f>
        <v/>
      </c>
      <c r="N180" s="5">
        <f>IFERROR(M180,"")</f>
        <v/>
      </c>
      <c r="O180" s="5">
        <f>IFERROR(H180-N180,"")</f>
        <v/>
      </c>
      <c r="P180" s="3" t="inlineStr">
        <is>
          <t>Belum dihitung</t>
        </is>
      </c>
      <c r="Q180" s="3" t="n"/>
    </row>
    <row r="181">
      <c r="A181" s="3" t="n">
        <v>180</v>
      </c>
      <c r="B181" s="3" t="inlineStr">
        <is>
          <t>Desember 2025</t>
        </is>
      </c>
      <c r="C181" s="3">
        <f>'Data Aset'!B183</f>
        <v/>
      </c>
      <c r="D181" s="3">
        <f>'Data Aset'!F183</f>
        <v/>
      </c>
      <c r="E181" s="3" t="inlineStr">
        <is>
          <t>Inventaris Ruangan</t>
        </is>
      </c>
      <c r="F181" s="3">
        <f>'Data Aset'!C183</f>
        <v/>
      </c>
      <c r="G181" s="3">
        <f>'Data Aset'!J183</f>
        <v/>
      </c>
      <c r="H181" s="5">
        <f>'Data Aset'!M183</f>
        <v/>
      </c>
      <c r="I181" s="3">
        <f>'Data Aset'!O183</f>
        <v/>
      </c>
      <c r="J181" s="5" t="n">
        <v>0</v>
      </c>
      <c r="K181" s="3" t="inlineStr">
        <is>
          <t>Garis Lurus</t>
        </is>
      </c>
      <c r="L181" s="5">
        <f>IFERROR(M181/12,"")</f>
        <v/>
      </c>
      <c r="M181" s="5">
        <f>IFERROR((H181-J181)/I181,"")</f>
        <v/>
      </c>
      <c r="N181" s="5">
        <f>IFERROR(M181,"")</f>
        <v/>
      </c>
      <c r="O181" s="5">
        <f>IFERROR(H181-N181,"")</f>
        <v/>
      </c>
      <c r="P181" s="3" t="inlineStr">
        <is>
          <t>Belum dihitung</t>
        </is>
      </c>
      <c r="Q181" s="3" t="n"/>
    </row>
    <row r="182">
      <c r="A182" s="3" t="n">
        <v>181</v>
      </c>
      <c r="B182" s="3" t="inlineStr">
        <is>
          <t>Desember 2025</t>
        </is>
      </c>
      <c r="C182" s="3">
        <f>'Data Aset'!B184</f>
        <v/>
      </c>
      <c r="D182" s="3">
        <f>'Data Aset'!F184</f>
        <v/>
      </c>
      <c r="E182" s="3" t="inlineStr">
        <is>
          <t>Inventaris Ruangan</t>
        </is>
      </c>
      <c r="F182" s="3">
        <f>'Data Aset'!C184</f>
        <v/>
      </c>
      <c r="G182" s="3">
        <f>'Data Aset'!J184</f>
        <v/>
      </c>
      <c r="H182" s="5">
        <f>'Data Aset'!M184</f>
        <v/>
      </c>
      <c r="I182" s="3">
        <f>'Data Aset'!O184</f>
        <v/>
      </c>
      <c r="J182" s="5" t="n">
        <v>0</v>
      </c>
      <c r="K182" s="3" t="inlineStr">
        <is>
          <t>Garis Lurus</t>
        </is>
      </c>
      <c r="L182" s="5">
        <f>IFERROR(M182/12,"")</f>
        <v/>
      </c>
      <c r="M182" s="5">
        <f>IFERROR((H182-J182)/I182,"")</f>
        <v/>
      </c>
      <c r="N182" s="5">
        <f>IFERROR(M182,"")</f>
        <v/>
      </c>
      <c r="O182" s="5">
        <f>IFERROR(H182-N182,"")</f>
        <v/>
      </c>
      <c r="P182" s="3" t="inlineStr">
        <is>
          <t>Belum dihitung</t>
        </is>
      </c>
      <c r="Q182" s="3" t="n"/>
    </row>
    <row r="183">
      <c r="A183" s="3" t="n">
        <v>182</v>
      </c>
      <c r="B183" s="3" t="inlineStr">
        <is>
          <t>Desember 2025</t>
        </is>
      </c>
      <c r="C183" s="3">
        <f>'Data Aset'!B185</f>
        <v/>
      </c>
      <c r="D183" s="3">
        <f>'Data Aset'!F185</f>
        <v/>
      </c>
      <c r="E183" s="3" t="inlineStr">
        <is>
          <t>Inventaris Ruangan</t>
        </is>
      </c>
      <c r="F183" s="3">
        <f>'Data Aset'!C185</f>
        <v/>
      </c>
      <c r="G183" s="3">
        <f>'Data Aset'!J185</f>
        <v/>
      </c>
      <c r="H183" s="5">
        <f>'Data Aset'!M185</f>
        <v/>
      </c>
      <c r="I183" s="3">
        <f>'Data Aset'!O185</f>
        <v/>
      </c>
      <c r="J183" s="5" t="n">
        <v>0</v>
      </c>
      <c r="K183" s="3" t="inlineStr">
        <is>
          <t>Garis Lurus</t>
        </is>
      </c>
      <c r="L183" s="5">
        <f>IFERROR(M183/12,"")</f>
        <v/>
      </c>
      <c r="M183" s="5">
        <f>IFERROR((H183-J183)/I183,"")</f>
        <v/>
      </c>
      <c r="N183" s="5">
        <f>IFERROR(M183,"")</f>
        <v/>
      </c>
      <c r="O183" s="5">
        <f>IFERROR(H183-N183,"")</f>
        <v/>
      </c>
      <c r="P183" s="3" t="inlineStr">
        <is>
          <t>Belum dihitung</t>
        </is>
      </c>
      <c r="Q183" s="3" t="n"/>
    </row>
    <row r="184">
      <c r="A184" s="3" t="n">
        <v>183</v>
      </c>
      <c r="B184" s="3" t="inlineStr">
        <is>
          <t>Desember 2025</t>
        </is>
      </c>
      <c r="C184" s="3">
        <f>'Data Aset'!B186</f>
        <v/>
      </c>
      <c r="D184" s="3">
        <f>'Data Aset'!F186</f>
        <v/>
      </c>
      <c r="E184" s="3" t="inlineStr">
        <is>
          <t>Inventaris Ruangan</t>
        </is>
      </c>
      <c r="F184" s="3">
        <f>'Data Aset'!C186</f>
        <v/>
      </c>
      <c r="G184" s="3">
        <f>'Data Aset'!J186</f>
        <v/>
      </c>
      <c r="H184" s="5">
        <f>'Data Aset'!M186</f>
        <v/>
      </c>
      <c r="I184" s="3">
        <f>'Data Aset'!O186</f>
        <v/>
      </c>
      <c r="J184" s="5" t="n">
        <v>0</v>
      </c>
      <c r="K184" s="3" t="inlineStr">
        <is>
          <t>Garis Lurus</t>
        </is>
      </c>
      <c r="L184" s="5">
        <f>IFERROR(M184/12,"")</f>
        <v/>
      </c>
      <c r="M184" s="5">
        <f>IFERROR((H184-J184)/I184,"")</f>
        <v/>
      </c>
      <c r="N184" s="5">
        <f>IFERROR(M184,"")</f>
        <v/>
      </c>
      <c r="O184" s="5">
        <f>IFERROR(H184-N184,"")</f>
        <v/>
      </c>
      <c r="P184" s="3" t="inlineStr">
        <is>
          <t>Belum dihitung</t>
        </is>
      </c>
      <c r="Q184" s="3" t="n"/>
    </row>
    <row r="185">
      <c r="A185" s="3" t="n">
        <v>184</v>
      </c>
      <c r="B185" s="3" t="inlineStr">
        <is>
          <t>Desember 2025</t>
        </is>
      </c>
      <c r="C185" s="3">
        <f>'Data Aset'!B187</f>
        <v/>
      </c>
      <c r="D185" s="3">
        <f>'Data Aset'!F187</f>
        <v/>
      </c>
      <c r="E185" s="3" t="inlineStr">
        <is>
          <t>Inventaris Ruangan</t>
        </is>
      </c>
      <c r="F185" s="3">
        <f>'Data Aset'!C187</f>
        <v/>
      </c>
      <c r="G185" s="3">
        <f>'Data Aset'!J187</f>
        <v/>
      </c>
      <c r="H185" s="5">
        <f>'Data Aset'!M187</f>
        <v/>
      </c>
      <c r="I185" s="3">
        <f>'Data Aset'!O187</f>
        <v/>
      </c>
      <c r="J185" s="5" t="n">
        <v>0</v>
      </c>
      <c r="K185" s="3" t="inlineStr">
        <is>
          <t>Garis Lurus</t>
        </is>
      </c>
      <c r="L185" s="5">
        <f>IFERROR(M185/12,"")</f>
        <v/>
      </c>
      <c r="M185" s="5">
        <f>IFERROR((H185-J185)/I185,"")</f>
        <v/>
      </c>
      <c r="N185" s="5">
        <f>IFERROR(M185,"")</f>
        <v/>
      </c>
      <c r="O185" s="5">
        <f>IFERROR(H185-N185,"")</f>
        <v/>
      </c>
      <c r="P185" s="3" t="inlineStr">
        <is>
          <t>Belum dihitung</t>
        </is>
      </c>
      <c r="Q185" s="3" t="n"/>
    </row>
    <row r="186">
      <c r="A186" s="3" t="n">
        <v>185</v>
      </c>
      <c r="B186" s="3" t="inlineStr">
        <is>
          <t>Desember 2025</t>
        </is>
      </c>
      <c r="C186" s="3">
        <f>'Data Aset'!B188</f>
        <v/>
      </c>
      <c r="D186" s="3">
        <f>'Data Aset'!F188</f>
        <v/>
      </c>
      <c r="E186" s="3" t="inlineStr">
        <is>
          <t>Inventaris Ruangan</t>
        </is>
      </c>
      <c r="F186" s="3">
        <f>'Data Aset'!C188</f>
        <v/>
      </c>
      <c r="G186" s="3">
        <f>'Data Aset'!J188</f>
        <v/>
      </c>
      <c r="H186" s="5">
        <f>'Data Aset'!M188</f>
        <v/>
      </c>
      <c r="I186" s="3">
        <f>'Data Aset'!O188</f>
        <v/>
      </c>
      <c r="J186" s="5" t="n">
        <v>0</v>
      </c>
      <c r="K186" s="3" t="inlineStr">
        <is>
          <t>Garis Lurus</t>
        </is>
      </c>
      <c r="L186" s="5">
        <f>IFERROR(M186/12,"")</f>
        <v/>
      </c>
      <c r="M186" s="5">
        <f>IFERROR((H186-J186)/I186,"")</f>
        <v/>
      </c>
      <c r="N186" s="5">
        <f>IFERROR(M186,"")</f>
        <v/>
      </c>
      <c r="O186" s="5">
        <f>IFERROR(H186-N186,"")</f>
        <v/>
      </c>
      <c r="P186" s="3" t="inlineStr">
        <is>
          <t>Belum dihitung</t>
        </is>
      </c>
      <c r="Q186" s="3" t="n"/>
    </row>
    <row r="187">
      <c r="A187" s="3" t="n">
        <v>186</v>
      </c>
      <c r="B187" s="3" t="inlineStr">
        <is>
          <t>Desember 2025</t>
        </is>
      </c>
      <c r="C187" s="3">
        <f>'Data Aset'!B189</f>
        <v/>
      </c>
      <c r="D187" s="3">
        <f>'Data Aset'!F189</f>
        <v/>
      </c>
      <c r="E187" s="3" t="inlineStr">
        <is>
          <t>Inventaris Ruangan</t>
        </is>
      </c>
      <c r="F187" s="3">
        <f>'Data Aset'!C189</f>
        <v/>
      </c>
      <c r="G187" s="3">
        <f>'Data Aset'!J189</f>
        <v/>
      </c>
      <c r="H187" s="5">
        <f>'Data Aset'!M189</f>
        <v/>
      </c>
      <c r="I187" s="3">
        <f>'Data Aset'!O189</f>
        <v/>
      </c>
      <c r="J187" s="5" t="n">
        <v>0</v>
      </c>
      <c r="K187" s="3" t="inlineStr">
        <is>
          <t>Garis Lurus</t>
        </is>
      </c>
      <c r="L187" s="5">
        <f>IFERROR(M187/12,"")</f>
        <v/>
      </c>
      <c r="M187" s="5">
        <f>IFERROR((H187-J187)/I187,"")</f>
        <v/>
      </c>
      <c r="N187" s="5">
        <f>IFERROR(M187,"")</f>
        <v/>
      </c>
      <c r="O187" s="5">
        <f>IFERROR(H187-N187,"")</f>
        <v/>
      </c>
      <c r="P187" s="3" t="inlineStr">
        <is>
          <t>Belum dihitung</t>
        </is>
      </c>
      <c r="Q187" s="3" t="n"/>
    </row>
    <row r="188">
      <c r="A188" s="3" t="n">
        <v>187</v>
      </c>
      <c r="B188" s="3" t="inlineStr">
        <is>
          <t>Desember 2025</t>
        </is>
      </c>
      <c r="C188" s="3">
        <f>'Data Aset'!B190</f>
        <v/>
      </c>
      <c r="D188" s="3">
        <f>'Data Aset'!F190</f>
        <v/>
      </c>
      <c r="E188" s="3" t="inlineStr">
        <is>
          <t>Inventaris Ruangan</t>
        </is>
      </c>
      <c r="F188" s="3">
        <f>'Data Aset'!C190</f>
        <v/>
      </c>
      <c r="G188" s="3">
        <f>'Data Aset'!J190</f>
        <v/>
      </c>
      <c r="H188" s="5">
        <f>'Data Aset'!M190</f>
        <v/>
      </c>
      <c r="I188" s="3">
        <f>'Data Aset'!O190</f>
        <v/>
      </c>
      <c r="J188" s="5" t="n">
        <v>0</v>
      </c>
      <c r="K188" s="3" t="inlineStr">
        <is>
          <t>Garis Lurus</t>
        </is>
      </c>
      <c r="L188" s="5">
        <f>IFERROR(M188/12,"")</f>
        <v/>
      </c>
      <c r="M188" s="5">
        <f>IFERROR((H188-J188)/I188,"")</f>
        <v/>
      </c>
      <c r="N188" s="5">
        <f>IFERROR(M188,"")</f>
        <v/>
      </c>
      <c r="O188" s="5">
        <f>IFERROR(H188-N188,"")</f>
        <v/>
      </c>
      <c r="P188" s="3" t="inlineStr">
        <is>
          <t>Belum dihitung</t>
        </is>
      </c>
      <c r="Q188" s="3" t="n"/>
    </row>
    <row r="189">
      <c r="A189" s="3" t="n">
        <v>188</v>
      </c>
      <c r="B189" s="3" t="inlineStr">
        <is>
          <t>Desember 2025</t>
        </is>
      </c>
      <c r="C189" s="3">
        <f>'Data Aset'!B191</f>
        <v/>
      </c>
      <c r="D189" s="3">
        <f>'Data Aset'!F191</f>
        <v/>
      </c>
      <c r="E189" s="3" t="inlineStr">
        <is>
          <t>Inventaris Ruangan</t>
        </is>
      </c>
      <c r="F189" s="3">
        <f>'Data Aset'!C191</f>
        <v/>
      </c>
      <c r="G189" s="3">
        <f>'Data Aset'!J191</f>
        <v/>
      </c>
      <c r="H189" s="5">
        <f>'Data Aset'!M191</f>
        <v/>
      </c>
      <c r="I189" s="3">
        <f>'Data Aset'!O191</f>
        <v/>
      </c>
      <c r="J189" s="5" t="n">
        <v>0</v>
      </c>
      <c r="K189" s="3" t="inlineStr">
        <is>
          <t>Garis Lurus</t>
        </is>
      </c>
      <c r="L189" s="5">
        <f>IFERROR(M189/12,"")</f>
        <v/>
      </c>
      <c r="M189" s="5">
        <f>IFERROR((H189-J189)/I189,"")</f>
        <v/>
      </c>
      <c r="N189" s="5">
        <f>IFERROR(M189,"")</f>
        <v/>
      </c>
      <c r="O189" s="5">
        <f>IFERROR(H189-N189,"")</f>
        <v/>
      </c>
      <c r="P189" s="3" t="inlineStr">
        <is>
          <t>Belum dihitung</t>
        </is>
      </c>
      <c r="Q189" s="3" t="n"/>
    </row>
    <row r="190">
      <c r="A190" s="3" t="n">
        <v>189</v>
      </c>
      <c r="B190" s="3" t="inlineStr">
        <is>
          <t>Desember 2025</t>
        </is>
      </c>
      <c r="C190" s="3">
        <f>'Data Aset'!B192</f>
        <v/>
      </c>
      <c r="D190" s="3">
        <f>'Data Aset'!F192</f>
        <v/>
      </c>
      <c r="E190" s="3" t="inlineStr">
        <is>
          <t>Inventaris Ruangan</t>
        </is>
      </c>
      <c r="F190" s="3">
        <f>'Data Aset'!C192</f>
        <v/>
      </c>
      <c r="G190" s="3">
        <f>'Data Aset'!J192</f>
        <v/>
      </c>
      <c r="H190" s="5">
        <f>'Data Aset'!M192</f>
        <v/>
      </c>
      <c r="I190" s="3">
        <f>'Data Aset'!O192</f>
        <v/>
      </c>
      <c r="J190" s="5" t="n">
        <v>0</v>
      </c>
      <c r="K190" s="3" t="inlineStr">
        <is>
          <t>Garis Lurus</t>
        </is>
      </c>
      <c r="L190" s="5">
        <f>IFERROR(M190/12,"")</f>
        <v/>
      </c>
      <c r="M190" s="5">
        <f>IFERROR((H190-J190)/I190,"")</f>
        <v/>
      </c>
      <c r="N190" s="5">
        <f>IFERROR(M190,"")</f>
        <v/>
      </c>
      <c r="O190" s="5">
        <f>IFERROR(H190-N190,"")</f>
        <v/>
      </c>
      <c r="P190" s="3" t="inlineStr">
        <is>
          <t>Belum dihitung</t>
        </is>
      </c>
      <c r="Q190" s="3" t="n"/>
    </row>
    <row r="191">
      <c r="A191" s="3" t="n">
        <v>190</v>
      </c>
      <c r="B191" s="3" t="inlineStr">
        <is>
          <t>Desember 2025</t>
        </is>
      </c>
      <c r="C191" s="3">
        <f>'Data Aset'!B193</f>
        <v/>
      </c>
      <c r="D191" s="3">
        <f>'Data Aset'!F193</f>
        <v/>
      </c>
      <c r="E191" s="3" t="inlineStr">
        <is>
          <t>Inventaris Ruangan</t>
        </is>
      </c>
      <c r="F191" s="3">
        <f>'Data Aset'!C193</f>
        <v/>
      </c>
      <c r="G191" s="3">
        <f>'Data Aset'!J193</f>
        <v/>
      </c>
      <c r="H191" s="5">
        <f>'Data Aset'!M193</f>
        <v/>
      </c>
      <c r="I191" s="3">
        <f>'Data Aset'!O193</f>
        <v/>
      </c>
      <c r="J191" s="5" t="n">
        <v>0</v>
      </c>
      <c r="K191" s="3" t="inlineStr">
        <is>
          <t>Garis Lurus</t>
        </is>
      </c>
      <c r="L191" s="5">
        <f>IFERROR(M191/12,"")</f>
        <v/>
      </c>
      <c r="M191" s="5">
        <f>IFERROR((H191-J191)/I191,"")</f>
        <v/>
      </c>
      <c r="N191" s="5">
        <f>IFERROR(M191,"")</f>
        <v/>
      </c>
      <c r="O191" s="5">
        <f>IFERROR(H191-N191,"")</f>
        <v/>
      </c>
      <c r="P191" s="3" t="inlineStr">
        <is>
          <t>Belum dihitung</t>
        </is>
      </c>
      <c r="Q191" s="3" t="n"/>
    </row>
    <row r="192">
      <c r="A192" s="3" t="n">
        <v>191</v>
      </c>
      <c r="B192" s="3" t="inlineStr">
        <is>
          <t>Desember 2025</t>
        </is>
      </c>
      <c r="C192" s="3">
        <f>'Data Aset'!B194</f>
        <v/>
      </c>
      <c r="D192" s="3">
        <f>'Data Aset'!F194</f>
        <v/>
      </c>
      <c r="E192" s="3" t="inlineStr">
        <is>
          <t>Inventaris Ruangan</t>
        </is>
      </c>
      <c r="F192" s="3">
        <f>'Data Aset'!C194</f>
        <v/>
      </c>
      <c r="G192" s="3">
        <f>'Data Aset'!J194</f>
        <v/>
      </c>
      <c r="H192" s="5">
        <f>'Data Aset'!M194</f>
        <v/>
      </c>
      <c r="I192" s="3">
        <f>'Data Aset'!O194</f>
        <v/>
      </c>
      <c r="J192" s="5" t="n">
        <v>0</v>
      </c>
      <c r="K192" s="3" t="inlineStr">
        <is>
          <t>Garis Lurus</t>
        </is>
      </c>
      <c r="L192" s="5">
        <f>IFERROR(M192/12,"")</f>
        <v/>
      </c>
      <c r="M192" s="5">
        <f>IFERROR((H192-J192)/I192,"")</f>
        <v/>
      </c>
      <c r="N192" s="5">
        <f>IFERROR(M192,"")</f>
        <v/>
      </c>
      <c r="O192" s="5">
        <f>IFERROR(H192-N192,"")</f>
        <v/>
      </c>
      <c r="P192" s="3" t="inlineStr">
        <is>
          <t>Belum dihitung</t>
        </is>
      </c>
      <c r="Q192" s="3" t="n"/>
    </row>
    <row r="193">
      <c r="A193" s="3" t="n">
        <v>192</v>
      </c>
      <c r="B193" s="3" t="inlineStr">
        <is>
          <t>Desember 2025</t>
        </is>
      </c>
      <c r="C193" s="3">
        <f>'Data Aset'!B195</f>
        <v/>
      </c>
      <c r="D193" s="3">
        <f>'Data Aset'!F195</f>
        <v/>
      </c>
      <c r="E193" s="3" t="inlineStr">
        <is>
          <t>Inventaris Ruangan</t>
        </is>
      </c>
      <c r="F193" s="3">
        <f>'Data Aset'!C195</f>
        <v/>
      </c>
      <c r="G193" s="3">
        <f>'Data Aset'!J195</f>
        <v/>
      </c>
      <c r="H193" s="5">
        <f>'Data Aset'!M195</f>
        <v/>
      </c>
      <c r="I193" s="3">
        <f>'Data Aset'!O195</f>
        <v/>
      </c>
      <c r="J193" s="5" t="n">
        <v>0</v>
      </c>
      <c r="K193" s="3" t="inlineStr">
        <is>
          <t>Garis Lurus</t>
        </is>
      </c>
      <c r="L193" s="5">
        <f>IFERROR(M193/12,"")</f>
        <v/>
      </c>
      <c r="M193" s="5">
        <f>IFERROR((H193-J193)/I193,"")</f>
        <v/>
      </c>
      <c r="N193" s="5">
        <f>IFERROR(M193,"")</f>
        <v/>
      </c>
      <c r="O193" s="5">
        <f>IFERROR(H193-N193,"")</f>
        <v/>
      </c>
      <c r="P193" s="3" t="inlineStr">
        <is>
          <t>Belum dihitung</t>
        </is>
      </c>
      <c r="Q193" s="3" t="n"/>
    </row>
    <row r="194">
      <c r="A194" s="3" t="n">
        <v>193</v>
      </c>
      <c r="B194" s="3" t="inlineStr">
        <is>
          <t>Desember 2025</t>
        </is>
      </c>
      <c r="C194" s="3">
        <f>'Data Aset'!B196</f>
        <v/>
      </c>
      <c r="D194" s="3">
        <f>'Data Aset'!F196</f>
        <v/>
      </c>
      <c r="E194" s="3" t="inlineStr">
        <is>
          <t>Inventaris Ruangan</t>
        </is>
      </c>
      <c r="F194" s="3">
        <f>'Data Aset'!C196</f>
        <v/>
      </c>
      <c r="G194" s="3">
        <f>'Data Aset'!J196</f>
        <v/>
      </c>
      <c r="H194" s="5">
        <f>'Data Aset'!M196</f>
        <v/>
      </c>
      <c r="I194" s="3">
        <f>'Data Aset'!O196</f>
        <v/>
      </c>
      <c r="J194" s="5" t="n">
        <v>0</v>
      </c>
      <c r="K194" s="3" t="inlineStr">
        <is>
          <t>Garis Lurus</t>
        </is>
      </c>
      <c r="L194" s="5">
        <f>IFERROR(M194/12,"")</f>
        <v/>
      </c>
      <c r="M194" s="5">
        <f>IFERROR((H194-J194)/I194,"")</f>
        <v/>
      </c>
      <c r="N194" s="5">
        <f>IFERROR(M194,"")</f>
        <v/>
      </c>
      <c r="O194" s="5">
        <f>IFERROR(H194-N194,"")</f>
        <v/>
      </c>
      <c r="P194" s="3" t="inlineStr">
        <is>
          <t>Belum dihitung</t>
        </is>
      </c>
      <c r="Q194" s="3" t="n"/>
    </row>
    <row r="195">
      <c r="A195" s="3" t="n">
        <v>194</v>
      </c>
      <c r="B195" s="3" t="inlineStr">
        <is>
          <t>Desember 2025</t>
        </is>
      </c>
      <c r="C195" s="3">
        <f>'Data Aset'!B197</f>
        <v/>
      </c>
      <c r="D195" s="3">
        <f>'Data Aset'!F197</f>
        <v/>
      </c>
      <c r="E195" s="3" t="inlineStr">
        <is>
          <t>Inventaris Ruangan</t>
        </is>
      </c>
      <c r="F195" s="3">
        <f>'Data Aset'!C197</f>
        <v/>
      </c>
      <c r="G195" s="3">
        <f>'Data Aset'!J197</f>
        <v/>
      </c>
      <c r="H195" s="5">
        <f>'Data Aset'!M197</f>
        <v/>
      </c>
      <c r="I195" s="3">
        <f>'Data Aset'!O197</f>
        <v/>
      </c>
      <c r="J195" s="5" t="n">
        <v>0</v>
      </c>
      <c r="K195" s="3" t="inlineStr">
        <is>
          <t>Garis Lurus</t>
        </is>
      </c>
      <c r="L195" s="5">
        <f>IFERROR(M195/12,"")</f>
        <v/>
      </c>
      <c r="M195" s="5">
        <f>IFERROR((H195-J195)/I195,"")</f>
        <v/>
      </c>
      <c r="N195" s="5">
        <f>IFERROR(M195,"")</f>
        <v/>
      </c>
      <c r="O195" s="5">
        <f>IFERROR(H195-N195,"")</f>
        <v/>
      </c>
      <c r="P195" s="3" t="inlineStr">
        <is>
          <t>Belum dihitung</t>
        </is>
      </c>
      <c r="Q195" s="3" t="n"/>
    </row>
    <row r="196">
      <c r="A196" s="3" t="n">
        <v>195</v>
      </c>
      <c r="B196" s="3" t="inlineStr">
        <is>
          <t>Desember 2025</t>
        </is>
      </c>
      <c r="C196" s="3">
        <f>'Data Aset'!B198</f>
        <v/>
      </c>
      <c r="D196" s="3">
        <f>'Data Aset'!F198</f>
        <v/>
      </c>
      <c r="E196" s="3" t="inlineStr">
        <is>
          <t>Inventaris Ruangan</t>
        </is>
      </c>
      <c r="F196" s="3">
        <f>'Data Aset'!C198</f>
        <v/>
      </c>
      <c r="G196" s="3">
        <f>'Data Aset'!J198</f>
        <v/>
      </c>
      <c r="H196" s="5">
        <f>'Data Aset'!M198</f>
        <v/>
      </c>
      <c r="I196" s="3">
        <f>'Data Aset'!O198</f>
        <v/>
      </c>
      <c r="J196" s="5" t="n">
        <v>0</v>
      </c>
      <c r="K196" s="3" t="inlineStr">
        <is>
          <t>Garis Lurus</t>
        </is>
      </c>
      <c r="L196" s="5">
        <f>IFERROR(M196/12,"")</f>
        <v/>
      </c>
      <c r="M196" s="5">
        <f>IFERROR((H196-J196)/I196,"")</f>
        <v/>
      </c>
      <c r="N196" s="5">
        <f>IFERROR(M196,"")</f>
        <v/>
      </c>
      <c r="O196" s="5">
        <f>IFERROR(H196-N196,"")</f>
        <v/>
      </c>
      <c r="P196" s="3" t="inlineStr">
        <is>
          <t>Belum dihitung</t>
        </is>
      </c>
      <c r="Q196" s="3" t="n"/>
    </row>
    <row r="197">
      <c r="A197" s="3" t="n">
        <v>196</v>
      </c>
      <c r="B197" s="3" t="inlineStr">
        <is>
          <t>Desember 2025</t>
        </is>
      </c>
      <c r="C197" s="3">
        <f>'Data Aset'!B199</f>
        <v/>
      </c>
      <c r="D197" s="3">
        <f>'Data Aset'!F199</f>
        <v/>
      </c>
      <c r="E197" s="3" t="inlineStr">
        <is>
          <t>Inventaris Ruangan</t>
        </is>
      </c>
      <c r="F197" s="3">
        <f>'Data Aset'!C199</f>
        <v/>
      </c>
      <c r="G197" s="3">
        <f>'Data Aset'!J199</f>
        <v/>
      </c>
      <c r="H197" s="5">
        <f>'Data Aset'!M199</f>
        <v/>
      </c>
      <c r="I197" s="3">
        <f>'Data Aset'!O199</f>
        <v/>
      </c>
      <c r="J197" s="5" t="n">
        <v>0</v>
      </c>
      <c r="K197" s="3" t="inlineStr">
        <is>
          <t>Garis Lurus</t>
        </is>
      </c>
      <c r="L197" s="5">
        <f>IFERROR(M197/12,"")</f>
        <v/>
      </c>
      <c r="M197" s="5">
        <f>IFERROR((H197-J197)/I197,"")</f>
        <v/>
      </c>
      <c r="N197" s="5">
        <f>IFERROR(M197,"")</f>
        <v/>
      </c>
      <c r="O197" s="5">
        <f>IFERROR(H197-N197,"")</f>
        <v/>
      </c>
      <c r="P197" s="3" t="inlineStr">
        <is>
          <t>Belum dihitung</t>
        </is>
      </c>
      <c r="Q197" s="3" t="n"/>
    </row>
    <row r="198">
      <c r="A198" s="3" t="n">
        <v>197</v>
      </c>
      <c r="B198" s="3" t="inlineStr">
        <is>
          <t>Desember 2025</t>
        </is>
      </c>
      <c r="C198" s="3">
        <f>'Data Aset'!B200</f>
        <v/>
      </c>
      <c r="D198" s="3">
        <f>'Data Aset'!F200</f>
        <v/>
      </c>
      <c r="E198" s="3" t="inlineStr">
        <is>
          <t>Inventaris Ruangan</t>
        </is>
      </c>
      <c r="F198" s="3">
        <f>'Data Aset'!C200</f>
        <v/>
      </c>
      <c r="G198" s="3">
        <f>'Data Aset'!J200</f>
        <v/>
      </c>
      <c r="H198" s="5">
        <f>'Data Aset'!M200</f>
        <v/>
      </c>
      <c r="I198" s="3">
        <f>'Data Aset'!O200</f>
        <v/>
      </c>
      <c r="J198" s="5" t="n">
        <v>0</v>
      </c>
      <c r="K198" s="3" t="inlineStr">
        <is>
          <t>Garis Lurus</t>
        </is>
      </c>
      <c r="L198" s="5">
        <f>IFERROR(M198/12,"")</f>
        <v/>
      </c>
      <c r="M198" s="5">
        <f>IFERROR((H198-J198)/I198,"")</f>
        <v/>
      </c>
      <c r="N198" s="5">
        <f>IFERROR(M198,"")</f>
        <v/>
      </c>
      <c r="O198" s="5">
        <f>IFERROR(H198-N198,"")</f>
        <v/>
      </c>
      <c r="P198" s="3" t="inlineStr">
        <is>
          <t>Belum dihitung</t>
        </is>
      </c>
      <c r="Q198" s="3" t="n"/>
    </row>
    <row r="199">
      <c r="A199" s="3" t="n">
        <v>198</v>
      </c>
      <c r="B199" s="3" t="inlineStr">
        <is>
          <t>Desember 2025</t>
        </is>
      </c>
      <c r="C199" s="3">
        <f>'Data Aset'!B201</f>
        <v/>
      </c>
      <c r="D199" s="3">
        <f>'Data Aset'!F201</f>
        <v/>
      </c>
      <c r="E199" s="3" t="inlineStr">
        <is>
          <t>Inventaris Ruangan</t>
        </is>
      </c>
      <c r="F199" s="3">
        <f>'Data Aset'!C201</f>
        <v/>
      </c>
      <c r="G199" s="3">
        <f>'Data Aset'!J201</f>
        <v/>
      </c>
      <c r="H199" s="5">
        <f>'Data Aset'!M201</f>
        <v/>
      </c>
      <c r="I199" s="3">
        <f>'Data Aset'!O201</f>
        <v/>
      </c>
      <c r="J199" s="5" t="n">
        <v>0</v>
      </c>
      <c r="K199" s="3" t="inlineStr">
        <is>
          <t>Garis Lurus</t>
        </is>
      </c>
      <c r="L199" s="5">
        <f>IFERROR(M199/12,"")</f>
        <v/>
      </c>
      <c r="M199" s="5">
        <f>IFERROR((H199-J199)/I199,"")</f>
        <v/>
      </c>
      <c r="N199" s="5">
        <f>IFERROR(M199,"")</f>
        <v/>
      </c>
      <c r="O199" s="5">
        <f>IFERROR(H199-N199,"")</f>
        <v/>
      </c>
      <c r="P199" s="3" t="inlineStr">
        <is>
          <t>Belum dihitung</t>
        </is>
      </c>
      <c r="Q199" s="3" t="n"/>
    </row>
    <row r="200">
      <c r="A200" s="3" t="n">
        <v>199</v>
      </c>
      <c r="B200" s="3" t="inlineStr">
        <is>
          <t>Desember 2025</t>
        </is>
      </c>
      <c r="C200" s="3">
        <f>'Data Aset'!B202</f>
        <v/>
      </c>
      <c r="D200" s="3">
        <f>'Data Aset'!F202</f>
        <v/>
      </c>
      <c r="E200" s="3" t="inlineStr">
        <is>
          <t>Inventaris Ruangan</t>
        </is>
      </c>
      <c r="F200" s="3">
        <f>'Data Aset'!C202</f>
        <v/>
      </c>
      <c r="G200" s="3">
        <f>'Data Aset'!J202</f>
        <v/>
      </c>
      <c r="H200" s="5">
        <f>'Data Aset'!M202</f>
        <v/>
      </c>
      <c r="I200" s="3">
        <f>'Data Aset'!O202</f>
        <v/>
      </c>
      <c r="J200" s="5" t="n">
        <v>0</v>
      </c>
      <c r="K200" s="3" t="inlineStr">
        <is>
          <t>Garis Lurus</t>
        </is>
      </c>
      <c r="L200" s="5">
        <f>IFERROR(M200/12,"")</f>
        <v/>
      </c>
      <c r="M200" s="5">
        <f>IFERROR((H200-J200)/I200,"")</f>
        <v/>
      </c>
      <c r="N200" s="5">
        <f>IFERROR(M200,"")</f>
        <v/>
      </c>
      <c r="O200" s="5">
        <f>IFERROR(H200-N200,"")</f>
        <v/>
      </c>
      <c r="P200" s="3" t="inlineStr">
        <is>
          <t>Belum dihitung</t>
        </is>
      </c>
      <c r="Q200" s="3" t="n"/>
    </row>
    <row r="201">
      <c r="A201" s="3" t="n">
        <v>200</v>
      </c>
      <c r="B201" s="3" t="inlineStr">
        <is>
          <t>Desember 2025</t>
        </is>
      </c>
      <c r="C201" s="3">
        <f>'Data Aset'!B203</f>
        <v/>
      </c>
      <c r="D201" s="3">
        <f>'Data Aset'!F203</f>
        <v/>
      </c>
      <c r="E201" s="3" t="inlineStr">
        <is>
          <t>Inventaris Ruangan</t>
        </is>
      </c>
      <c r="F201" s="3">
        <f>'Data Aset'!C203</f>
        <v/>
      </c>
      <c r="G201" s="3">
        <f>'Data Aset'!J203</f>
        <v/>
      </c>
      <c r="H201" s="5">
        <f>'Data Aset'!M203</f>
        <v/>
      </c>
      <c r="I201" s="3">
        <f>'Data Aset'!O203</f>
        <v/>
      </c>
      <c r="J201" s="5" t="n">
        <v>0</v>
      </c>
      <c r="K201" s="3" t="inlineStr">
        <is>
          <t>Garis Lurus</t>
        </is>
      </c>
      <c r="L201" s="5">
        <f>IFERROR(M201/12,"")</f>
        <v/>
      </c>
      <c r="M201" s="5">
        <f>IFERROR((H201-J201)/I201,"")</f>
        <v/>
      </c>
      <c r="N201" s="5">
        <f>IFERROR(M201,"")</f>
        <v/>
      </c>
      <c r="O201" s="5">
        <f>IFERROR(H201-N201,"")</f>
        <v/>
      </c>
      <c r="P201" s="3" t="inlineStr">
        <is>
          <t>Belum dihitung</t>
        </is>
      </c>
      <c r="Q201" s="3" t="n"/>
    </row>
    <row r="202">
      <c r="A202" s="3" t="n">
        <v>201</v>
      </c>
      <c r="B202" s="3" t="inlineStr">
        <is>
          <t>Desember 2025</t>
        </is>
      </c>
      <c r="C202" s="3">
        <f>'Data Aset'!B204</f>
        <v/>
      </c>
      <c r="D202" s="3">
        <f>'Data Aset'!F204</f>
        <v/>
      </c>
      <c r="E202" s="3" t="inlineStr">
        <is>
          <t>Inventaris Ruangan</t>
        </is>
      </c>
      <c r="F202" s="3">
        <f>'Data Aset'!C204</f>
        <v/>
      </c>
      <c r="G202" s="3">
        <f>'Data Aset'!J204</f>
        <v/>
      </c>
      <c r="H202" s="5">
        <f>'Data Aset'!M204</f>
        <v/>
      </c>
      <c r="I202" s="3">
        <f>'Data Aset'!O204</f>
        <v/>
      </c>
      <c r="J202" s="5" t="n">
        <v>0</v>
      </c>
      <c r="K202" s="3" t="inlineStr">
        <is>
          <t>Garis Lurus</t>
        </is>
      </c>
      <c r="L202" s="5">
        <f>IFERROR(M202/12,"")</f>
        <v/>
      </c>
      <c r="M202" s="5">
        <f>IFERROR((H202-J202)/I202,"")</f>
        <v/>
      </c>
      <c r="N202" s="5">
        <f>IFERROR(M202,"")</f>
        <v/>
      </c>
      <c r="O202" s="5">
        <f>IFERROR(H202-N202,"")</f>
        <v/>
      </c>
      <c r="P202" s="3" t="inlineStr">
        <is>
          <t>Belum dihitung</t>
        </is>
      </c>
      <c r="Q202" s="3" t="n"/>
    </row>
    <row r="203">
      <c r="A203" s="3" t="n">
        <v>202</v>
      </c>
      <c r="B203" s="3" t="inlineStr">
        <is>
          <t>Desember 2025</t>
        </is>
      </c>
      <c r="C203" s="3">
        <f>'Data Aset'!B205</f>
        <v/>
      </c>
      <c r="D203" s="3">
        <f>'Data Aset'!F205</f>
        <v/>
      </c>
      <c r="E203" s="3" t="inlineStr">
        <is>
          <t>Inventaris Ruangan</t>
        </is>
      </c>
      <c r="F203" s="3">
        <f>'Data Aset'!C205</f>
        <v/>
      </c>
      <c r="G203" s="3">
        <f>'Data Aset'!J205</f>
        <v/>
      </c>
      <c r="H203" s="5">
        <f>'Data Aset'!M205</f>
        <v/>
      </c>
      <c r="I203" s="3">
        <f>'Data Aset'!O205</f>
        <v/>
      </c>
      <c r="J203" s="5" t="n">
        <v>0</v>
      </c>
      <c r="K203" s="3" t="inlineStr">
        <is>
          <t>Garis Lurus</t>
        </is>
      </c>
      <c r="L203" s="5">
        <f>IFERROR(M203/12,"")</f>
        <v/>
      </c>
      <c r="M203" s="5">
        <f>IFERROR((H203-J203)/I203,"")</f>
        <v/>
      </c>
      <c r="N203" s="5">
        <f>IFERROR(M203,"")</f>
        <v/>
      </c>
      <c r="O203" s="5">
        <f>IFERROR(H203-N203,"")</f>
        <v/>
      </c>
      <c r="P203" s="3" t="inlineStr">
        <is>
          <t>Belum dihitung</t>
        </is>
      </c>
      <c r="Q203" s="3" t="n"/>
    </row>
    <row r="204">
      <c r="A204" s="3" t="n">
        <v>203</v>
      </c>
      <c r="B204" s="3" t="inlineStr">
        <is>
          <t>Desember 2025</t>
        </is>
      </c>
      <c r="C204" s="3">
        <f>'Data Aset'!B206</f>
        <v/>
      </c>
      <c r="D204" s="3">
        <f>'Data Aset'!F206</f>
        <v/>
      </c>
      <c r="E204" s="3" t="inlineStr">
        <is>
          <t>Inventaris Ruangan</t>
        </is>
      </c>
      <c r="F204" s="3">
        <f>'Data Aset'!C206</f>
        <v/>
      </c>
      <c r="G204" s="3">
        <f>'Data Aset'!J206</f>
        <v/>
      </c>
      <c r="H204" s="5">
        <f>'Data Aset'!M206</f>
        <v/>
      </c>
      <c r="I204" s="3">
        <f>'Data Aset'!O206</f>
        <v/>
      </c>
      <c r="J204" s="5" t="n">
        <v>0</v>
      </c>
      <c r="K204" s="3" t="inlineStr">
        <is>
          <t>Garis Lurus</t>
        </is>
      </c>
      <c r="L204" s="5">
        <f>IFERROR(M204/12,"")</f>
        <v/>
      </c>
      <c r="M204" s="5">
        <f>IFERROR((H204-J204)/I204,"")</f>
        <v/>
      </c>
      <c r="N204" s="5">
        <f>IFERROR(M204,"")</f>
        <v/>
      </c>
      <c r="O204" s="5">
        <f>IFERROR(H204-N204,"")</f>
        <v/>
      </c>
      <c r="P204" s="3" t="inlineStr">
        <is>
          <t>Belum dihitung</t>
        </is>
      </c>
      <c r="Q204" s="3" t="n"/>
    </row>
    <row r="205">
      <c r="A205" s="3" t="n">
        <v>204</v>
      </c>
      <c r="B205" s="3" t="inlineStr">
        <is>
          <t>Desember 2025</t>
        </is>
      </c>
      <c r="C205" s="3">
        <f>'Data Aset'!B207</f>
        <v/>
      </c>
      <c r="D205" s="3">
        <f>'Data Aset'!F207</f>
        <v/>
      </c>
      <c r="E205" s="3" t="inlineStr">
        <is>
          <t>Inventaris Ruangan</t>
        </is>
      </c>
      <c r="F205" s="3">
        <f>'Data Aset'!C207</f>
        <v/>
      </c>
      <c r="G205" s="3">
        <f>'Data Aset'!J207</f>
        <v/>
      </c>
      <c r="H205" s="5">
        <f>'Data Aset'!M207</f>
        <v/>
      </c>
      <c r="I205" s="3">
        <f>'Data Aset'!O207</f>
        <v/>
      </c>
      <c r="J205" s="5" t="n">
        <v>0</v>
      </c>
      <c r="K205" s="3" t="inlineStr">
        <is>
          <t>Garis Lurus</t>
        </is>
      </c>
      <c r="L205" s="5">
        <f>IFERROR(M205/12,"")</f>
        <v/>
      </c>
      <c r="M205" s="5">
        <f>IFERROR((H205-J205)/I205,"")</f>
        <v/>
      </c>
      <c r="N205" s="5">
        <f>IFERROR(M205,"")</f>
        <v/>
      </c>
      <c r="O205" s="5">
        <f>IFERROR(H205-N205,"")</f>
        <v/>
      </c>
      <c r="P205" s="3" t="inlineStr">
        <is>
          <t>Belum dihitung</t>
        </is>
      </c>
      <c r="Q205" s="3" t="n"/>
    </row>
    <row r="206">
      <c r="A206" s="3" t="n">
        <v>205</v>
      </c>
      <c r="B206" s="3" t="inlineStr">
        <is>
          <t>Desember 2025</t>
        </is>
      </c>
      <c r="C206" s="3">
        <f>'Data Aset'!B208</f>
        <v/>
      </c>
      <c r="D206" s="3">
        <f>'Data Aset'!F208</f>
        <v/>
      </c>
      <c r="E206" s="3" t="inlineStr">
        <is>
          <t>Inventaris Ruangan</t>
        </is>
      </c>
      <c r="F206" s="3">
        <f>'Data Aset'!C208</f>
        <v/>
      </c>
      <c r="G206" s="3">
        <f>'Data Aset'!J208</f>
        <v/>
      </c>
      <c r="H206" s="5">
        <f>'Data Aset'!M208</f>
        <v/>
      </c>
      <c r="I206" s="3">
        <f>'Data Aset'!O208</f>
        <v/>
      </c>
      <c r="J206" s="5" t="n">
        <v>0</v>
      </c>
      <c r="K206" s="3" t="inlineStr">
        <is>
          <t>Garis Lurus</t>
        </is>
      </c>
      <c r="L206" s="5">
        <f>IFERROR(M206/12,"")</f>
        <v/>
      </c>
      <c r="M206" s="5">
        <f>IFERROR((H206-J206)/I206,"")</f>
        <v/>
      </c>
      <c r="N206" s="5">
        <f>IFERROR(M206,"")</f>
        <v/>
      </c>
      <c r="O206" s="5">
        <f>IFERROR(H206-N206,"")</f>
        <v/>
      </c>
      <c r="P206" s="3" t="inlineStr">
        <is>
          <t>Belum dihitung</t>
        </is>
      </c>
      <c r="Q206" s="3" t="n"/>
    </row>
    <row r="207">
      <c r="A207" s="3" t="n">
        <v>206</v>
      </c>
      <c r="B207" s="3" t="inlineStr">
        <is>
          <t>Desember 2025</t>
        </is>
      </c>
      <c r="C207" s="3">
        <f>'Data Aset'!B209</f>
        <v/>
      </c>
      <c r="D207" s="3">
        <f>'Data Aset'!F209</f>
        <v/>
      </c>
      <c r="E207" s="3" t="inlineStr">
        <is>
          <t>Inventaris Ruangan</t>
        </is>
      </c>
      <c r="F207" s="3">
        <f>'Data Aset'!C209</f>
        <v/>
      </c>
      <c r="G207" s="3">
        <f>'Data Aset'!J209</f>
        <v/>
      </c>
      <c r="H207" s="5">
        <f>'Data Aset'!M209</f>
        <v/>
      </c>
      <c r="I207" s="3">
        <f>'Data Aset'!O209</f>
        <v/>
      </c>
      <c r="J207" s="5" t="n">
        <v>0</v>
      </c>
      <c r="K207" s="3" t="inlineStr">
        <is>
          <t>Garis Lurus</t>
        </is>
      </c>
      <c r="L207" s="5">
        <f>IFERROR(M207/12,"")</f>
        <v/>
      </c>
      <c r="M207" s="5">
        <f>IFERROR((H207-J207)/I207,"")</f>
        <v/>
      </c>
      <c r="N207" s="5">
        <f>IFERROR(M207,"")</f>
        <v/>
      </c>
      <c r="O207" s="5">
        <f>IFERROR(H207-N207,"")</f>
        <v/>
      </c>
      <c r="P207" s="3" t="inlineStr">
        <is>
          <t>Belum dihitung</t>
        </is>
      </c>
      <c r="Q207" s="3" t="n"/>
    </row>
    <row r="208">
      <c r="A208" s="3" t="n">
        <v>207</v>
      </c>
      <c r="B208" s="3" t="inlineStr">
        <is>
          <t>Desember 2025</t>
        </is>
      </c>
      <c r="C208" s="3">
        <f>'Data Aset'!B210</f>
        <v/>
      </c>
      <c r="D208" s="3">
        <f>'Data Aset'!F210</f>
        <v/>
      </c>
      <c r="E208" s="3" t="inlineStr">
        <is>
          <t>Inventaris Ruangan</t>
        </is>
      </c>
      <c r="F208" s="3">
        <f>'Data Aset'!C210</f>
        <v/>
      </c>
      <c r="G208" s="3">
        <f>'Data Aset'!J210</f>
        <v/>
      </c>
      <c r="H208" s="5">
        <f>'Data Aset'!M210</f>
        <v/>
      </c>
      <c r="I208" s="3">
        <f>'Data Aset'!O210</f>
        <v/>
      </c>
      <c r="J208" s="5" t="n">
        <v>0</v>
      </c>
      <c r="K208" s="3" t="inlineStr">
        <is>
          <t>Garis Lurus</t>
        </is>
      </c>
      <c r="L208" s="5">
        <f>IFERROR(M208/12,"")</f>
        <v/>
      </c>
      <c r="M208" s="5">
        <f>IFERROR((H208-J208)/I208,"")</f>
        <v/>
      </c>
      <c r="N208" s="5">
        <f>IFERROR(M208,"")</f>
        <v/>
      </c>
      <c r="O208" s="5">
        <f>IFERROR(H208-N208,"")</f>
        <v/>
      </c>
      <c r="P208" s="3" t="inlineStr">
        <is>
          <t>Belum dihitung</t>
        </is>
      </c>
      <c r="Q208" s="3" t="n"/>
    </row>
    <row r="209">
      <c r="A209" s="3" t="n">
        <v>208</v>
      </c>
      <c r="B209" s="3" t="inlineStr">
        <is>
          <t>Desember 2025</t>
        </is>
      </c>
      <c r="C209" s="3">
        <f>'Data Aset'!B211</f>
        <v/>
      </c>
      <c r="D209" s="3">
        <f>'Data Aset'!F211</f>
        <v/>
      </c>
      <c r="E209" s="3" t="inlineStr">
        <is>
          <t>Inventaris Ruangan</t>
        </is>
      </c>
      <c r="F209" s="3">
        <f>'Data Aset'!C211</f>
        <v/>
      </c>
      <c r="G209" s="3">
        <f>'Data Aset'!J211</f>
        <v/>
      </c>
      <c r="H209" s="5">
        <f>'Data Aset'!M211</f>
        <v/>
      </c>
      <c r="I209" s="3">
        <f>'Data Aset'!O211</f>
        <v/>
      </c>
      <c r="J209" s="5" t="n">
        <v>0</v>
      </c>
      <c r="K209" s="3" t="inlineStr">
        <is>
          <t>Garis Lurus</t>
        </is>
      </c>
      <c r="L209" s="5">
        <f>IFERROR(M209/12,"")</f>
        <v/>
      </c>
      <c r="M209" s="5">
        <f>IFERROR((H209-J209)/I209,"")</f>
        <v/>
      </c>
      <c r="N209" s="5">
        <f>IFERROR(M209,"")</f>
        <v/>
      </c>
      <c r="O209" s="5">
        <f>IFERROR(H209-N209,"")</f>
        <v/>
      </c>
      <c r="P209" s="3" t="inlineStr">
        <is>
          <t>Belum dihitung</t>
        </is>
      </c>
      <c r="Q209" s="3" t="n"/>
    </row>
    <row r="210">
      <c r="A210" s="3" t="n">
        <v>209</v>
      </c>
      <c r="B210" s="3" t="inlineStr">
        <is>
          <t>Desember 2025</t>
        </is>
      </c>
      <c r="C210" s="3">
        <f>'Data Aset'!B212</f>
        <v/>
      </c>
      <c r="D210" s="3">
        <f>'Data Aset'!F212</f>
        <v/>
      </c>
      <c r="E210" s="3" t="inlineStr">
        <is>
          <t>Inventaris Ruangan</t>
        </is>
      </c>
      <c r="F210" s="3">
        <f>'Data Aset'!C212</f>
        <v/>
      </c>
      <c r="G210" s="3">
        <f>'Data Aset'!J212</f>
        <v/>
      </c>
      <c r="H210" s="5">
        <f>'Data Aset'!M212</f>
        <v/>
      </c>
      <c r="I210" s="3">
        <f>'Data Aset'!O212</f>
        <v/>
      </c>
      <c r="J210" s="5" t="n">
        <v>0</v>
      </c>
      <c r="K210" s="3" t="inlineStr">
        <is>
          <t>Garis Lurus</t>
        </is>
      </c>
      <c r="L210" s="5">
        <f>IFERROR(M210/12,"")</f>
        <v/>
      </c>
      <c r="M210" s="5">
        <f>IFERROR((H210-J210)/I210,"")</f>
        <v/>
      </c>
      <c r="N210" s="5">
        <f>IFERROR(M210,"")</f>
        <v/>
      </c>
      <c r="O210" s="5">
        <f>IFERROR(H210-N210,"")</f>
        <v/>
      </c>
      <c r="P210" s="3" t="inlineStr">
        <is>
          <t>Belum dihitung</t>
        </is>
      </c>
      <c r="Q210" s="3" t="n"/>
    </row>
    <row r="211">
      <c r="A211" s="3" t="n">
        <v>210</v>
      </c>
      <c r="B211" s="3" t="inlineStr">
        <is>
          <t>Desember 2025</t>
        </is>
      </c>
      <c r="C211" s="3">
        <f>'Data Aset'!B213</f>
        <v/>
      </c>
      <c r="D211" s="3">
        <f>'Data Aset'!F213</f>
        <v/>
      </c>
      <c r="E211" s="3" t="inlineStr">
        <is>
          <t>Inventaris Ruangan</t>
        </is>
      </c>
      <c r="F211" s="3">
        <f>'Data Aset'!C213</f>
        <v/>
      </c>
      <c r="G211" s="3">
        <f>'Data Aset'!J213</f>
        <v/>
      </c>
      <c r="H211" s="5">
        <f>'Data Aset'!M213</f>
        <v/>
      </c>
      <c r="I211" s="3">
        <f>'Data Aset'!O213</f>
        <v/>
      </c>
      <c r="J211" s="5" t="n">
        <v>0</v>
      </c>
      <c r="K211" s="3" t="inlineStr">
        <is>
          <t>Garis Lurus</t>
        </is>
      </c>
      <c r="L211" s="5">
        <f>IFERROR(M211/12,"")</f>
        <v/>
      </c>
      <c r="M211" s="5">
        <f>IFERROR((H211-J211)/I211,"")</f>
        <v/>
      </c>
      <c r="N211" s="5">
        <f>IFERROR(M211,"")</f>
        <v/>
      </c>
      <c r="O211" s="5">
        <f>IFERROR(H211-N211,"")</f>
        <v/>
      </c>
      <c r="P211" s="3" t="inlineStr">
        <is>
          <t>Belum dihitung</t>
        </is>
      </c>
      <c r="Q211" s="3" t="n"/>
    </row>
    <row r="212">
      <c r="A212" s="3" t="n">
        <v>211</v>
      </c>
      <c r="B212" s="3" t="inlineStr">
        <is>
          <t>Desember 2025</t>
        </is>
      </c>
      <c r="C212" s="3">
        <f>'Data Aset'!B214</f>
        <v/>
      </c>
      <c r="D212" s="3">
        <f>'Data Aset'!F214</f>
        <v/>
      </c>
      <c r="E212" s="3" t="inlineStr">
        <is>
          <t>Inventaris Ruangan</t>
        </is>
      </c>
      <c r="F212" s="3">
        <f>'Data Aset'!C214</f>
        <v/>
      </c>
      <c r="G212" s="3">
        <f>'Data Aset'!J214</f>
        <v/>
      </c>
      <c r="H212" s="5">
        <f>'Data Aset'!M214</f>
        <v/>
      </c>
      <c r="I212" s="3">
        <f>'Data Aset'!O214</f>
        <v/>
      </c>
      <c r="J212" s="5" t="n">
        <v>0</v>
      </c>
      <c r="K212" s="3" t="inlineStr">
        <is>
          <t>Garis Lurus</t>
        </is>
      </c>
      <c r="L212" s="5">
        <f>IFERROR(M212/12,"")</f>
        <v/>
      </c>
      <c r="M212" s="5">
        <f>IFERROR((H212-J212)/I212,"")</f>
        <v/>
      </c>
      <c r="N212" s="5">
        <f>IFERROR(M212,"")</f>
        <v/>
      </c>
      <c r="O212" s="5">
        <f>IFERROR(H212-N212,"")</f>
        <v/>
      </c>
      <c r="P212" s="3" t="inlineStr">
        <is>
          <t>Belum dihitung</t>
        </is>
      </c>
      <c r="Q212" s="3" t="n"/>
    </row>
    <row r="213">
      <c r="A213" s="3" t="n">
        <v>212</v>
      </c>
      <c r="B213" s="3" t="inlineStr">
        <is>
          <t>Desember 2025</t>
        </is>
      </c>
      <c r="C213" s="3">
        <f>'Data Aset'!B215</f>
        <v/>
      </c>
      <c r="D213" s="3">
        <f>'Data Aset'!F215</f>
        <v/>
      </c>
      <c r="E213" s="3" t="inlineStr">
        <is>
          <t>Inventaris Ruangan</t>
        </is>
      </c>
      <c r="F213" s="3">
        <f>'Data Aset'!C215</f>
        <v/>
      </c>
      <c r="G213" s="3">
        <f>'Data Aset'!J215</f>
        <v/>
      </c>
      <c r="H213" s="5">
        <f>'Data Aset'!M215</f>
        <v/>
      </c>
      <c r="I213" s="3">
        <f>'Data Aset'!O215</f>
        <v/>
      </c>
      <c r="J213" s="5" t="n">
        <v>0</v>
      </c>
      <c r="K213" s="3" t="inlineStr">
        <is>
          <t>Garis Lurus</t>
        </is>
      </c>
      <c r="L213" s="5">
        <f>IFERROR(M213/12,"")</f>
        <v/>
      </c>
      <c r="M213" s="5">
        <f>IFERROR((H213-J213)/I213,"")</f>
        <v/>
      </c>
      <c r="N213" s="5">
        <f>IFERROR(M213,"")</f>
        <v/>
      </c>
      <c r="O213" s="5">
        <f>IFERROR(H213-N213,"")</f>
        <v/>
      </c>
      <c r="P213" s="3" t="inlineStr">
        <is>
          <t>Belum dihitung</t>
        </is>
      </c>
      <c r="Q213" s="3" t="n"/>
    </row>
    <row r="214">
      <c r="A214" s="3" t="n">
        <v>213</v>
      </c>
      <c r="B214" s="3" t="inlineStr">
        <is>
          <t>Desember 2025</t>
        </is>
      </c>
      <c r="C214" s="3">
        <f>'Data Aset'!B216</f>
        <v/>
      </c>
      <c r="D214" s="3">
        <f>'Data Aset'!F216</f>
        <v/>
      </c>
      <c r="E214" s="3" t="inlineStr">
        <is>
          <t>Inventaris Ruangan</t>
        </is>
      </c>
      <c r="F214" s="3">
        <f>'Data Aset'!C216</f>
        <v/>
      </c>
      <c r="G214" s="3">
        <f>'Data Aset'!J216</f>
        <v/>
      </c>
      <c r="H214" s="5">
        <f>'Data Aset'!M216</f>
        <v/>
      </c>
      <c r="I214" s="3">
        <f>'Data Aset'!O216</f>
        <v/>
      </c>
      <c r="J214" s="5" t="n">
        <v>0</v>
      </c>
      <c r="K214" s="3" t="inlineStr">
        <is>
          <t>Garis Lurus</t>
        </is>
      </c>
      <c r="L214" s="5">
        <f>IFERROR(M214/12,"")</f>
        <v/>
      </c>
      <c r="M214" s="5">
        <f>IFERROR((H214-J214)/I214,"")</f>
        <v/>
      </c>
      <c r="N214" s="5">
        <f>IFERROR(M214,"")</f>
        <v/>
      </c>
      <c r="O214" s="5">
        <f>IFERROR(H214-N214,"")</f>
        <v/>
      </c>
      <c r="P214" s="3" t="inlineStr">
        <is>
          <t>Belum dihitung</t>
        </is>
      </c>
      <c r="Q214" s="3" t="n"/>
    </row>
    <row r="215">
      <c r="A215" s="3" t="n">
        <v>214</v>
      </c>
      <c r="B215" s="3" t="inlineStr">
        <is>
          <t>Desember 2025</t>
        </is>
      </c>
      <c r="C215" s="3">
        <f>'Data Aset'!B217</f>
        <v/>
      </c>
      <c r="D215" s="3">
        <f>'Data Aset'!F217</f>
        <v/>
      </c>
      <c r="E215" s="3" t="inlineStr">
        <is>
          <t>Inventaris Ruangan</t>
        </is>
      </c>
      <c r="F215" s="3">
        <f>'Data Aset'!C217</f>
        <v/>
      </c>
      <c r="G215" s="3">
        <f>'Data Aset'!J217</f>
        <v/>
      </c>
      <c r="H215" s="5">
        <f>'Data Aset'!M217</f>
        <v/>
      </c>
      <c r="I215" s="3">
        <f>'Data Aset'!O217</f>
        <v/>
      </c>
      <c r="J215" s="5" t="n">
        <v>0</v>
      </c>
      <c r="K215" s="3" t="inlineStr">
        <is>
          <t>Garis Lurus</t>
        </is>
      </c>
      <c r="L215" s="5">
        <f>IFERROR(M215/12,"")</f>
        <v/>
      </c>
      <c r="M215" s="5">
        <f>IFERROR((H215-J215)/I215,"")</f>
        <v/>
      </c>
      <c r="N215" s="5">
        <f>IFERROR(M215,"")</f>
        <v/>
      </c>
      <c r="O215" s="5">
        <f>IFERROR(H215-N215,"")</f>
        <v/>
      </c>
      <c r="P215" s="3" t="inlineStr">
        <is>
          <t>Belum dihitung</t>
        </is>
      </c>
      <c r="Q215" s="3" t="n"/>
    </row>
    <row r="216">
      <c r="A216" s="3" t="n">
        <v>215</v>
      </c>
      <c r="B216" s="3" t="inlineStr">
        <is>
          <t>Desember 2025</t>
        </is>
      </c>
      <c r="C216" s="3">
        <f>'Data Aset'!B218</f>
        <v/>
      </c>
      <c r="D216" s="3">
        <f>'Data Aset'!F218</f>
        <v/>
      </c>
      <c r="E216" s="3" t="inlineStr">
        <is>
          <t>Inventaris Ruangan</t>
        </is>
      </c>
      <c r="F216" s="3">
        <f>'Data Aset'!C218</f>
        <v/>
      </c>
      <c r="G216" s="3">
        <f>'Data Aset'!J218</f>
        <v/>
      </c>
      <c r="H216" s="5">
        <f>'Data Aset'!M218</f>
        <v/>
      </c>
      <c r="I216" s="3">
        <f>'Data Aset'!O218</f>
        <v/>
      </c>
      <c r="J216" s="5" t="n">
        <v>0</v>
      </c>
      <c r="K216" s="3" t="inlineStr">
        <is>
          <t>Garis Lurus</t>
        </is>
      </c>
      <c r="L216" s="5">
        <f>IFERROR(M216/12,"")</f>
        <v/>
      </c>
      <c r="M216" s="5">
        <f>IFERROR((H216-J216)/I216,"")</f>
        <v/>
      </c>
      <c r="N216" s="5">
        <f>IFERROR(M216,"")</f>
        <v/>
      </c>
      <c r="O216" s="5">
        <f>IFERROR(H216-N216,"")</f>
        <v/>
      </c>
      <c r="P216" s="3" t="inlineStr">
        <is>
          <t>Belum dihitung</t>
        </is>
      </c>
      <c r="Q216" s="3" t="n"/>
    </row>
    <row r="217">
      <c r="A217" s="3" t="n">
        <v>216</v>
      </c>
      <c r="B217" s="3" t="inlineStr">
        <is>
          <t>Desember 2025</t>
        </is>
      </c>
      <c r="C217" s="3">
        <f>'Data Aset'!B219</f>
        <v/>
      </c>
      <c r="D217" s="3">
        <f>'Data Aset'!F219</f>
        <v/>
      </c>
      <c r="E217" s="3" t="inlineStr">
        <is>
          <t>Inventaris Ruangan</t>
        </is>
      </c>
      <c r="F217" s="3">
        <f>'Data Aset'!C219</f>
        <v/>
      </c>
      <c r="G217" s="3">
        <f>'Data Aset'!J219</f>
        <v/>
      </c>
      <c r="H217" s="5">
        <f>'Data Aset'!M219</f>
        <v/>
      </c>
      <c r="I217" s="3">
        <f>'Data Aset'!O219</f>
        <v/>
      </c>
      <c r="J217" s="5" t="n">
        <v>0</v>
      </c>
      <c r="K217" s="3" t="inlineStr">
        <is>
          <t>Garis Lurus</t>
        </is>
      </c>
      <c r="L217" s="5">
        <f>IFERROR(M217/12,"")</f>
        <v/>
      </c>
      <c r="M217" s="5">
        <f>IFERROR((H217-J217)/I217,"")</f>
        <v/>
      </c>
      <c r="N217" s="5">
        <f>IFERROR(M217,"")</f>
        <v/>
      </c>
      <c r="O217" s="5">
        <f>IFERROR(H217-N217,"")</f>
        <v/>
      </c>
      <c r="P217" s="3" t="inlineStr">
        <is>
          <t>Belum dihitung</t>
        </is>
      </c>
      <c r="Q217" s="3" t="n"/>
    </row>
    <row r="218">
      <c r="A218" s="3" t="n">
        <v>217</v>
      </c>
      <c r="B218" s="3" t="inlineStr">
        <is>
          <t>Desember 2025</t>
        </is>
      </c>
      <c r="C218" s="3">
        <f>'Data Aset'!B220</f>
        <v/>
      </c>
      <c r="D218" s="3">
        <f>'Data Aset'!F220</f>
        <v/>
      </c>
      <c r="E218" s="3" t="inlineStr">
        <is>
          <t>Inventaris Ruangan</t>
        </is>
      </c>
      <c r="F218" s="3">
        <f>'Data Aset'!C220</f>
        <v/>
      </c>
      <c r="G218" s="3">
        <f>'Data Aset'!J220</f>
        <v/>
      </c>
      <c r="H218" s="5">
        <f>'Data Aset'!M220</f>
        <v/>
      </c>
      <c r="I218" s="3">
        <f>'Data Aset'!O220</f>
        <v/>
      </c>
      <c r="J218" s="5" t="n">
        <v>0</v>
      </c>
      <c r="K218" s="3" t="inlineStr">
        <is>
          <t>Garis Lurus</t>
        </is>
      </c>
      <c r="L218" s="5">
        <f>IFERROR(M218/12,"")</f>
        <v/>
      </c>
      <c r="M218" s="5">
        <f>IFERROR((H218-J218)/I218,"")</f>
        <v/>
      </c>
      <c r="N218" s="5">
        <f>IFERROR(M218,"")</f>
        <v/>
      </c>
      <c r="O218" s="5">
        <f>IFERROR(H218-N218,"")</f>
        <v/>
      </c>
      <c r="P218" s="3" t="inlineStr">
        <is>
          <t>Belum dihitung</t>
        </is>
      </c>
      <c r="Q218" s="3" t="n"/>
    </row>
    <row r="219">
      <c r="A219" s="3" t="n">
        <v>218</v>
      </c>
      <c r="B219" s="3" t="inlineStr">
        <is>
          <t>Desember 2025</t>
        </is>
      </c>
      <c r="C219" s="3">
        <f>'Data Aset'!B221</f>
        <v/>
      </c>
      <c r="D219" s="3">
        <f>'Data Aset'!F221</f>
        <v/>
      </c>
      <c r="E219" s="3" t="inlineStr">
        <is>
          <t>Inventaris Ruangan</t>
        </is>
      </c>
      <c r="F219" s="3">
        <f>'Data Aset'!C221</f>
        <v/>
      </c>
      <c r="G219" s="3">
        <f>'Data Aset'!J221</f>
        <v/>
      </c>
      <c r="H219" s="5">
        <f>'Data Aset'!M221</f>
        <v/>
      </c>
      <c r="I219" s="3">
        <f>'Data Aset'!O221</f>
        <v/>
      </c>
      <c r="J219" s="5" t="n">
        <v>0</v>
      </c>
      <c r="K219" s="3" t="inlineStr">
        <is>
          <t>Garis Lurus</t>
        </is>
      </c>
      <c r="L219" s="5">
        <f>IFERROR(M219/12,"")</f>
        <v/>
      </c>
      <c r="M219" s="5">
        <f>IFERROR((H219-J219)/I219,"")</f>
        <v/>
      </c>
      <c r="N219" s="5">
        <f>IFERROR(M219,"")</f>
        <v/>
      </c>
      <c r="O219" s="5">
        <f>IFERROR(H219-N219,"")</f>
        <v/>
      </c>
      <c r="P219" s="3" t="inlineStr">
        <is>
          <t>Belum dihitung</t>
        </is>
      </c>
      <c r="Q219" s="3" t="n"/>
    </row>
    <row r="220">
      <c r="A220" s="3" t="n">
        <v>219</v>
      </c>
      <c r="B220" s="3" t="inlineStr">
        <is>
          <t>Desember 2025</t>
        </is>
      </c>
      <c r="C220" s="3">
        <f>'Data Aset'!B222</f>
        <v/>
      </c>
      <c r="D220" s="3">
        <f>'Data Aset'!F222</f>
        <v/>
      </c>
      <c r="E220" s="3" t="inlineStr">
        <is>
          <t>Inventaris Ruangan</t>
        </is>
      </c>
      <c r="F220" s="3">
        <f>'Data Aset'!C222</f>
        <v/>
      </c>
      <c r="G220" s="3">
        <f>'Data Aset'!J222</f>
        <v/>
      </c>
      <c r="H220" s="5">
        <f>'Data Aset'!M222</f>
        <v/>
      </c>
      <c r="I220" s="3">
        <f>'Data Aset'!O222</f>
        <v/>
      </c>
      <c r="J220" s="5" t="n">
        <v>0</v>
      </c>
      <c r="K220" s="3" t="inlineStr">
        <is>
          <t>Garis Lurus</t>
        </is>
      </c>
      <c r="L220" s="5">
        <f>IFERROR(M220/12,"")</f>
        <v/>
      </c>
      <c r="M220" s="5">
        <f>IFERROR((H220-J220)/I220,"")</f>
        <v/>
      </c>
      <c r="N220" s="5">
        <f>IFERROR(M220,"")</f>
        <v/>
      </c>
      <c r="O220" s="5">
        <f>IFERROR(H220-N220,"")</f>
        <v/>
      </c>
      <c r="P220" s="3" t="inlineStr">
        <is>
          <t>Belum dihitung</t>
        </is>
      </c>
      <c r="Q220" s="3" t="n"/>
    </row>
    <row r="221">
      <c r="A221" s="3" t="n">
        <v>220</v>
      </c>
      <c r="B221" s="3" t="inlineStr">
        <is>
          <t>Desember 2025</t>
        </is>
      </c>
      <c r="C221" s="3">
        <f>'Data Aset'!B223</f>
        <v/>
      </c>
      <c r="D221" s="3">
        <f>'Data Aset'!F223</f>
        <v/>
      </c>
      <c r="E221" s="3" t="inlineStr">
        <is>
          <t>Inventaris Ruangan</t>
        </is>
      </c>
      <c r="F221" s="3">
        <f>'Data Aset'!C223</f>
        <v/>
      </c>
      <c r="G221" s="3">
        <f>'Data Aset'!J223</f>
        <v/>
      </c>
      <c r="H221" s="5">
        <f>'Data Aset'!M223</f>
        <v/>
      </c>
      <c r="I221" s="3">
        <f>'Data Aset'!O223</f>
        <v/>
      </c>
      <c r="J221" s="5" t="n">
        <v>0</v>
      </c>
      <c r="K221" s="3" t="inlineStr">
        <is>
          <t>Garis Lurus</t>
        </is>
      </c>
      <c r="L221" s="5">
        <f>IFERROR(M221/12,"")</f>
        <v/>
      </c>
      <c r="M221" s="5">
        <f>IFERROR((H221-J221)/I221,"")</f>
        <v/>
      </c>
      <c r="N221" s="5">
        <f>IFERROR(M221,"")</f>
        <v/>
      </c>
      <c r="O221" s="5">
        <f>IFERROR(H221-N221,"")</f>
        <v/>
      </c>
      <c r="P221" s="3" t="inlineStr">
        <is>
          <t>Belum dihitung</t>
        </is>
      </c>
      <c r="Q221" s="3" t="n"/>
    </row>
    <row r="222">
      <c r="A222" s="3" t="n">
        <v>221</v>
      </c>
      <c r="B222" s="3" t="inlineStr">
        <is>
          <t>Desember 2025</t>
        </is>
      </c>
      <c r="C222" s="3">
        <f>'Data Aset'!B224</f>
        <v/>
      </c>
      <c r="D222" s="3">
        <f>'Data Aset'!F224</f>
        <v/>
      </c>
      <c r="E222" s="3" t="inlineStr">
        <is>
          <t>Inventaris Ruangan</t>
        </is>
      </c>
      <c r="F222" s="3">
        <f>'Data Aset'!C224</f>
        <v/>
      </c>
      <c r="G222" s="3">
        <f>'Data Aset'!J224</f>
        <v/>
      </c>
      <c r="H222" s="5">
        <f>'Data Aset'!M224</f>
        <v/>
      </c>
      <c r="I222" s="3">
        <f>'Data Aset'!O224</f>
        <v/>
      </c>
      <c r="J222" s="5" t="n">
        <v>0</v>
      </c>
      <c r="K222" s="3" t="inlineStr">
        <is>
          <t>Garis Lurus</t>
        </is>
      </c>
      <c r="L222" s="5">
        <f>IFERROR(M222/12,"")</f>
        <v/>
      </c>
      <c r="M222" s="5">
        <f>IFERROR((H222-J222)/I222,"")</f>
        <v/>
      </c>
      <c r="N222" s="5">
        <f>IFERROR(M222,"")</f>
        <v/>
      </c>
      <c r="O222" s="5">
        <f>IFERROR(H222-N222,"")</f>
        <v/>
      </c>
      <c r="P222" s="3" t="inlineStr">
        <is>
          <t>Belum dihitung</t>
        </is>
      </c>
      <c r="Q222" s="3" t="n"/>
    </row>
    <row r="223">
      <c r="A223" s="3" t="n">
        <v>222</v>
      </c>
      <c r="B223" s="3" t="inlineStr">
        <is>
          <t>Desember 2025</t>
        </is>
      </c>
      <c r="C223" s="3">
        <f>'Data Aset'!B225</f>
        <v/>
      </c>
      <c r="D223" s="3">
        <f>'Data Aset'!F225</f>
        <v/>
      </c>
      <c r="E223" s="3" t="inlineStr">
        <is>
          <t>Inventaris Ruangan</t>
        </is>
      </c>
      <c r="F223" s="3">
        <f>'Data Aset'!C225</f>
        <v/>
      </c>
      <c r="G223" s="3">
        <f>'Data Aset'!J225</f>
        <v/>
      </c>
      <c r="H223" s="5">
        <f>'Data Aset'!M225</f>
        <v/>
      </c>
      <c r="I223" s="3">
        <f>'Data Aset'!O225</f>
        <v/>
      </c>
      <c r="J223" s="5" t="n">
        <v>0</v>
      </c>
      <c r="K223" s="3" t="inlineStr">
        <is>
          <t>Garis Lurus</t>
        </is>
      </c>
      <c r="L223" s="5">
        <f>IFERROR(M223/12,"")</f>
        <v/>
      </c>
      <c r="M223" s="5">
        <f>IFERROR((H223-J223)/I223,"")</f>
        <v/>
      </c>
      <c r="N223" s="5">
        <f>IFERROR(M223,"")</f>
        <v/>
      </c>
      <c r="O223" s="5">
        <f>IFERROR(H223-N223,"")</f>
        <v/>
      </c>
      <c r="P223" s="3" t="inlineStr">
        <is>
          <t>Belum dihitung</t>
        </is>
      </c>
      <c r="Q223" s="3" t="n"/>
    </row>
    <row r="224">
      <c r="A224" s="3" t="n">
        <v>223</v>
      </c>
      <c r="B224" s="3" t="inlineStr">
        <is>
          <t>Desember 2025</t>
        </is>
      </c>
      <c r="C224" s="3">
        <f>'Data Aset'!B226</f>
        <v/>
      </c>
      <c r="D224" s="3">
        <f>'Data Aset'!F226</f>
        <v/>
      </c>
      <c r="E224" s="3" t="inlineStr">
        <is>
          <t>Inventaris Ruangan</t>
        </is>
      </c>
      <c r="F224" s="3">
        <f>'Data Aset'!C226</f>
        <v/>
      </c>
      <c r="G224" s="3">
        <f>'Data Aset'!J226</f>
        <v/>
      </c>
      <c r="H224" s="5">
        <f>'Data Aset'!M226</f>
        <v/>
      </c>
      <c r="I224" s="3">
        <f>'Data Aset'!O226</f>
        <v/>
      </c>
      <c r="J224" s="5" t="n">
        <v>0</v>
      </c>
      <c r="K224" s="3" t="inlineStr">
        <is>
          <t>Garis Lurus</t>
        </is>
      </c>
      <c r="L224" s="5">
        <f>IFERROR(M224/12,"")</f>
        <v/>
      </c>
      <c r="M224" s="5">
        <f>IFERROR((H224-J224)/I224,"")</f>
        <v/>
      </c>
      <c r="N224" s="5">
        <f>IFERROR(M224,"")</f>
        <v/>
      </c>
      <c r="O224" s="5">
        <f>IFERROR(H224-N224,"")</f>
        <v/>
      </c>
      <c r="P224" s="3" t="inlineStr">
        <is>
          <t>Belum dihitung</t>
        </is>
      </c>
      <c r="Q224" s="3" t="n"/>
    </row>
    <row r="225">
      <c r="A225" s="3" t="n">
        <v>224</v>
      </c>
      <c r="B225" s="3" t="inlineStr">
        <is>
          <t>Desember 2025</t>
        </is>
      </c>
      <c r="C225" s="3">
        <f>'Data Aset'!B227</f>
        <v/>
      </c>
      <c r="D225" s="3">
        <f>'Data Aset'!F227</f>
        <v/>
      </c>
      <c r="E225" s="3" t="inlineStr">
        <is>
          <t>Inventaris Ruangan</t>
        </is>
      </c>
      <c r="F225" s="3">
        <f>'Data Aset'!C227</f>
        <v/>
      </c>
      <c r="G225" s="3">
        <f>'Data Aset'!J227</f>
        <v/>
      </c>
      <c r="H225" s="5">
        <f>'Data Aset'!M227</f>
        <v/>
      </c>
      <c r="I225" s="3">
        <f>'Data Aset'!O227</f>
        <v/>
      </c>
      <c r="J225" s="5" t="n">
        <v>0</v>
      </c>
      <c r="K225" s="3" t="inlineStr">
        <is>
          <t>Garis Lurus</t>
        </is>
      </c>
      <c r="L225" s="5">
        <f>IFERROR(M225/12,"")</f>
        <v/>
      </c>
      <c r="M225" s="5">
        <f>IFERROR((H225-J225)/I225,"")</f>
        <v/>
      </c>
      <c r="N225" s="5">
        <f>IFERROR(M225,"")</f>
        <v/>
      </c>
      <c r="O225" s="5">
        <f>IFERROR(H225-N225,"")</f>
        <v/>
      </c>
      <c r="P225" s="3" t="inlineStr">
        <is>
          <t>Belum dihitung</t>
        </is>
      </c>
      <c r="Q225" s="3" t="n"/>
    </row>
    <row r="226">
      <c r="A226" s="3" t="n">
        <v>225</v>
      </c>
      <c r="B226" s="3" t="inlineStr">
        <is>
          <t>Desember 2025</t>
        </is>
      </c>
      <c r="C226" s="3">
        <f>'Data Aset'!B228</f>
        <v/>
      </c>
      <c r="D226" s="3">
        <f>'Data Aset'!F228</f>
        <v/>
      </c>
      <c r="E226" s="3" t="inlineStr">
        <is>
          <t>Inventaris Ruangan</t>
        </is>
      </c>
      <c r="F226" s="3">
        <f>'Data Aset'!C228</f>
        <v/>
      </c>
      <c r="G226" s="3">
        <f>'Data Aset'!J228</f>
        <v/>
      </c>
      <c r="H226" s="5">
        <f>'Data Aset'!M228</f>
        <v/>
      </c>
      <c r="I226" s="3">
        <f>'Data Aset'!O228</f>
        <v/>
      </c>
      <c r="J226" s="5" t="n">
        <v>0</v>
      </c>
      <c r="K226" s="3" t="inlineStr">
        <is>
          <t>Garis Lurus</t>
        </is>
      </c>
      <c r="L226" s="5">
        <f>IFERROR(M226/12,"")</f>
        <v/>
      </c>
      <c r="M226" s="5">
        <f>IFERROR((H226-J226)/I226,"")</f>
        <v/>
      </c>
      <c r="N226" s="5">
        <f>IFERROR(M226,"")</f>
        <v/>
      </c>
      <c r="O226" s="5">
        <f>IFERROR(H226-N226,"")</f>
        <v/>
      </c>
      <c r="P226" s="3" t="inlineStr">
        <is>
          <t>Belum dihitung</t>
        </is>
      </c>
      <c r="Q226" s="3" t="n"/>
    </row>
    <row r="227">
      <c r="A227" s="3" t="n">
        <v>226</v>
      </c>
      <c r="B227" s="3" t="inlineStr">
        <is>
          <t>Desember 2025</t>
        </is>
      </c>
      <c r="C227" s="3">
        <f>'Data Aset'!B229</f>
        <v/>
      </c>
      <c r="D227" s="3">
        <f>'Data Aset'!F229</f>
        <v/>
      </c>
      <c r="E227" s="3" t="inlineStr">
        <is>
          <t>Inventaris Ruangan</t>
        </is>
      </c>
      <c r="F227" s="3">
        <f>'Data Aset'!C229</f>
        <v/>
      </c>
      <c r="G227" s="3">
        <f>'Data Aset'!J229</f>
        <v/>
      </c>
      <c r="H227" s="5">
        <f>'Data Aset'!M229</f>
        <v/>
      </c>
      <c r="I227" s="3">
        <f>'Data Aset'!O229</f>
        <v/>
      </c>
      <c r="J227" s="5" t="n">
        <v>0</v>
      </c>
      <c r="K227" s="3" t="inlineStr">
        <is>
          <t>Garis Lurus</t>
        </is>
      </c>
      <c r="L227" s="5">
        <f>IFERROR(M227/12,"")</f>
        <v/>
      </c>
      <c r="M227" s="5">
        <f>IFERROR((H227-J227)/I227,"")</f>
        <v/>
      </c>
      <c r="N227" s="5">
        <f>IFERROR(M227,"")</f>
        <v/>
      </c>
      <c r="O227" s="5">
        <f>IFERROR(H227-N227,"")</f>
        <v/>
      </c>
      <c r="P227" s="3" t="inlineStr">
        <is>
          <t>Belum dihitung</t>
        </is>
      </c>
      <c r="Q227" s="3" t="n"/>
    </row>
    <row r="228">
      <c r="A228" s="3" t="n">
        <v>227</v>
      </c>
      <c r="B228" s="3" t="inlineStr">
        <is>
          <t>Desember 2025</t>
        </is>
      </c>
      <c r="C228" s="3">
        <f>'Data Aset'!B230</f>
        <v/>
      </c>
      <c r="D228" s="3">
        <f>'Data Aset'!F230</f>
        <v/>
      </c>
      <c r="E228" s="3" t="inlineStr">
        <is>
          <t>Inventaris Ruangan</t>
        </is>
      </c>
      <c r="F228" s="3">
        <f>'Data Aset'!C230</f>
        <v/>
      </c>
      <c r="G228" s="3">
        <f>'Data Aset'!J230</f>
        <v/>
      </c>
      <c r="H228" s="5">
        <f>'Data Aset'!M230</f>
        <v/>
      </c>
      <c r="I228" s="3">
        <f>'Data Aset'!O230</f>
        <v/>
      </c>
      <c r="J228" s="5" t="n">
        <v>0</v>
      </c>
      <c r="K228" s="3" t="inlineStr">
        <is>
          <t>Garis Lurus</t>
        </is>
      </c>
      <c r="L228" s="5">
        <f>IFERROR(M228/12,"")</f>
        <v/>
      </c>
      <c r="M228" s="5">
        <f>IFERROR((H228-J228)/I228,"")</f>
        <v/>
      </c>
      <c r="N228" s="5">
        <f>IFERROR(M228,"")</f>
        <v/>
      </c>
      <c r="O228" s="5">
        <f>IFERROR(H228-N228,"")</f>
        <v/>
      </c>
      <c r="P228" s="3" t="inlineStr">
        <is>
          <t>Belum dihitung</t>
        </is>
      </c>
      <c r="Q228" s="3" t="n"/>
    </row>
    <row r="229">
      <c r="A229" s="3" t="n">
        <v>228</v>
      </c>
      <c r="B229" s="3" t="inlineStr">
        <is>
          <t>Desember 2025</t>
        </is>
      </c>
      <c r="C229" s="3">
        <f>'Data Aset'!B231</f>
        <v/>
      </c>
      <c r="D229" s="3">
        <f>'Data Aset'!F231</f>
        <v/>
      </c>
      <c r="E229" s="3" t="inlineStr">
        <is>
          <t>Inventaris Ruangan</t>
        </is>
      </c>
      <c r="F229" s="3">
        <f>'Data Aset'!C231</f>
        <v/>
      </c>
      <c r="G229" s="3">
        <f>'Data Aset'!J231</f>
        <v/>
      </c>
      <c r="H229" s="5">
        <f>'Data Aset'!M231</f>
        <v/>
      </c>
      <c r="I229" s="3">
        <f>'Data Aset'!O231</f>
        <v/>
      </c>
      <c r="J229" s="5" t="n">
        <v>0</v>
      </c>
      <c r="K229" s="3" t="inlineStr">
        <is>
          <t>Garis Lurus</t>
        </is>
      </c>
      <c r="L229" s="5">
        <f>IFERROR(M229/12,"")</f>
        <v/>
      </c>
      <c r="M229" s="5">
        <f>IFERROR((H229-J229)/I229,"")</f>
        <v/>
      </c>
      <c r="N229" s="5">
        <f>IFERROR(M229,"")</f>
        <v/>
      </c>
      <c r="O229" s="5">
        <f>IFERROR(H229-N229,"")</f>
        <v/>
      </c>
      <c r="P229" s="3" t="inlineStr">
        <is>
          <t>Belum dihitung</t>
        </is>
      </c>
      <c r="Q229" s="3" t="n"/>
    </row>
    <row r="230">
      <c r="A230" s="3" t="n">
        <v>229</v>
      </c>
      <c r="B230" s="3" t="inlineStr">
        <is>
          <t>Desember 2025</t>
        </is>
      </c>
      <c r="C230" s="3">
        <f>'Data Aset'!B232</f>
        <v/>
      </c>
      <c r="D230" s="3">
        <f>'Data Aset'!F232</f>
        <v/>
      </c>
      <c r="E230" s="3" t="inlineStr">
        <is>
          <t>Inventaris Ruangan</t>
        </is>
      </c>
      <c r="F230" s="3">
        <f>'Data Aset'!C232</f>
        <v/>
      </c>
      <c r="G230" s="3">
        <f>'Data Aset'!J232</f>
        <v/>
      </c>
      <c r="H230" s="5">
        <f>'Data Aset'!M232</f>
        <v/>
      </c>
      <c r="I230" s="3">
        <f>'Data Aset'!O232</f>
        <v/>
      </c>
      <c r="J230" s="5" t="n">
        <v>0</v>
      </c>
      <c r="K230" s="3" t="inlineStr">
        <is>
          <t>Garis Lurus</t>
        </is>
      </c>
      <c r="L230" s="5">
        <f>IFERROR(M230/12,"")</f>
        <v/>
      </c>
      <c r="M230" s="5">
        <f>IFERROR((H230-J230)/I230,"")</f>
        <v/>
      </c>
      <c r="N230" s="5">
        <f>IFERROR(M230,"")</f>
        <v/>
      </c>
      <c r="O230" s="5">
        <f>IFERROR(H230-N230,"")</f>
        <v/>
      </c>
      <c r="P230" s="3" t="inlineStr">
        <is>
          <t>Belum dihitung</t>
        </is>
      </c>
      <c r="Q230" s="3" t="n"/>
    </row>
    <row r="231">
      <c r="A231" s="3" t="n">
        <v>230</v>
      </c>
      <c r="B231" s="3" t="inlineStr">
        <is>
          <t>Desember 2025</t>
        </is>
      </c>
      <c r="C231" s="3">
        <f>'Data Aset'!B233</f>
        <v/>
      </c>
      <c r="D231" s="3">
        <f>'Data Aset'!F233</f>
        <v/>
      </c>
      <c r="E231" s="3" t="inlineStr">
        <is>
          <t>Inventaris Ruangan</t>
        </is>
      </c>
      <c r="F231" s="3">
        <f>'Data Aset'!C233</f>
        <v/>
      </c>
      <c r="G231" s="3">
        <f>'Data Aset'!J233</f>
        <v/>
      </c>
      <c r="H231" s="5">
        <f>'Data Aset'!M233</f>
        <v/>
      </c>
      <c r="I231" s="3">
        <f>'Data Aset'!O233</f>
        <v/>
      </c>
      <c r="J231" s="5" t="n">
        <v>0</v>
      </c>
      <c r="K231" s="3" t="inlineStr">
        <is>
          <t>Garis Lurus</t>
        </is>
      </c>
      <c r="L231" s="5">
        <f>IFERROR(M231/12,"")</f>
        <v/>
      </c>
      <c r="M231" s="5">
        <f>IFERROR((H231-J231)/I231,"")</f>
        <v/>
      </c>
      <c r="N231" s="5">
        <f>IFERROR(M231,"")</f>
        <v/>
      </c>
      <c r="O231" s="5">
        <f>IFERROR(H231-N231,"")</f>
        <v/>
      </c>
      <c r="P231" s="3" t="inlineStr">
        <is>
          <t>Belum dihitung</t>
        </is>
      </c>
      <c r="Q231" s="3" t="n"/>
    </row>
    <row r="232">
      <c r="A232" s="3" t="n">
        <v>231</v>
      </c>
      <c r="B232" s="3" t="inlineStr">
        <is>
          <t>Desember 2025</t>
        </is>
      </c>
      <c r="C232" s="3">
        <f>'Data Aset'!B234</f>
        <v/>
      </c>
      <c r="D232" s="3">
        <f>'Data Aset'!F234</f>
        <v/>
      </c>
      <c r="E232" s="3" t="inlineStr">
        <is>
          <t>Inventaris Ruangan</t>
        </is>
      </c>
      <c r="F232" s="3">
        <f>'Data Aset'!C234</f>
        <v/>
      </c>
      <c r="G232" s="3">
        <f>'Data Aset'!J234</f>
        <v/>
      </c>
      <c r="H232" s="5">
        <f>'Data Aset'!M234</f>
        <v/>
      </c>
      <c r="I232" s="3">
        <f>'Data Aset'!O234</f>
        <v/>
      </c>
      <c r="J232" s="5" t="n">
        <v>0</v>
      </c>
      <c r="K232" s="3" t="inlineStr">
        <is>
          <t>Garis Lurus</t>
        </is>
      </c>
      <c r="L232" s="5">
        <f>IFERROR(M232/12,"")</f>
        <v/>
      </c>
      <c r="M232" s="5">
        <f>IFERROR((H232-J232)/I232,"")</f>
        <v/>
      </c>
      <c r="N232" s="5">
        <f>IFERROR(M232,"")</f>
        <v/>
      </c>
      <c r="O232" s="5">
        <f>IFERROR(H232-N232,"")</f>
        <v/>
      </c>
      <c r="P232" s="3" t="inlineStr">
        <is>
          <t>Belum dihitung</t>
        </is>
      </c>
      <c r="Q232" s="3" t="n"/>
    </row>
    <row r="233">
      <c r="A233" s="3" t="n">
        <v>232</v>
      </c>
      <c r="B233" s="3" t="inlineStr">
        <is>
          <t>Desember 2025</t>
        </is>
      </c>
      <c r="C233" s="3">
        <f>'Data Aset'!B235</f>
        <v/>
      </c>
      <c r="D233" s="3">
        <f>'Data Aset'!F235</f>
        <v/>
      </c>
      <c r="E233" s="3" t="inlineStr">
        <is>
          <t>Inventaris Ruangan</t>
        </is>
      </c>
      <c r="F233" s="3">
        <f>'Data Aset'!C235</f>
        <v/>
      </c>
      <c r="G233" s="3">
        <f>'Data Aset'!J235</f>
        <v/>
      </c>
      <c r="H233" s="5">
        <f>'Data Aset'!M235</f>
        <v/>
      </c>
      <c r="I233" s="3">
        <f>'Data Aset'!O235</f>
        <v/>
      </c>
      <c r="J233" s="5" t="n">
        <v>0</v>
      </c>
      <c r="K233" s="3" t="inlineStr">
        <is>
          <t>Garis Lurus</t>
        </is>
      </c>
      <c r="L233" s="5">
        <f>IFERROR(M233/12,"")</f>
        <v/>
      </c>
      <c r="M233" s="5">
        <f>IFERROR((H233-J233)/I233,"")</f>
        <v/>
      </c>
      <c r="N233" s="5">
        <f>IFERROR(M233,"")</f>
        <v/>
      </c>
      <c r="O233" s="5">
        <f>IFERROR(H233-N233,"")</f>
        <v/>
      </c>
      <c r="P233" s="3" t="inlineStr">
        <is>
          <t>Belum dihitung</t>
        </is>
      </c>
      <c r="Q233" s="3" t="n"/>
    </row>
    <row r="234">
      <c r="A234" s="3" t="n">
        <v>233</v>
      </c>
      <c r="B234" s="3" t="inlineStr">
        <is>
          <t>Desember 2025</t>
        </is>
      </c>
      <c r="C234" s="3">
        <f>'Data Aset'!B236</f>
        <v/>
      </c>
      <c r="D234" s="3">
        <f>'Data Aset'!F236</f>
        <v/>
      </c>
      <c r="E234" s="3" t="inlineStr">
        <is>
          <t>Inventaris Ruangan</t>
        </is>
      </c>
      <c r="F234" s="3">
        <f>'Data Aset'!C236</f>
        <v/>
      </c>
      <c r="G234" s="3">
        <f>'Data Aset'!J236</f>
        <v/>
      </c>
      <c r="H234" s="5">
        <f>'Data Aset'!M236</f>
        <v/>
      </c>
      <c r="I234" s="3">
        <f>'Data Aset'!O236</f>
        <v/>
      </c>
      <c r="J234" s="5" t="n">
        <v>0</v>
      </c>
      <c r="K234" s="3" t="inlineStr">
        <is>
          <t>Garis Lurus</t>
        </is>
      </c>
      <c r="L234" s="5">
        <f>IFERROR(M234/12,"")</f>
        <v/>
      </c>
      <c r="M234" s="5">
        <f>IFERROR((H234-J234)/I234,"")</f>
        <v/>
      </c>
      <c r="N234" s="5">
        <f>IFERROR(M234,"")</f>
        <v/>
      </c>
      <c r="O234" s="5">
        <f>IFERROR(H234-N234,"")</f>
        <v/>
      </c>
      <c r="P234" s="3" t="inlineStr">
        <is>
          <t>Belum dihitung</t>
        </is>
      </c>
      <c r="Q234" s="3" t="n"/>
    </row>
    <row r="235">
      <c r="A235" s="3" t="n">
        <v>234</v>
      </c>
      <c r="B235" s="3" t="inlineStr">
        <is>
          <t>Desember 2025</t>
        </is>
      </c>
      <c r="C235" s="3">
        <f>'Data Aset'!B237</f>
        <v/>
      </c>
      <c r="D235" s="3">
        <f>'Data Aset'!F237</f>
        <v/>
      </c>
      <c r="E235" s="3" t="inlineStr">
        <is>
          <t>Inventaris Ruangan</t>
        </is>
      </c>
      <c r="F235" s="3">
        <f>'Data Aset'!C237</f>
        <v/>
      </c>
      <c r="G235" s="3">
        <f>'Data Aset'!J237</f>
        <v/>
      </c>
      <c r="H235" s="5">
        <f>'Data Aset'!M237</f>
        <v/>
      </c>
      <c r="I235" s="3">
        <f>'Data Aset'!O237</f>
        <v/>
      </c>
      <c r="J235" s="5" t="n">
        <v>0</v>
      </c>
      <c r="K235" s="3" t="inlineStr">
        <is>
          <t>Garis Lurus</t>
        </is>
      </c>
      <c r="L235" s="5">
        <f>IFERROR(M235/12,"")</f>
        <v/>
      </c>
      <c r="M235" s="5">
        <f>IFERROR((H235-J235)/I235,"")</f>
        <v/>
      </c>
      <c r="N235" s="5">
        <f>IFERROR(M235,"")</f>
        <v/>
      </c>
      <c r="O235" s="5">
        <f>IFERROR(H235-N235,"")</f>
        <v/>
      </c>
      <c r="P235" s="3" t="inlineStr">
        <is>
          <t>Belum dihitung</t>
        </is>
      </c>
      <c r="Q235" s="3" t="n"/>
    </row>
    <row r="236">
      <c r="A236" s="3" t="n">
        <v>235</v>
      </c>
      <c r="B236" s="3" t="inlineStr">
        <is>
          <t>Desember 2025</t>
        </is>
      </c>
      <c r="C236" s="3">
        <f>'Data Aset'!B238</f>
        <v/>
      </c>
      <c r="D236" s="3">
        <f>'Data Aset'!F238</f>
        <v/>
      </c>
      <c r="E236" s="3" t="inlineStr">
        <is>
          <t>Inventaris Ruangan</t>
        </is>
      </c>
      <c r="F236" s="3">
        <f>'Data Aset'!C238</f>
        <v/>
      </c>
      <c r="G236" s="3">
        <f>'Data Aset'!J238</f>
        <v/>
      </c>
      <c r="H236" s="5">
        <f>'Data Aset'!M238</f>
        <v/>
      </c>
      <c r="I236" s="3">
        <f>'Data Aset'!O238</f>
        <v/>
      </c>
      <c r="J236" s="5" t="n">
        <v>0</v>
      </c>
      <c r="K236" s="3" t="inlineStr">
        <is>
          <t>Garis Lurus</t>
        </is>
      </c>
      <c r="L236" s="5">
        <f>IFERROR(M236/12,"")</f>
        <v/>
      </c>
      <c r="M236" s="5">
        <f>IFERROR((H236-J236)/I236,"")</f>
        <v/>
      </c>
      <c r="N236" s="5">
        <f>IFERROR(M236,"")</f>
        <v/>
      </c>
      <c r="O236" s="5">
        <f>IFERROR(H236-N236,"")</f>
        <v/>
      </c>
      <c r="P236" s="3" t="inlineStr">
        <is>
          <t>Belum dihitung</t>
        </is>
      </c>
      <c r="Q236" s="3" t="n"/>
    </row>
    <row r="237">
      <c r="A237" s="3" t="n">
        <v>236</v>
      </c>
      <c r="B237" s="3" t="inlineStr">
        <is>
          <t>Desember 2025</t>
        </is>
      </c>
      <c r="C237" s="3">
        <f>'Data Aset'!B239</f>
        <v/>
      </c>
      <c r="D237" s="3">
        <f>'Data Aset'!F239</f>
        <v/>
      </c>
      <c r="E237" s="3" t="inlineStr">
        <is>
          <t>Inventaris Ruangan</t>
        </is>
      </c>
      <c r="F237" s="3">
        <f>'Data Aset'!C239</f>
        <v/>
      </c>
      <c r="G237" s="3">
        <f>'Data Aset'!J239</f>
        <v/>
      </c>
      <c r="H237" s="5">
        <f>'Data Aset'!M239</f>
        <v/>
      </c>
      <c r="I237" s="3">
        <f>'Data Aset'!O239</f>
        <v/>
      </c>
      <c r="J237" s="5" t="n">
        <v>0</v>
      </c>
      <c r="K237" s="3" t="inlineStr">
        <is>
          <t>Garis Lurus</t>
        </is>
      </c>
      <c r="L237" s="5">
        <f>IFERROR(M237/12,"")</f>
        <v/>
      </c>
      <c r="M237" s="5">
        <f>IFERROR((H237-J237)/I237,"")</f>
        <v/>
      </c>
      <c r="N237" s="5">
        <f>IFERROR(M237,"")</f>
        <v/>
      </c>
      <c r="O237" s="5">
        <f>IFERROR(H237-N237,"")</f>
        <v/>
      </c>
      <c r="P237" s="3" t="inlineStr">
        <is>
          <t>Belum dihitung</t>
        </is>
      </c>
      <c r="Q237" s="3" t="n"/>
    </row>
    <row r="238">
      <c r="A238" s="3" t="n">
        <v>237</v>
      </c>
      <c r="B238" s="3" t="inlineStr">
        <is>
          <t>Desember 2025</t>
        </is>
      </c>
      <c r="C238" s="3">
        <f>'Data Aset'!B240</f>
        <v/>
      </c>
      <c r="D238" s="3">
        <f>'Data Aset'!F240</f>
        <v/>
      </c>
      <c r="E238" s="3" t="inlineStr">
        <is>
          <t>Inventaris Ruangan</t>
        </is>
      </c>
      <c r="F238" s="3">
        <f>'Data Aset'!C240</f>
        <v/>
      </c>
      <c r="G238" s="3">
        <f>'Data Aset'!J240</f>
        <v/>
      </c>
      <c r="H238" s="5">
        <f>'Data Aset'!M240</f>
        <v/>
      </c>
      <c r="I238" s="3">
        <f>'Data Aset'!O240</f>
        <v/>
      </c>
      <c r="J238" s="5" t="n">
        <v>0</v>
      </c>
      <c r="K238" s="3" t="inlineStr">
        <is>
          <t>Garis Lurus</t>
        </is>
      </c>
      <c r="L238" s="5">
        <f>IFERROR(M238/12,"")</f>
        <v/>
      </c>
      <c r="M238" s="5">
        <f>IFERROR((H238-J238)/I238,"")</f>
        <v/>
      </c>
      <c r="N238" s="5">
        <f>IFERROR(M238,"")</f>
        <v/>
      </c>
      <c r="O238" s="5">
        <f>IFERROR(H238-N238,"")</f>
        <v/>
      </c>
      <c r="P238" s="3" t="inlineStr">
        <is>
          <t>Belum dihitung</t>
        </is>
      </c>
      <c r="Q238" s="3" t="n"/>
    </row>
    <row r="239">
      <c r="A239" s="3" t="n">
        <v>238</v>
      </c>
      <c r="B239" s="3" t="inlineStr">
        <is>
          <t>Desember 2025</t>
        </is>
      </c>
      <c r="C239" s="3">
        <f>'Data Aset'!B241</f>
        <v/>
      </c>
      <c r="D239" s="3">
        <f>'Data Aset'!F241</f>
        <v/>
      </c>
      <c r="E239" s="3" t="inlineStr">
        <is>
          <t>Inventaris Ruangan</t>
        </is>
      </c>
      <c r="F239" s="3">
        <f>'Data Aset'!C241</f>
        <v/>
      </c>
      <c r="G239" s="3">
        <f>'Data Aset'!J241</f>
        <v/>
      </c>
      <c r="H239" s="5">
        <f>'Data Aset'!M241</f>
        <v/>
      </c>
      <c r="I239" s="3">
        <f>'Data Aset'!O241</f>
        <v/>
      </c>
      <c r="J239" s="5" t="n">
        <v>0</v>
      </c>
      <c r="K239" s="3" t="inlineStr">
        <is>
          <t>Garis Lurus</t>
        </is>
      </c>
      <c r="L239" s="5">
        <f>IFERROR(M239/12,"")</f>
        <v/>
      </c>
      <c r="M239" s="5">
        <f>IFERROR((H239-J239)/I239,"")</f>
        <v/>
      </c>
      <c r="N239" s="5">
        <f>IFERROR(M239,"")</f>
        <v/>
      </c>
      <c r="O239" s="5">
        <f>IFERROR(H239-N239,"")</f>
        <v/>
      </c>
      <c r="P239" s="3" t="inlineStr">
        <is>
          <t>Belum dihitung</t>
        </is>
      </c>
      <c r="Q239" s="3" t="n"/>
    </row>
    <row r="240">
      <c r="A240" s="3" t="n">
        <v>239</v>
      </c>
      <c r="B240" s="3" t="inlineStr">
        <is>
          <t>Desember 2025</t>
        </is>
      </c>
      <c r="C240" s="3">
        <f>'Data Aset'!B242</f>
        <v/>
      </c>
      <c r="D240" s="3">
        <f>'Data Aset'!F242</f>
        <v/>
      </c>
      <c r="E240" s="3" t="inlineStr">
        <is>
          <t>Inventaris Ruangan</t>
        </is>
      </c>
      <c r="F240" s="3">
        <f>'Data Aset'!C242</f>
        <v/>
      </c>
      <c r="G240" s="3">
        <f>'Data Aset'!J242</f>
        <v/>
      </c>
      <c r="H240" s="5">
        <f>'Data Aset'!M242</f>
        <v/>
      </c>
      <c r="I240" s="3">
        <f>'Data Aset'!O242</f>
        <v/>
      </c>
      <c r="J240" s="5" t="n">
        <v>0</v>
      </c>
      <c r="K240" s="3" t="inlineStr">
        <is>
          <t>Garis Lurus</t>
        </is>
      </c>
      <c r="L240" s="5">
        <f>IFERROR(M240/12,"")</f>
        <v/>
      </c>
      <c r="M240" s="5">
        <f>IFERROR((H240-J240)/I240,"")</f>
        <v/>
      </c>
      <c r="N240" s="5">
        <f>IFERROR(M240,"")</f>
        <v/>
      </c>
      <c r="O240" s="5">
        <f>IFERROR(H240-N240,"")</f>
        <v/>
      </c>
      <c r="P240" s="3" t="inlineStr">
        <is>
          <t>Belum dihitung</t>
        </is>
      </c>
      <c r="Q240" s="3" t="n"/>
    </row>
    <row r="241">
      <c r="A241" s="3" t="n">
        <v>240</v>
      </c>
      <c r="B241" s="3" t="inlineStr">
        <is>
          <t>Desember 2025</t>
        </is>
      </c>
      <c r="C241" s="3">
        <f>'Data Aset'!B243</f>
        <v/>
      </c>
      <c r="D241" s="3">
        <f>'Data Aset'!F243</f>
        <v/>
      </c>
      <c r="E241" s="3" t="inlineStr">
        <is>
          <t>Inventaris Ruangan</t>
        </is>
      </c>
      <c r="F241" s="3">
        <f>'Data Aset'!C243</f>
        <v/>
      </c>
      <c r="G241" s="3">
        <f>'Data Aset'!J243</f>
        <v/>
      </c>
      <c r="H241" s="5">
        <f>'Data Aset'!M243</f>
        <v/>
      </c>
      <c r="I241" s="3">
        <f>'Data Aset'!O243</f>
        <v/>
      </c>
      <c r="J241" s="5" t="n">
        <v>0</v>
      </c>
      <c r="K241" s="3" t="inlineStr">
        <is>
          <t>Garis Lurus</t>
        </is>
      </c>
      <c r="L241" s="5">
        <f>IFERROR(M241/12,"")</f>
        <v/>
      </c>
      <c r="M241" s="5">
        <f>IFERROR((H241-J241)/I241,"")</f>
        <v/>
      </c>
      <c r="N241" s="5">
        <f>IFERROR(M241,"")</f>
        <v/>
      </c>
      <c r="O241" s="5">
        <f>IFERROR(H241-N241,"")</f>
        <v/>
      </c>
      <c r="P241" s="3" t="inlineStr">
        <is>
          <t>Belum dihitung</t>
        </is>
      </c>
      <c r="Q241" s="3" t="n"/>
    </row>
    <row r="242">
      <c r="A242" s="3" t="n">
        <v>241</v>
      </c>
      <c r="B242" s="3" t="inlineStr">
        <is>
          <t>Desember 2025</t>
        </is>
      </c>
      <c r="C242" s="3">
        <f>'Data Aset'!B244</f>
        <v/>
      </c>
      <c r="D242" s="3">
        <f>'Data Aset'!F244</f>
        <v/>
      </c>
      <c r="E242" s="3" t="inlineStr">
        <is>
          <t>Inventaris Ruangan</t>
        </is>
      </c>
      <c r="F242" s="3">
        <f>'Data Aset'!C244</f>
        <v/>
      </c>
      <c r="G242" s="3">
        <f>'Data Aset'!J244</f>
        <v/>
      </c>
      <c r="H242" s="5">
        <f>'Data Aset'!M244</f>
        <v/>
      </c>
      <c r="I242" s="3">
        <f>'Data Aset'!O244</f>
        <v/>
      </c>
      <c r="J242" s="5" t="n">
        <v>0</v>
      </c>
      <c r="K242" s="3" t="inlineStr">
        <is>
          <t>Garis Lurus</t>
        </is>
      </c>
      <c r="L242" s="5">
        <f>IFERROR(M242/12,"")</f>
        <v/>
      </c>
      <c r="M242" s="5">
        <f>IFERROR((H242-J242)/I242,"")</f>
        <v/>
      </c>
      <c r="N242" s="5">
        <f>IFERROR(M242,"")</f>
        <v/>
      </c>
      <c r="O242" s="5">
        <f>IFERROR(H242-N242,"")</f>
        <v/>
      </c>
      <c r="P242" s="3" t="inlineStr">
        <is>
          <t>Belum dihitung</t>
        </is>
      </c>
      <c r="Q242" s="3" t="n"/>
    </row>
    <row r="243">
      <c r="A243" s="3" t="n">
        <v>242</v>
      </c>
      <c r="B243" s="3" t="inlineStr">
        <is>
          <t>Desember 2025</t>
        </is>
      </c>
      <c r="C243" s="3">
        <f>'Data Aset'!B245</f>
        <v/>
      </c>
      <c r="D243" s="3">
        <f>'Data Aset'!F245</f>
        <v/>
      </c>
      <c r="E243" s="3" t="inlineStr">
        <is>
          <t>Inventaris Ruangan</t>
        </is>
      </c>
      <c r="F243" s="3">
        <f>'Data Aset'!C245</f>
        <v/>
      </c>
      <c r="G243" s="3">
        <f>'Data Aset'!J245</f>
        <v/>
      </c>
      <c r="H243" s="5">
        <f>'Data Aset'!M245</f>
        <v/>
      </c>
      <c r="I243" s="3">
        <f>'Data Aset'!O245</f>
        <v/>
      </c>
      <c r="J243" s="5" t="n">
        <v>0</v>
      </c>
      <c r="K243" s="3" t="inlineStr">
        <is>
          <t>Garis Lurus</t>
        </is>
      </c>
      <c r="L243" s="5">
        <f>IFERROR(M243/12,"")</f>
        <v/>
      </c>
      <c r="M243" s="5">
        <f>IFERROR((H243-J243)/I243,"")</f>
        <v/>
      </c>
      <c r="N243" s="5">
        <f>IFERROR(M243,"")</f>
        <v/>
      </c>
      <c r="O243" s="5">
        <f>IFERROR(H243-N243,"")</f>
        <v/>
      </c>
      <c r="P243" s="3" t="inlineStr">
        <is>
          <t>Belum dihitung</t>
        </is>
      </c>
      <c r="Q243" s="3" t="n"/>
    </row>
    <row r="244">
      <c r="A244" s="3" t="n">
        <v>243</v>
      </c>
      <c r="B244" s="3" t="inlineStr">
        <is>
          <t>Desember 2025</t>
        </is>
      </c>
      <c r="C244" s="3">
        <f>'Data Aset'!B246</f>
        <v/>
      </c>
      <c r="D244" s="3">
        <f>'Data Aset'!F246</f>
        <v/>
      </c>
      <c r="E244" s="3" t="inlineStr">
        <is>
          <t>Inventaris Ruangan</t>
        </is>
      </c>
      <c r="F244" s="3">
        <f>'Data Aset'!C246</f>
        <v/>
      </c>
      <c r="G244" s="3">
        <f>'Data Aset'!J246</f>
        <v/>
      </c>
      <c r="H244" s="5">
        <f>'Data Aset'!M246</f>
        <v/>
      </c>
      <c r="I244" s="3">
        <f>'Data Aset'!O246</f>
        <v/>
      </c>
      <c r="J244" s="5" t="n">
        <v>0</v>
      </c>
      <c r="K244" s="3" t="inlineStr">
        <is>
          <t>Garis Lurus</t>
        </is>
      </c>
      <c r="L244" s="5">
        <f>IFERROR(M244/12,"")</f>
        <v/>
      </c>
      <c r="M244" s="5">
        <f>IFERROR((H244-J244)/I244,"")</f>
        <v/>
      </c>
      <c r="N244" s="5">
        <f>IFERROR(M244,"")</f>
        <v/>
      </c>
      <c r="O244" s="5">
        <f>IFERROR(H244-N244,"")</f>
        <v/>
      </c>
      <c r="P244" s="3" t="inlineStr">
        <is>
          <t>Belum dihitung</t>
        </is>
      </c>
      <c r="Q244" s="3" t="n"/>
    </row>
    <row r="245">
      <c r="A245" s="3" t="n">
        <v>244</v>
      </c>
      <c r="B245" s="3" t="inlineStr">
        <is>
          <t>Desember 2025</t>
        </is>
      </c>
      <c r="C245" s="3">
        <f>'Data Aset'!B247</f>
        <v/>
      </c>
      <c r="D245" s="3">
        <f>'Data Aset'!F247</f>
        <v/>
      </c>
      <c r="E245" s="3" t="inlineStr">
        <is>
          <t>Inventaris Ruangan</t>
        </is>
      </c>
      <c r="F245" s="3">
        <f>'Data Aset'!C247</f>
        <v/>
      </c>
      <c r="G245" s="3">
        <f>'Data Aset'!J247</f>
        <v/>
      </c>
      <c r="H245" s="5">
        <f>'Data Aset'!M247</f>
        <v/>
      </c>
      <c r="I245" s="3">
        <f>'Data Aset'!O247</f>
        <v/>
      </c>
      <c r="J245" s="5" t="n">
        <v>0</v>
      </c>
      <c r="K245" s="3" t="inlineStr">
        <is>
          <t>Garis Lurus</t>
        </is>
      </c>
      <c r="L245" s="5">
        <f>IFERROR(M245/12,"")</f>
        <v/>
      </c>
      <c r="M245" s="5">
        <f>IFERROR((H245-J245)/I245,"")</f>
        <v/>
      </c>
      <c r="N245" s="5">
        <f>IFERROR(M245,"")</f>
        <v/>
      </c>
      <c r="O245" s="5">
        <f>IFERROR(H245-N245,"")</f>
        <v/>
      </c>
      <c r="P245" s="3" t="inlineStr">
        <is>
          <t>Belum dihitung</t>
        </is>
      </c>
      <c r="Q245" s="3" t="n"/>
    </row>
    <row r="246">
      <c r="A246" s="3" t="n">
        <v>245</v>
      </c>
      <c r="B246" s="3" t="inlineStr">
        <is>
          <t>Desember 2025</t>
        </is>
      </c>
      <c r="C246" s="3">
        <f>'Data Aset'!B248</f>
        <v/>
      </c>
      <c r="D246" s="3">
        <f>'Data Aset'!F248</f>
        <v/>
      </c>
      <c r="E246" s="3" t="inlineStr">
        <is>
          <t>Inventaris Ruangan</t>
        </is>
      </c>
      <c r="F246" s="3">
        <f>'Data Aset'!C248</f>
        <v/>
      </c>
      <c r="G246" s="3">
        <f>'Data Aset'!J248</f>
        <v/>
      </c>
      <c r="H246" s="5">
        <f>'Data Aset'!M248</f>
        <v/>
      </c>
      <c r="I246" s="3">
        <f>'Data Aset'!O248</f>
        <v/>
      </c>
      <c r="J246" s="5" t="n">
        <v>0</v>
      </c>
      <c r="K246" s="3" t="inlineStr">
        <is>
          <t>Garis Lurus</t>
        </is>
      </c>
      <c r="L246" s="5">
        <f>IFERROR(M246/12,"")</f>
        <v/>
      </c>
      <c r="M246" s="5">
        <f>IFERROR((H246-J246)/I246,"")</f>
        <v/>
      </c>
      <c r="N246" s="5">
        <f>IFERROR(M246,"")</f>
        <v/>
      </c>
      <c r="O246" s="5">
        <f>IFERROR(H246-N246,"")</f>
        <v/>
      </c>
      <c r="P246" s="3" t="inlineStr">
        <is>
          <t>Belum dihitung</t>
        </is>
      </c>
      <c r="Q246" s="3" t="n"/>
    </row>
    <row r="247">
      <c r="A247" s="3" t="n">
        <v>246</v>
      </c>
      <c r="B247" s="3" t="inlineStr">
        <is>
          <t>Desember 2025</t>
        </is>
      </c>
      <c r="C247" s="3">
        <f>'Data Aset'!B249</f>
        <v/>
      </c>
      <c r="D247" s="3">
        <f>'Data Aset'!F249</f>
        <v/>
      </c>
      <c r="E247" s="3" t="inlineStr">
        <is>
          <t>Inventaris Ruangan</t>
        </is>
      </c>
      <c r="F247" s="3">
        <f>'Data Aset'!C249</f>
        <v/>
      </c>
      <c r="G247" s="3">
        <f>'Data Aset'!J249</f>
        <v/>
      </c>
      <c r="H247" s="5">
        <f>'Data Aset'!M249</f>
        <v/>
      </c>
      <c r="I247" s="3">
        <f>'Data Aset'!O249</f>
        <v/>
      </c>
      <c r="J247" s="5" t="n">
        <v>0</v>
      </c>
      <c r="K247" s="3" t="inlineStr">
        <is>
          <t>Garis Lurus</t>
        </is>
      </c>
      <c r="L247" s="5">
        <f>IFERROR(M247/12,"")</f>
        <v/>
      </c>
      <c r="M247" s="5">
        <f>IFERROR((H247-J247)/I247,"")</f>
        <v/>
      </c>
      <c r="N247" s="5">
        <f>IFERROR(M247,"")</f>
        <v/>
      </c>
      <c r="O247" s="5">
        <f>IFERROR(H247-N247,"")</f>
        <v/>
      </c>
      <c r="P247" s="3" t="inlineStr">
        <is>
          <t>Belum dihitung</t>
        </is>
      </c>
      <c r="Q247" s="3" t="n"/>
    </row>
    <row r="248">
      <c r="A248" s="3" t="n">
        <v>247</v>
      </c>
      <c r="B248" s="3" t="inlineStr">
        <is>
          <t>Desember 2025</t>
        </is>
      </c>
      <c r="C248" s="3">
        <f>'Data Aset'!B250</f>
        <v/>
      </c>
      <c r="D248" s="3">
        <f>'Data Aset'!F250</f>
        <v/>
      </c>
      <c r="E248" s="3" t="inlineStr">
        <is>
          <t>Inventaris Ruangan</t>
        </is>
      </c>
      <c r="F248" s="3">
        <f>'Data Aset'!C250</f>
        <v/>
      </c>
      <c r="G248" s="3">
        <f>'Data Aset'!J250</f>
        <v/>
      </c>
      <c r="H248" s="5">
        <f>'Data Aset'!M250</f>
        <v/>
      </c>
      <c r="I248" s="3">
        <f>'Data Aset'!O250</f>
        <v/>
      </c>
      <c r="J248" s="5" t="n">
        <v>0</v>
      </c>
      <c r="K248" s="3" t="inlineStr">
        <is>
          <t>Garis Lurus</t>
        </is>
      </c>
      <c r="L248" s="5">
        <f>IFERROR(M248/12,"")</f>
        <v/>
      </c>
      <c r="M248" s="5">
        <f>IFERROR((H248-J248)/I248,"")</f>
        <v/>
      </c>
      <c r="N248" s="5">
        <f>IFERROR(M248,"")</f>
        <v/>
      </c>
      <c r="O248" s="5">
        <f>IFERROR(H248-N248,"")</f>
        <v/>
      </c>
      <c r="P248" s="3" t="inlineStr">
        <is>
          <t>Belum dihitung</t>
        </is>
      </c>
      <c r="Q248" s="3" t="n"/>
    </row>
    <row r="249">
      <c r="A249" s="3" t="n">
        <v>248</v>
      </c>
      <c r="B249" s="3" t="inlineStr">
        <is>
          <t>Desember 2025</t>
        </is>
      </c>
      <c r="C249" s="3">
        <f>'Data Aset'!B251</f>
        <v/>
      </c>
      <c r="D249" s="3">
        <f>'Data Aset'!F251</f>
        <v/>
      </c>
      <c r="E249" s="3" t="inlineStr">
        <is>
          <t>Inventaris Ruangan</t>
        </is>
      </c>
      <c r="F249" s="3">
        <f>'Data Aset'!C251</f>
        <v/>
      </c>
      <c r="G249" s="3">
        <f>'Data Aset'!J251</f>
        <v/>
      </c>
      <c r="H249" s="5">
        <f>'Data Aset'!M251</f>
        <v/>
      </c>
      <c r="I249" s="3">
        <f>'Data Aset'!O251</f>
        <v/>
      </c>
      <c r="J249" s="5" t="n">
        <v>0</v>
      </c>
      <c r="K249" s="3" t="inlineStr">
        <is>
          <t>Garis Lurus</t>
        </is>
      </c>
      <c r="L249" s="5">
        <f>IFERROR(M249/12,"")</f>
        <v/>
      </c>
      <c r="M249" s="5">
        <f>IFERROR((H249-J249)/I249,"")</f>
        <v/>
      </c>
      <c r="N249" s="5">
        <f>IFERROR(M249,"")</f>
        <v/>
      </c>
      <c r="O249" s="5">
        <f>IFERROR(H249-N249,"")</f>
        <v/>
      </c>
      <c r="P249" s="3" t="inlineStr">
        <is>
          <t>Belum dihitung</t>
        </is>
      </c>
      <c r="Q249" s="3" t="n"/>
    </row>
    <row r="250">
      <c r="A250" s="3" t="n">
        <v>249</v>
      </c>
      <c r="B250" s="3" t="inlineStr">
        <is>
          <t>Desember 2025</t>
        </is>
      </c>
      <c r="C250" s="3">
        <f>'Data Aset'!B252</f>
        <v/>
      </c>
      <c r="D250" s="3">
        <f>'Data Aset'!F252</f>
        <v/>
      </c>
      <c r="E250" s="3" t="inlineStr">
        <is>
          <t>Inventaris Ruangan</t>
        </is>
      </c>
      <c r="F250" s="3">
        <f>'Data Aset'!C252</f>
        <v/>
      </c>
      <c r="G250" s="3">
        <f>'Data Aset'!J252</f>
        <v/>
      </c>
      <c r="H250" s="5">
        <f>'Data Aset'!M252</f>
        <v/>
      </c>
      <c r="I250" s="3">
        <f>'Data Aset'!O252</f>
        <v/>
      </c>
      <c r="J250" s="5" t="n">
        <v>0</v>
      </c>
      <c r="K250" s="3" t="inlineStr">
        <is>
          <t>Garis Lurus</t>
        </is>
      </c>
      <c r="L250" s="5">
        <f>IFERROR(M250/12,"")</f>
        <v/>
      </c>
      <c r="M250" s="5">
        <f>IFERROR((H250-J250)/I250,"")</f>
        <v/>
      </c>
      <c r="N250" s="5">
        <f>IFERROR(M250,"")</f>
        <v/>
      </c>
      <c r="O250" s="5">
        <f>IFERROR(H250-N250,"")</f>
        <v/>
      </c>
      <c r="P250" s="3" t="inlineStr">
        <is>
          <t>Belum dihitung</t>
        </is>
      </c>
      <c r="Q250" s="3" t="n"/>
    </row>
    <row r="251">
      <c r="A251" s="3" t="n">
        <v>250</v>
      </c>
      <c r="B251" s="3" t="inlineStr">
        <is>
          <t>Desember 2025</t>
        </is>
      </c>
      <c r="C251" s="3">
        <f>'Data Aset'!B253</f>
        <v/>
      </c>
      <c r="D251" s="3">
        <f>'Data Aset'!F253</f>
        <v/>
      </c>
      <c r="E251" s="3" t="inlineStr">
        <is>
          <t>Inventaris Ruangan</t>
        </is>
      </c>
      <c r="F251" s="3">
        <f>'Data Aset'!C253</f>
        <v/>
      </c>
      <c r="G251" s="3">
        <f>'Data Aset'!J253</f>
        <v/>
      </c>
      <c r="H251" s="5">
        <f>'Data Aset'!M253</f>
        <v/>
      </c>
      <c r="I251" s="3">
        <f>'Data Aset'!O253</f>
        <v/>
      </c>
      <c r="J251" s="5" t="n">
        <v>0</v>
      </c>
      <c r="K251" s="3" t="inlineStr">
        <is>
          <t>Garis Lurus</t>
        </is>
      </c>
      <c r="L251" s="5">
        <f>IFERROR(M251/12,"")</f>
        <v/>
      </c>
      <c r="M251" s="5">
        <f>IFERROR((H251-J251)/I251,"")</f>
        <v/>
      </c>
      <c r="N251" s="5">
        <f>IFERROR(M251,"")</f>
        <v/>
      </c>
      <c r="O251" s="5">
        <f>IFERROR(H251-N251,"")</f>
        <v/>
      </c>
      <c r="P251" s="3" t="inlineStr">
        <is>
          <t>Belum dihitung</t>
        </is>
      </c>
      <c r="Q251" s="3" t="n"/>
    </row>
    <row r="252">
      <c r="A252" s="3" t="n">
        <v>251</v>
      </c>
      <c r="B252" s="3" t="inlineStr">
        <is>
          <t>Desember 2025</t>
        </is>
      </c>
      <c r="C252" s="3">
        <f>'Data Aset'!B254</f>
        <v/>
      </c>
      <c r="D252" s="3">
        <f>'Data Aset'!F254</f>
        <v/>
      </c>
      <c r="E252" s="3" t="inlineStr">
        <is>
          <t>Inventaris Ruangan</t>
        </is>
      </c>
      <c r="F252" s="3">
        <f>'Data Aset'!C254</f>
        <v/>
      </c>
      <c r="G252" s="3">
        <f>'Data Aset'!J254</f>
        <v/>
      </c>
      <c r="H252" s="5">
        <f>'Data Aset'!M254</f>
        <v/>
      </c>
      <c r="I252" s="3">
        <f>'Data Aset'!O254</f>
        <v/>
      </c>
      <c r="J252" s="5" t="n">
        <v>0</v>
      </c>
      <c r="K252" s="3" t="inlineStr">
        <is>
          <t>Garis Lurus</t>
        </is>
      </c>
      <c r="L252" s="5">
        <f>IFERROR(M252/12,"")</f>
        <v/>
      </c>
      <c r="M252" s="5">
        <f>IFERROR((H252-J252)/I252,"")</f>
        <v/>
      </c>
      <c r="N252" s="5">
        <f>IFERROR(M252,"")</f>
        <v/>
      </c>
      <c r="O252" s="5">
        <f>IFERROR(H252-N252,"")</f>
        <v/>
      </c>
      <c r="P252" s="3" t="inlineStr">
        <is>
          <t>Belum dihitung</t>
        </is>
      </c>
      <c r="Q252" s="3" t="n"/>
    </row>
    <row r="253">
      <c r="A253" s="3" t="n">
        <v>252</v>
      </c>
      <c r="B253" s="3" t="inlineStr">
        <is>
          <t>Desember 2025</t>
        </is>
      </c>
      <c r="C253" s="3">
        <f>'Data Aset'!B255</f>
        <v/>
      </c>
      <c r="D253" s="3">
        <f>'Data Aset'!F255</f>
        <v/>
      </c>
      <c r="E253" s="3" t="inlineStr">
        <is>
          <t>Inventaris Ruangan</t>
        </is>
      </c>
      <c r="F253" s="3">
        <f>'Data Aset'!C255</f>
        <v/>
      </c>
      <c r="G253" s="3">
        <f>'Data Aset'!J255</f>
        <v/>
      </c>
      <c r="H253" s="5">
        <f>'Data Aset'!M255</f>
        <v/>
      </c>
      <c r="I253" s="3">
        <f>'Data Aset'!O255</f>
        <v/>
      </c>
      <c r="J253" s="5" t="n">
        <v>0</v>
      </c>
      <c r="K253" s="3" t="inlineStr">
        <is>
          <t>Garis Lurus</t>
        </is>
      </c>
      <c r="L253" s="5">
        <f>IFERROR(M253/12,"")</f>
        <v/>
      </c>
      <c r="M253" s="5">
        <f>IFERROR((H253-J253)/I253,"")</f>
        <v/>
      </c>
      <c r="N253" s="5">
        <f>IFERROR(M253,"")</f>
        <v/>
      </c>
      <c r="O253" s="5">
        <f>IFERROR(H253-N253,"")</f>
        <v/>
      </c>
      <c r="P253" s="3" t="inlineStr">
        <is>
          <t>Belum dihitung</t>
        </is>
      </c>
      <c r="Q253" s="3" t="n"/>
    </row>
    <row r="254">
      <c r="A254" s="3" t="n">
        <v>253</v>
      </c>
      <c r="B254" s="3" t="inlineStr">
        <is>
          <t>Desember 2025</t>
        </is>
      </c>
      <c r="C254" s="3">
        <f>'Data Aset'!B256</f>
        <v/>
      </c>
      <c r="D254" s="3">
        <f>'Data Aset'!F256</f>
        <v/>
      </c>
      <c r="E254" s="3" t="inlineStr">
        <is>
          <t>Inventaris Ruangan</t>
        </is>
      </c>
      <c r="F254" s="3">
        <f>'Data Aset'!C256</f>
        <v/>
      </c>
      <c r="G254" s="3">
        <f>'Data Aset'!J256</f>
        <v/>
      </c>
      <c r="H254" s="5">
        <f>'Data Aset'!M256</f>
        <v/>
      </c>
      <c r="I254" s="3">
        <f>'Data Aset'!O256</f>
        <v/>
      </c>
      <c r="J254" s="5" t="n">
        <v>0</v>
      </c>
      <c r="K254" s="3" t="inlineStr">
        <is>
          <t>Garis Lurus</t>
        </is>
      </c>
      <c r="L254" s="5">
        <f>IFERROR(M254/12,"")</f>
        <v/>
      </c>
      <c r="M254" s="5">
        <f>IFERROR((H254-J254)/I254,"")</f>
        <v/>
      </c>
      <c r="N254" s="5">
        <f>IFERROR(M254,"")</f>
        <v/>
      </c>
      <c r="O254" s="5">
        <f>IFERROR(H254-N254,"")</f>
        <v/>
      </c>
      <c r="P254" s="3" t="inlineStr">
        <is>
          <t>Belum dihitung</t>
        </is>
      </c>
      <c r="Q254" s="3" t="n"/>
    </row>
    <row r="255">
      <c r="A255" s="3" t="n">
        <v>254</v>
      </c>
      <c r="B255" s="3" t="inlineStr">
        <is>
          <t>Desember 2025</t>
        </is>
      </c>
      <c r="C255" s="3">
        <f>'Data Aset'!B257</f>
        <v/>
      </c>
      <c r="D255" s="3">
        <f>'Data Aset'!F257</f>
        <v/>
      </c>
      <c r="E255" s="3" t="inlineStr">
        <is>
          <t>Inventaris Ruangan</t>
        </is>
      </c>
      <c r="F255" s="3">
        <f>'Data Aset'!C257</f>
        <v/>
      </c>
      <c r="G255" s="3">
        <f>'Data Aset'!J257</f>
        <v/>
      </c>
      <c r="H255" s="5">
        <f>'Data Aset'!M257</f>
        <v/>
      </c>
      <c r="I255" s="3">
        <f>'Data Aset'!O257</f>
        <v/>
      </c>
      <c r="J255" s="5" t="n">
        <v>0</v>
      </c>
      <c r="K255" s="3" t="inlineStr">
        <is>
          <t>Garis Lurus</t>
        </is>
      </c>
      <c r="L255" s="5">
        <f>IFERROR(M255/12,"")</f>
        <v/>
      </c>
      <c r="M255" s="5">
        <f>IFERROR((H255-J255)/I255,"")</f>
        <v/>
      </c>
      <c r="N255" s="5">
        <f>IFERROR(M255,"")</f>
        <v/>
      </c>
      <c r="O255" s="5">
        <f>IFERROR(H255-N255,"")</f>
        <v/>
      </c>
      <c r="P255" s="3" t="inlineStr">
        <is>
          <t>Belum dihitung</t>
        </is>
      </c>
      <c r="Q255" s="3" t="n"/>
    </row>
    <row r="256">
      <c r="A256" s="3" t="n">
        <v>255</v>
      </c>
      <c r="B256" s="3" t="inlineStr">
        <is>
          <t>Desember 2025</t>
        </is>
      </c>
      <c r="C256" s="3">
        <f>'Data Aset'!B258</f>
        <v/>
      </c>
      <c r="D256" s="3">
        <f>'Data Aset'!F258</f>
        <v/>
      </c>
      <c r="E256" s="3" t="inlineStr">
        <is>
          <t>Inventaris Ruangan</t>
        </is>
      </c>
      <c r="F256" s="3">
        <f>'Data Aset'!C258</f>
        <v/>
      </c>
      <c r="G256" s="3">
        <f>'Data Aset'!J258</f>
        <v/>
      </c>
      <c r="H256" s="5">
        <f>'Data Aset'!M258</f>
        <v/>
      </c>
      <c r="I256" s="3">
        <f>'Data Aset'!O258</f>
        <v/>
      </c>
      <c r="J256" s="5" t="n">
        <v>0</v>
      </c>
      <c r="K256" s="3" t="inlineStr">
        <is>
          <t>Garis Lurus</t>
        </is>
      </c>
      <c r="L256" s="5">
        <f>IFERROR(M256/12,"")</f>
        <v/>
      </c>
      <c r="M256" s="5">
        <f>IFERROR((H256-J256)/I256,"")</f>
        <v/>
      </c>
      <c r="N256" s="5">
        <f>IFERROR(M256,"")</f>
        <v/>
      </c>
      <c r="O256" s="5">
        <f>IFERROR(H256-N256,"")</f>
        <v/>
      </c>
      <c r="P256" s="3" t="inlineStr">
        <is>
          <t>Belum dihitung</t>
        </is>
      </c>
      <c r="Q256" s="3" t="n"/>
    </row>
    <row r="257">
      <c r="A257" s="3" t="n">
        <v>256</v>
      </c>
      <c r="B257" s="3" t="inlineStr">
        <is>
          <t>Desember 2025</t>
        </is>
      </c>
      <c r="C257" s="3">
        <f>'Data Aset'!B259</f>
        <v/>
      </c>
      <c r="D257" s="3">
        <f>'Data Aset'!F259</f>
        <v/>
      </c>
      <c r="E257" s="3" t="inlineStr">
        <is>
          <t>Inventaris Ruangan</t>
        </is>
      </c>
      <c r="F257" s="3">
        <f>'Data Aset'!C259</f>
        <v/>
      </c>
      <c r="G257" s="3">
        <f>'Data Aset'!J259</f>
        <v/>
      </c>
      <c r="H257" s="5">
        <f>'Data Aset'!M259</f>
        <v/>
      </c>
      <c r="I257" s="3">
        <f>'Data Aset'!O259</f>
        <v/>
      </c>
      <c r="J257" s="5" t="n">
        <v>0</v>
      </c>
      <c r="K257" s="3" t="inlineStr">
        <is>
          <t>Garis Lurus</t>
        </is>
      </c>
      <c r="L257" s="5">
        <f>IFERROR(M257/12,"")</f>
        <v/>
      </c>
      <c r="M257" s="5">
        <f>IFERROR((H257-J257)/I257,"")</f>
        <v/>
      </c>
      <c r="N257" s="5">
        <f>IFERROR(M257,"")</f>
        <v/>
      </c>
      <c r="O257" s="5">
        <f>IFERROR(H257-N257,"")</f>
        <v/>
      </c>
      <c r="P257" s="3" t="inlineStr">
        <is>
          <t>Belum dihitung</t>
        </is>
      </c>
      <c r="Q257" s="3" t="n"/>
    </row>
    <row r="258">
      <c r="A258" s="3" t="n">
        <v>257</v>
      </c>
      <c r="B258" s="3" t="inlineStr">
        <is>
          <t>Desember 2025</t>
        </is>
      </c>
      <c r="C258" s="3">
        <f>'Data Aset'!B260</f>
        <v/>
      </c>
      <c r="D258" s="3">
        <f>'Data Aset'!F260</f>
        <v/>
      </c>
      <c r="E258" s="3" t="inlineStr">
        <is>
          <t>Inventaris Ruangan</t>
        </is>
      </c>
      <c r="F258" s="3">
        <f>'Data Aset'!C260</f>
        <v/>
      </c>
      <c r="G258" s="3">
        <f>'Data Aset'!J260</f>
        <v/>
      </c>
      <c r="H258" s="5">
        <f>'Data Aset'!M260</f>
        <v/>
      </c>
      <c r="I258" s="3">
        <f>'Data Aset'!O260</f>
        <v/>
      </c>
      <c r="J258" s="5" t="n">
        <v>0</v>
      </c>
      <c r="K258" s="3" t="inlineStr">
        <is>
          <t>Garis Lurus</t>
        </is>
      </c>
      <c r="L258" s="5">
        <f>IFERROR(M258/12,"")</f>
        <v/>
      </c>
      <c r="M258" s="5">
        <f>IFERROR((H258-J258)/I258,"")</f>
        <v/>
      </c>
      <c r="N258" s="5">
        <f>IFERROR(M258,"")</f>
        <v/>
      </c>
      <c r="O258" s="5">
        <f>IFERROR(H258-N258,"")</f>
        <v/>
      </c>
      <c r="P258" s="3" t="inlineStr">
        <is>
          <t>Belum dihitung</t>
        </is>
      </c>
      <c r="Q258" s="3" t="n"/>
    </row>
    <row r="259">
      <c r="A259" s="3" t="n">
        <v>258</v>
      </c>
      <c r="B259" s="3" t="inlineStr">
        <is>
          <t>Desember 2025</t>
        </is>
      </c>
      <c r="C259" s="3">
        <f>'Data Aset'!B261</f>
        <v/>
      </c>
      <c r="D259" s="3">
        <f>'Data Aset'!F261</f>
        <v/>
      </c>
      <c r="E259" s="3" t="inlineStr">
        <is>
          <t>Inventaris Ruangan</t>
        </is>
      </c>
      <c r="F259" s="3">
        <f>'Data Aset'!C261</f>
        <v/>
      </c>
      <c r="G259" s="3">
        <f>'Data Aset'!J261</f>
        <v/>
      </c>
      <c r="H259" s="5">
        <f>'Data Aset'!M261</f>
        <v/>
      </c>
      <c r="I259" s="3">
        <f>'Data Aset'!O261</f>
        <v/>
      </c>
      <c r="J259" s="5" t="n">
        <v>0</v>
      </c>
      <c r="K259" s="3" t="inlineStr">
        <is>
          <t>Garis Lurus</t>
        </is>
      </c>
      <c r="L259" s="5">
        <f>IFERROR(M259/12,"")</f>
        <v/>
      </c>
      <c r="M259" s="5">
        <f>IFERROR((H259-J259)/I259,"")</f>
        <v/>
      </c>
      <c r="N259" s="5">
        <f>IFERROR(M259,"")</f>
        <v/>
      </c>
      <c r="O259" s="5">
        <f>IFERROR(H259-N259,"")</f>
        <v/>
      </c>
      <c r="P259" s="3" t="inlineStr">
        <is>
          <t>Belum dihitung</t>
        </is>
      </c>
      <c r="Q259" s="3" t="n"/>
    </row>
    <row r="260">
      <c r="A260" s="3" t="n">
        <v>259</v>
      </c>
      <c r="B260" s="3" t="inlineStr">
        <is>
          <t>Desember 2025</t>
        </is>
      </c>
      <c r="C260" s="3">
        <f>'Data Aset'!B262</f>
        <v/>
      </c>
      <c r="D260" s="3">
        <f>'Data Aset'!F262</f>
        <v/>
      </c>
      <c r="E260" s="3" t="inlineStr">
        <is>
          <t>Inventaris Ruangan</t>
        </is>
      </c>
      <c r="F260" s="3">
        <f>'Data Aset'!C262</f>
        <v/>
      </c>
      <c r="G260" s="3">
        <f>'Data Aset'!J262</f>
        <v/>
      </c>
      <c r="H260" s="5">
        <f>'Data Aset'!M262</f>
        <v/>
      </c>
      <c r="I260" s="3">
        <f>'Data Aset'!O262</f>
        <v/>
      </c>
      <c r="J260" s="5" t="n">
        <v>0</v>
      </c>
      <c r="K260" s="3" t="inlineStr">
        <is>
          <t>Garis Lurus</t>
        </is>
      </c>
      <c r="L260" s="5">
        <f>IFERROR(M260/12,"")</f>
        <v/>
      </c>
      <c r="M260" s="5">
        <f>IFERROR((H260-J260)/I260,"")</f>
        <v/>
      </c>
      <c r="N260" s="5">
        <f>IFERROR(M260,"")</f>
        <v/>
      </c>
      <c r="O260" s="5">
        <f>IFERROR(H260-N260,"")</f>
        <v/>
      </c>
      <c r="P260" s="3" t="inlineStr">
        <is>
          <t>Belum dihitung</t>
        </is>
      </c>
      <c r="Q260" s="3" t="n"/>
    </row>
    <row r="261">
      <c r="A261" s="3" t="n">
        <v>260</v>
      </c>
      <c r="B261" s="3" t="inlineStr">
        <is>
          <t>Desember 2025</t>
        </is>
      </c>
      <c r="C261" s="3">
        <f>'Data Aset'!B263</f>
        <v/>
      </c>
      <c r="D261" s="3">
        <f>'Data Aset'!F263</f>
        <v/>
      </c>
      <c r="E261" s="3" t="inlineStr">
        <is>
          <t>Inventaris Ruangan</t>
        </is>
      </c>
      <c r="F261" s="3">
        <f>'Data Aset'!C263</f>
        <v/>
      </c>
      <c r="G261" s="3">
        <f>'Data Aset'!J263</f>
        <v/>
      </c>
      <c r="H261" s="5">
        <f>'Data Aset'!M263</f>
        <v/>
      </c>
      <c r="I261" s="3">
        <f>'Data Aset'!O263</f>
        <v/>
      </c>
      <c r="J261" s="5" t="n">
        <v>0</v>
      </c>
      <c r="K261" s="3" t="inlineStr">
        <is>
          <t>Garis Lurus</t>
        </is>
      </c>
      <c r="L261" s="5">
        <f>IFERROR(M261/12,"")</f>
        <v/>
      </c>
      <c r="M261" s="5">
        <f>IFERROR((H261-J261)/I261,"")</f>
        <v/>
      </c>
      <c r="N261" s="5">
        <f>IFERROR(M261,"")</f>
        <v/>
      </c>
      <c r="O261" s="5">
        <f>IFERROR(H261-N261,"")</f>
        <v/>
      </c>
      <c r="P261" s="3" t="inlineStr">
        <is>
          <t>Belum dihitung</t>
        </is>
      </c>
      <c r="Q261" s="3" t="n"/>
    </row>
    <row r="262">
      <c r="A262" s="3" t="n">
        <v>261</v>
      </c>
      <c r="B262" s="3" t="inlineStr">
        <is>
          <t>Desember 2025</t>
        </is>
      </c>
      <c r="C262" s="3">
        <f>'Data Aset'!B264</f>
        <v/>
      </c>
      <c r="D262" s="3">
        <f>'Data Aset'!F264</f>
        <v/>
      </c>
      <c r="E262" s="3" t="inlineStr">
        <is>
          <t>Inventaris Ruangan</t>
        </is>
      </c>
      <c r="F262" s="3">
        <f>'Data Aset'!C264</f>
        <v/>
      </c>
      <c r="G262" s="3">
        <f>'Data Aset'!J264</f>
        <v/>
      </c>
      <c r="H262" s="5">
        <f>'Data Aset'!M264</f>
        <v/>
      </c>
      <c r="I262" s="3">
        <f>'Data Aset'!O264</f>
        <v/>
      </c>
      <c r="J262" s="5" t="n">
        <v>0</v>
      </c>
      <c r="K262" s="3" t="inlineStr">
        <is>
          <t>Garis Lurus</t>
        </is>
      </c>
      <c r="L262" s="5">
        <f>IFERROR(M262/12,"")</f>
        <v/>
      </c>
      <c r="M262" s="5">
        <f>IFERROR((H262-J262)/I262,"")</f>
        <v/>
      </c>
      <c r="N262" s="5">
        <f>IFERROR(M262,"")</f>
        <v/>
      </c>
      <c r="O262" s="5">
        <f>IFERROR(H262-N262,"")</f>
        <v/>
      </c>
      <c r="P262" s="3" t="inlineStr">
        <is>
          <t>Belum dihitung</t>
        </is>
      </c>
      <c r="Q262" s="3" t="n"/>
    </row>
    <row r="263">
      <c r="A263" s="3" t="n">
        <v>262</v>
      </c>
      <c r="B263" s="3" t="inlineStr">
        <is>
          <t>Desember 2025</t>
        </is>
      </c>
      <c r="C263" s="3">
        <f>'Data Aset'!B265</f>
        <v/>
      </c>
      <c r="D263" s="3">
        <f>'Data Aset'!F265</f>
        <v/>
      </c>
      <c r="E263" s="3" t="inlineStr">
        <is>
          <t>Inventaris Ruangan</t>
        </is>
      </c>
      <c r="F263" s="3">
        <f>'Data Aset'!C265</f>
        <v/>
      </c>
      <c r="G263" s="3">
        <f>'Data Aset'!J265</f>
        <v/>
      </c>
      <c r="H263" s="5">
        <f>'Data Aset'!M265</f>
        <v/>
      </c>
      <c r="I263" s="3">
        <f>'Data Aset'!O265</f>
        <v/>
      </c>
      <c r="J263" s="5" t="n">
        <v>0</v>
      </c>
      <c r="K263" s="3" t="inlineStr">
        <is>
          <t>Garis Lurus</t>
        </is>
      </c>
      <c r="L263" s="5">
        <f>IFERROR(M263/12,"")</f>
        <v/>
      </c>
      <c r="M263" s="5">
        <f>IFERROR((H263-J263)/I263,"")</f>
        <v/>
      </c>
      <c r="N263" s="5">
        <f>IFERROR(M263,"")</f>
        <v/>
      </c>
      <c r="O263" s="5">
        <f>IFERROR(H263-N263,"")</f>
        <v/>
      </c>
      <c r="P263" s="3" t="inlineStr">
        <is>
          <t>Belum dihitung</t>
        </is>
      </c>
      <c r="Q263" s="3" t="n"/>
    </row>
    <row r="264">
      <c r="A264" s="3" t="n">
        <v>263</v>
      </c>
      <c r="B264" s="3" t="inlineStr">
        <is>
          <t>Desember 2025</t>
        </is>
      </c>
      <c r="C264" s="3">
        <f>'Data Aset'!B266</f>
        <v/>
      </c>
      <c r="D264" s="3">
        <f>'Data Aset'!F266</f>
        <v/>
      </c>
      <c r="E264" s="3" t="inlineStr">
        <is>
          <t>Inventaris Ruangan</t>
        </is>
      </c>
      <c r="F264" s="3">
        <f>'Data Aset'!C266</f>
        <v/>
      </c>
      <c r="G264" s="3">
        <f>'Data Aset'!J266</f>
        <v/>
      </c>
      <c r="H264" s="5">
        <f>'Data Aset'!M266</f>
        <v/>
      </c>
      <c r="I264" s="3">
        <f>'Data Aset'!O266</f>
        <v/>
      </c>
      <c r="J264" s="5" t="n">
        <v>0</v>
      </c>
      <c r="K264" s="3" t="inlineStr">
        <is>
          <t>Garis Lurus</t>
        </is>
      </c>
      <c r="L264" s="5">
        <f>IFERROR(M264/12,"")</f>
        <v/>
      </c>
      <c r="M264" s="5">
        <f>IFERROR((H264-J264)/I264,"")</f>
        <v/>
      </c>
      <c r="N264" s="5">
        <f>IFERROR(M264,"")</f>
        <v/>
      </c>
      <c r="O264" s="5">
        <f>IFERROR(H264-N264,"")</f>
        <v/>
      </c>
      <c r="P264" s="3" t="inlineStr">
        <is>
          <t>Belum dihitung</t>
        </is>
      </c>
      <c r="Q264" s="3" t="n"/>
    </row>
    <row r="265">
      <c r="A265" s="3" t="n">
        <v>264</v>
      </c>
      <c r="B265" s="3" t="inlineStr">
        <is>
          <t>Desember 2025</t>
        </is>
      </c>
      <c r="C265" s="3">
        <f>'Data Aset'!B267</f>
        <v/>
      </c>
      <c r="D265" s="3">
        <f>'Data Aset'!F267</f>
        <v/>
      </c>
      <c r="E265" s="3" t="inlineStr">
        <is>
          <t>Inventaris Ruangan</t>
        </is>
      </c>
      <c r="F265" s="3">
        <f>'Data Aset'!C267</f>
        <v/>
      </c>
      <c r="G265" s="3">
        <f>'Data Aset'!J267</f>
        <v/>
      </c>
      <c r="H265" s="5">
        <f>'Data Aset'!M267</f>
        <v/>
      </c>
      <c r="I265" s="3">
        <f>'Data Aset'!O267</f>
        <v/>
      </c>
      <c r="J265" s="5" t="n">
        <v>0</v>
      </c>
      <c r="K265" s="3" t="inlineStr">
        <is>
          <t>Garis Lurus</t>
        </is>
      </c>
      <c r="L265" s="5">
        <f>IFERROR(M265/12,"")</f>
        <v/>
      </c>
      <c r="M265" s="5">
        <f>IFERROR((H265-J265)/I265,"")</f>
        <v/>
      </c>
      <c r="N265" s="5">
        <f>IFERROR(M265,"")</f>
        <v/>
      </c>
      <c r="O265" s="5">
        <f>IFERROR(H265-N265,"")</f>
        <v/>
      </c>
      <c r="P265" s="3" t="inlineStr">
        <is>
          <t>Belum dihitung</t>
        </is>
      </c>
      <c r="Q265" s="3" t="n"/>
    </row>
    <row r="266">
      <c r="A266" s="3" t="n">
        <v>265</v>
      </c>
      <c r="B266" s="3" t="inlineStr">
        <is>
          <t>Desember 2025</t>
        </is>
      </c>
      <c r="C266" s="3">
        <f>'Data Aset'!B268</f>
        <v/>
      </c>
      <c r="D266" s="3">
        <f>'Data Aset'!F268</f>
        <v/>
      </c>
      <c r="E266" s="3" t="inlineStr">
        <is>
          <t>Inventaris Ruangan</t>
        </is>
      </c>
      <c r="F266" s="3">
        <f>'Data Aset'!C268</f>
        <v/>
      </c>
      <c r="G266" s="3">
        <f>'Data Aset'!J268</f>
        <v/>
      </c>
      <c r="H266" s="5">
        <f>'Data Aset'!M268</f>
        <v/>
      </c>
      <c r="I266" s="3">
        <f>'Data Aset'!O268</f>
        <v/>
      </c>
      <c r="J266" s="5" t="n">
        <v>0</v>
      </c>
      <c r="K266" s="3" t="inlineStr">
        <is>
          <t>Garis Lurus</t>
        </is>
      </c>
      <c r="L266" s="5">
        <f>IFERROR(M266/12,"")</f>
        <v/>
      </c>
      <c r="M266" s="5">
        <f>IFERROR((H266-J266)/I266,"")</f>
        <v/>
      </c>
      <c r="N266" s="5">
        <f>IFERROR(M266,"")</f>
        <v/>
      </c>
      <c r="O266" s="5">
        <f>IFERROR(H266-N266,"")</f>
        <v/>
      </c>
      <c r="P266" s="3" t="inlineStr">
        <is>
          <t>Belum dihitung</t>
        </is>
      </c>
      <c r="Q266" s="3" t="n"/>
    </row>
    <row r="267">
      <c r="A267" s="3" t="n">
        <v>266</v>
      </c>
      <c r="B267" s="3" t="inlineStr">
        <is>
          <t>Desember 2025</t>
        </is>
      </c>
      <c r="C267" s="3">
        <f>'Data Aset'!B269</f>
        <v/>
      </c>
      <c r="D267" s="3">
        <f>'Data Aset'!F269</f>
        <v/>
      </c>
      <c r="E267" s="3" t="inlineStr">
        <is>
          <t>Inventaris Ruangan</t>
        </is>
      </c>
      <c r="F267" s="3">
        <f>'Data Aset'!C269</f>
        <v/>
      </c>
      <c r="G267" s="3">
        <f>'Data Aset'!J269</f>
        <v/>
      </c>
      <c r="H267" s="5">
        <f>'Data Aset'!M269</f>
        <v/>
      </c>
      <c r="I267" s="3">
        <f>'Data Aset'!O269</f>
        <v/>
      </c>
      <c r="J267" s="5" t="n">
        <v>0</v>
      </c>
      <c r="K267" s="3" t="inlineStr">
        <is>
          <t>Garis Lurus</t>
        </is>
      </c>
      <c r="L267" s="5">
        <f>IFERROR(M267/12,"")</f>
        <v/>
      </c>
      <c r="M267" s="5">
        <f>IFERROR((H267-J267)/I267,"")</f>
        <v/>
      </c>
      <c r="N267" s="5">
        <f>IFERROR(M267,"")</f>
        <v/>
      </c>
      <c r="O267" s="5">
        <f>IFERROR(H267-N267,"")</f>
        <v/>
      </c>
      <c r="P267" s="3" t="inlineStr">
        <is>
          <t>Belum dihitung</t>
        </is>
      </c>
      <c r="Q267" s="3" t="n"/>
    </row>
    <row r="268">
      <c r="A268" s="3" t="n">
        <v>267</v>
      </c>
      <c r="B268" s="3" t="inlineStr">
        <is>
          <t>Desember 2025</t>
        </is>
      </c>
      <c r="C268" s="3">
        <f>'Data Aset'!B270</f>
        <v/>
      </c>
      <c r="D268" s="3">
        <f>'Data Aset'!F270</f>
        <v/>
      </c>
      <c r="E268" s="3" t="inlineStr">
        <is>
          <t>Inventaris Ruangan</t>
        </is>
      </c>
      <c r="F268" s="3">
        <f>'Data Aset'!C270</f>
        <v/>
      </c>
      <c r="G268" s="3">
        <f>'Data Aset'!J270</f>
        <v/>
      </c>
      <c r="H268" s="5">
        <f>'Data Aset'!M270</f>
        <v/>
      </c>
      <c r="I268" s="3">
        <f>'Data Aset'!O270</f>
        <v/>
      </c>
      <c r="J268" s="5" t="n">
        <v>0</v>
      </c>
      <c r="K268" s="3" t="inlineStr">
        <is>
          <t>Garis Lurus</t>
        </is>
      </c>
      <c r="L268" s="5">
        <f>IFERROR(M268/12,"")</f>
        <v/>
      </c>
      <c r="M268" s="5">
        <f>IFERROR((H268-J268)/I268,"")</f>
        <v/>
      </c>
      <c r="N268" s="5">
        <f>IFERROR(M268,"")</f>
        <v/>
      </c>
      <c r="O268" s="5">
        <f>IFERROR(H268-N268,"")</f>
        <v/>
      </c>
      <c r="P268" s="3" t="inlineStr">
        <is>
          <t>Belum dihitung</t>
        </is>
      </c>
      <c r="Q268" s="3" t="n"/>
    </row>
    <row r="269">
      <c r="A269" s="3" t="n">
        <v>268</v>
      </c>
      <c r="B269" s="3" t="inlineStr">
        <is>
          <t>Desember 2025</t>
        </is>
      </c>
      <c r="C269" s="3">
        <f>'Data Aset'!B271</f>
        <v/>
      </c>
      <c r="D269" s="3">
        <f>'Data Aset'!F271</f>
        <v/>
      </c>
      <c r="E269" s="3" t="inlineStr">
        <is>
          <t>Inventaris Ruangan</t>
        </is>
      </c>
      <c r="F269" s="3">
        <f>'Data Aset'!C271</f>
        <v/>
      </c>
      <c r="G269" s="3">
        <f>'Data Aset'!J271</f>
        <v/>
      </c>
      <c r="H269" s="5">
        <f>'Data Aset'!M271</f>
        <v/>
      </c>
      <c r="I269" s="3">
        <f>'Data Aset'!O271</f>
        <v/>
      </c>
      <c r="J269" s="5" t="n">
        <v>0</v>
      </c>
      <c r="K269" s="3" t="inlineStr">
        <is>
          <t>Garis Lurus</t>
        </is>
      </c>
      <c r="L269" s="5">
        <f>IFERROR(M269/12,"")</f>
        <v/>
      </c>
      <c r="M269" s="5">
        <f>IFERROR((H269-J269)/I269,"")</f>
        <v/>
      </c>
      <c r="N269" s="5">
        <f>IFERROR(M269,"")</f>
        <v/>
      </c>
      <c r="O269" s="5">
        <f>IFERROR(H269-N269,"")</f>
        <v/>
      </c>
      <c r="P269" s="3" t="inlineStr">
        <is>
          <t>Belum dihitung</t>
        </is>
      </c>
      <c r="Q269" s="3" t="n"/>
    </row>
    <row r="270">
      <c r="A270" s="3" t="n">
        <v>269</v>
      </c>
      <c r="B270" s="3" t="inlineStr">
        <is>
          <t>Desember 2025</t>
        </is>
      </c>
      <c r="C270" s="3">
        <f>'Data Aset'!B272</f>
        <v/>
      </c>
      <c r="D270" s="3">
        <f>'Data Aset'!F272</f>
        <v/>
      </c>
      <c r="E270" s="3" t="inlineStr">
        <is>
          <t>Inventaris Ruangan</t>
        </is>
      </c>
      <c r="F270" s="3">
        <f>'Data Aset'!C272</f>
        <v/>
      </c>
      <c r="G270" s="3">
        <f>'Data Aset'!J272</f>
        <v/>
      </c>
      <c r="H270" s="5">
        <f>'Data Aset'!M272</f>
        <v/>
      </c>
      <c r="I270" s="3">
        <f>'Data Aset'!O272</f>
        <v/>
      </c>
      <c r="J270" s="5" t="n">
        <v>0</v>
      </c>
      <c r="K270" s="3" t="inlineStr">
        <is>
          <t>Garis Lurus</t>
        </is>
      </c>
      <c r="L270" s="5">
        <f>IFERROR(M270/12,"")</f>
        <v/>
      </c>
      <c r="M270" s="5">
        <f>IFERROR((H270-J270)/I270,"")</f>
        <v/>
      </c>
      <c r="N270" s="5">
        <f>IFERROR(M270,"")</f>
        <v/>
      </c>
      <c r="O270" s="5">
        <f>IFERROR(H270-N270,"")</f>
        <v/>
      </c>
      <c r="P270" s="3" t="inlineStr">
        <is>
          <t>Belum dihitung</t>
        </is>
      </c>
      <c r="Q270" s="3" t="n"/>
    </row>
    <row r="271">
      <c r="A271" s="3" t="n">
        <v>270</v>
      </c>
      <c r="B271" s="3" t="inlineStr">
        <is>
          <t>Desember 2025</t>
        </is>
      </c>
      <c r="C271" s="3">
        <f>'Data Aset'!B273</f>
        <v/>
      </c>
      <c r="D271" s="3">
        <f>'Data Aset'!F273</f>
        <v/>
      </c>
      <c r="E271" s="3" t="inlineStr">
        <is>
          <t>Inventaris Ruangan</t>
        </is>
      </c>
      <c r="F271" s="3">
        <f>'Data Aset'!C273</f>
        <v/>
      </c>
      <c r="G271" s="3">
        <f>'Data Aset'!J273</f>
        <v/>
      </c>
      <c r="H271" s="5">
        <f>'Data Aset'!M273</f>
        <v/>
      </c>
      <c r="I271" s="3">
        <f>'Data Aset'!O273</f>
        <v/>
      </c>
      <c r="J271" s="5" t="n">
        <v>0</v>
      </c>
      <c r="K271" s="3" t="inlineStr">
        <is>
          <t>Garis Lurus</t>
        </is>
      </c>
      <c r="L271" s="5">
        <f>IFERROR(M271/12,"")</f>
        <v/>
      </c>
      <c r="M271" s="5">
        <f>IFERROR((H271-J271)/I271,"")</f>
        <v/>
      </c>
      <c r="N271" s="5">
        <f>IFERROR(M271,"")</f>
        <v/>
      </c>
      <c r="O271" s="5">
        <f>IFERROR(H271-N271,"")</f>
        <v/>
      </c>
      <c r="P271" s="3" t="inlineStr">
        <is>
          <t>Belum dihitung</t>
        </is>
      </c>
      <c r="Q271" s="3" t="n"/>
    </row>
    <row r="272">
      <c r="A272" s="3" t="n">
        <v>271</v>
      </c>
      <c r="B272" s="3" t="inlineStr">
        <is>
          <t>Desember 2025</t>
        </is>
      </c>
      <c r="C272" s="3">
        <f>'Data Aset'!B274</f>
        <v/>
      </c>
      <c r="D272" s="3">
        <f>'Data Aset'!F274</f>
        <v/>
      </c>
      <c r="E272" s="3" t="inlineStr">
        <is>
          <t>Inventaris Ruangan</t>
        </is>
      </c>
      <c r="F272" s="3">
        <f>'Data Aset'!C274</f>
        <v/>
      </c>
      <c r="G272" s="3">
        <f>'Data Aset'!J274</f>
        <v/>
      </c>
      <c r="H272" s="5">
        <f>'Data Aset'!M274</f>
        <v/>
      </c>
      <c r="I272" s="3">
        <f>'Data Aset'!O274</f>
        <v/>
      </c>
      <c r="J272" s="5" t="n">
        <v>0</v>
      </c>
      <c r="K272" s="3" t="inlineStr">
        <is>
          <t>Garis Lurus</t>
        </is>
      </c>
      <c r="L272" s="5">
        <f>IFERROR(M272/12,"")</f>
        <v/>
      </c>
      <c r="M272" s="5">
        <f>IFERROR((H272-J272)/I272,"")</f>
        <v/>
      </c>
      <c r="N272" s="5">
        <f>IFERROR(M272,"")</f>
        <v/>
      </c>
      <c r="O272" s="5">
        <f>IFERROR(H272-N272,"")</f>
        <v/>
      </c>
      <c r="P272" s="3" t="inlineStr">
        <is>
          <t>Belum dihitung</t>
        </is>
      </c>
      <c r="Q272" s="3" t="n"/>
    </row>
    <row r="273">
      <c r="A273" s="3" t="n">
        <v>272</v>
      </c>
      <c r="B273" s="3" t="inlineStr">
        <is>
          <t>Desember 2025</t>
        </is>
      </c>
      <c r="C273" s="3">
        <f>'Data Aset'!B275</f>
        <v/>
      </c>
      <c r="D273" s="3">
        <f>'Data Aset'!F275</f>
        <v/>
      </c>
      <c r="E273" s="3" t="inlineStr">
        <is>
          <t>Inventaris Ruangan</t>
        </is>
      </c>
      <c r="F273" s="3">
        <f>'Data Aset'!C275</f>
        <v/>
      </c>
      <c r="G273" s="3">
        <f>'Data Aset'!J275</f>
        <v/>
      </c>
      <c r="H273" s="5">
        <f>'Data Aset'!M275</f>
        <v/>
      </c>
      <c r="I273" s="3">
        <f>'Data Aset'!O275</f>
        <v/>
      </c>
      <c r="J273" s="5" t="n">
        <v>0</v>
      </c>
      <c r="K273" s="3" t="inlineStr">
        <is>
          <t>Garis Lurus</t>
        </is>
      </c>
      <c r="L273" s="5">
        <f>IFERROR(M273/12,"")</f>
        <v/>
      </c>
      <c r="M273" s="5">
        <f>IFERROR((H273-J273)/I273,"")</f>
        <v/>
      </c>
      <c r="N273" s="5">
        <f>IFERROR(M273,"")</f>
        <v/>
      </c>
      <c r="O273" s="5">
        <f>IFERROR(H273-N273,"")</f>
        <v/>
      </c>
      <c r="P273" s="3" t="inlineStr">
        <is>
          <t>Belum dihitung</t>
        </is>
      </c>
      <c r="Q273" s="3" t="n"/>
    </row>
    <row r="274">
      <c r="A274" s="3" t="n">
        <v>273</v>
      </c>
      <c r="B274" s="3" t="inlineStr">
        <is>
          <t>Desember 2025</t>
        </is>
      </c>
      <c r="C274" s="3">
        <f>'Data Aset'!B276</f>
        <v/>
      </c>
      <c r="D274" s="3">
        <f>'Data Aset'!F276</f>
        <v/>
      </c>
      <c r="E274" s="3" t="inlineStr">
        <is>
          <t>Inventaris Ruangan</t>
        </is>
      </c>
      <c r="F274" s="3">
        <f>'Data Aset'!C276</f>
        <v/>
      </c>
      <c r="G274" s="3">
        <f>'Data Aset'!J276</f>
        <v/>
      </c>
      <c r="H274" s="5">
        <f>'Data Aset'!M276</f>
        <v/>
      </c>
      <c r="I274" s="3">
        <f>'Data Aset'!O276</f>
        <v/>
      </c>
      <c r="J274" s="5" t="n">
        <v>0</v>
      </c>
      <c r="K274" s="3" t="inlineStr">
        <is>
          <t>Garis Lurus</t>
        </is>
      </c>
      <c r="L274" s="5">
        <f>IFERROR(M274/12,"")</f>
        <v/>
      </c>
      <c r="M274" s="5">
        <f>IFERROR((H274-J274)/I274,"")</f>
        <v/>
      </c>
      <c r="N274" s="5">
        <f>IFERROR(M274,"")</f>
        <v/>
      </c>
      <c r="O274" s="5">
        <f>IFERROR(H274-N274,"")</f>
        <v/>
      </c>
      <c r="P274" s="3" t="inlineStr">
        <is>
          <t>Belum dihitung</t>
        </is>
      </c>
      <c r="Q274" s="3" t="n"/>
    </row>
    <row r="275">
      <c r="A275" s="3" t="n">
        <v>274</v>
      </c>
      <c r="B275" s="3" t="inlineStr">
        <is>
          <t>Desember 2025</t>
        </is>
      </c>
      <c r="C275" s="3">
        <f>'Data Aset'!B277</f>
        <v/>
      </c>
      <c r="D275" s="3">
        <f>'Data Aset'!F277</f>
        <v/>
      </c>
      <c r="E275" s="3" t="inlineStr">
        <is>
          <t>Inventaris Ruangan</t>
        </is>
      </c>
      <c r="F275" s="3">
        <f>'Data Aset'!C277</f>
        <v/>
      </c>
      <c r="G275" s="3">
        <f>'Data Aset'!J277</f>
        <v/>
      </c>
      <c r="H275" s="5">
        <f>'Data Aset'!M277</f>
        <v/>
      </c>
      <c r="I275" s="3">
        <f>'Data Aset'!O277</f>
        <v/>
      </c>
      <c r="J275" s="5" t="n">
        <v>0</v>
      </c>
      <c r="K275" s="3" t="inlineStr">
        <is>
          <t>Garis Lurus</t>
        </is>
      </c>
      <c r="L275" s="5">
        <f>IFERROR(M275/12,"")</f>
        <v/>
      </c>
      <c r="M275" s="5">
        <f>IFERROR((H275-J275)/I275,"")</f>
        <v/>
      </c>
      <c r="N275" s="5">
        <f>IFERROR(M275,"")</f>
        <v/>
      </c>
      <c r="O275" s="5">
        <f>IFERROR(H275-N275,"")</f>
        <v/>
      </c>
      <c r="P275" s="3" t="inlineStr">
        <is>
          <t>Belum dihitung</t>
        </is>
      </c>
      <c r="Q275" s="3" t="n"/>
    </row>
    <row r="276">
      <c r="A276" s="3" t="n">
        <v>275</v>
      </c>
      <c r="B276" s="3" t="inlineStr">
        <is>
          <t>Desember 2025</t>
        </is>
      </c>
      <c r="C276" s="3">
        <f>'Data Aset'!B278</f>
        <v/>
      </c>
      <c r="D276" s="3">
        <f>'Data Aset'!F278</f>
        <v/>
      </c>
      <c r="E276" s="3" t="inlineStr">
        <is>
          <t>Inventaris Ruangan</t>
        </is>
      </c>
      <c r="F276" s="3">
        <f>'Data Aset'!C278</f>
        <v/>
      </c>
      <c r="G276" s="3">
        <f>'Data Aset'!J278</f>
        <v/>
      </c>
      <c r="H276" s="5">
        <f>'Data Aset'!M278</f>
        <v/>
      </c>
      <c r="I276" s="3">
        <f>'Data Aset'!O278</f>
        <v/>
      </c>
      <c r="J276" s="5" t="n">
        <v>0</v>
      </c>
      <c r="K276" s="3" t="inlineStr">
        <is>
          <t>Garis Lurus</t>
        </is>
      </c>
      <c r="L276" s="5">
        <f>IFERROR(M276/12,"")</f>
        <v/>
      </c>
      <c r="M276" s="5">
        <f>IFERROR((H276-J276)/I276,"")</f>
        <v/>
      </c>
      <c r="N276" s="5">
        <f>IFERROR(M276,"")</f>
        <v/>
      </c>
      <c r="O276" s="5">
        <f>IFERROR(H276-N276,"")</f>
        <v/>
      </c>
      <c r="P276" s="3" t="inlineStr">
        <is>
          <t>Belum dihitung</t>
        </is>
      </c>
      <c r="Q276" s="3" t="n"/>
    </row>
    <row r="277">
      <c r="A277" s="3" t="n">
        <v>276</v>
      </c>
      <c r="B277" s="3" t="inlineStr">
        <is>
          <t>Desember 2025</t>
        </is>
      </c>
      <c r="C277" s="3">
        <f>'Data Aset'!B279</f>
        <v/>
      </c>
      <c r="D277" s="3">
        <f>'Data Aset'!F279</f>
        <v/>
      </c>
      <c r="E277" s="3" t="inlineStr">
        <is>
          <t>Inventaris Ruangan</t>
        </is>
      </c>
      <c r="F277" s="3">
        <f>'Data Aset'!C279</f>
        <v/>
      </c>
      <c r="G277" s="3">
        <f>'Data Aset'!J279</f>
        <v/>
      </c>
      <c r="H277" s="5">
        <f>'Data Aset'!M279</f>
        <v/>
      </c>
      <c r="I277" s="3">
        <f>'Data Aset'!O279</f>
        <v/>
      </c>
      <c r="J277" s="5" t="n">
        <v>0</v>
      </c>
      <c r="K277" s="3" t="inlineStr">
        <is>
          <t>Garis Lurus</t>
        </is>
      </c>
      <c r="L277" s="5">
        <f>IFERROR(M277/12,"")</f>
        <v/>
      </c>
      <c r="M277" s="5">
        <f>IFERROR((H277-J277)/I277,"")</f>
        <v/>
      </c>
      <c r="N277" s="5">
        <f>IFERROR(M277,"")</f>
        <v/>
      </c>
      <c r="O277" s="5">
        <f>IFERROR(H277-N277,"")</f>
        <v/>
      </c>
      <c r="P277" s="3" t="inlineStr">
        <is>
          <t>Belum dihitung</t>
        </is>
      </c>
      <c r="Q277" s="3" t="n"/>
    </row>
    <row r="278">
      <c r="A278" s="3" t="n">
        <v>277</v>
      </c>
      <c r="B278" s="3" t="inlineStr">
        <is>
          <t>Desember 2025</t>
        </is>
      </c>
      <c r="C278" s="3">
        <f>'Data Aset'!B280</f>
        <v/>
      </c>
      <c r="D278" s="3">
        <f>'Data Aset'!F280</f>
        <v/>
      </c>
      <c r="E278" s="3" t="inlineStr">
        <is>
          <t>Inventaris Ruangan</t>
        </is>
      </c>
      <c r="F278" s="3">
        <f>'Data Aset'!C280</f>
        <v/>
      </c>
      <c r="G278" s="3">
        <f>'Data Aset'!J280</f>
        <v/>
      </c>
      <c r="H278" s="5">
        <f>'Data Aset'!M280</f>
        <v/>
      </c>
      <c r="I278" s="3">
        <f>'Data Aset'!O280</f>
        <v/>
      </c>
      <c r="J278" s="5" t="n">
        <v>0</v>
      </c>
      <c r="K278" s="3" t="inlineStr">
        <is>
          <t>Garis Lurus</t>
        </is>
      </c>
      <c r="L278" s="5">
        <f>IFERROR(M278/12,"")</f>
        <v/>
      </c>
      <c r="M278" s="5">
        <f>IFERROR((H278-J278)/I278,"")</f>
        <v/>
      </c>
      <c r="N278" s="5">
        <f>IFERROR(M278,"")</f>
        <v/>
      </c>
      <c r="O278" s="5">
        <f>IFERROR(H278-N278,"")</f>
        <v/>
      </c>
      <c r="P278" s="3" t="inlineStr">
        <is>
          <t>Belum dihitung</t>
        </is>
      </c>
      <c r="Q278" s="3" t="n"/>
    </row>
    <row r="279">
      <c r="A279" s="3" t="n">
        <v>278</v>
      </c>
      <c r="B279" s="3" t="inlineStr">
        <is>
          <t>Desember 2025</t>
        </is>
      </c>
      <c r="C279" s="3">
        <f>'Data Aset'!B281</f>
        <v/>
      </c>
      <c r="D279" s="3">
        <f>'Data Aset'!F281</f>
        <v/>
      </c>
      <c r="E279" s="3" t="inlineStr">
        <is>
          <t>Inventaris Ruangan</t>
        </is>
      </c>
      <c r="F279" s="3">
        <f>'Data Aset'!C281</f>
        <v/>
      </c>
      <c r="G279" s="3">
        <f>'Data Aset'!J281</f>
        <v/>
      </c>
      <c r="H279" s="5">
        <f>'Data Aset'!M281</f>
        <v/>
      </c>
      <c r="I279" s="3">
        <f>'Data Aset'!O281</f>
        <v/>
      </c>
      <c r="J279" s="5" t="n">
        <v>0</v>
      </c>
      <c r="K279" s="3" t="inlineStr">
        <is>
          <t>Garis Lurus</t>
        </is>
      </c>
      <c r="L279" s="5">
        <f>IFERROR(M279/12,"")</f>
        <v/>
      </c>
      <c r="M279" s="5">
        <f>IFERROR((H279-J279)/I279,"")</f>
        <v/>
      </c>
      <c r="N279" s="5">
        <f>IFERROR(M279,"")</f>
        <v/>
      </c>
      <c r="O279" s="5">
        <f>IFERROR(H279-N279,"")</f>
        <v/>
      </c>
      <c r="P279" s="3" t="inlineStr">
        <is>
          <t>Belum dihitung</t>
        </is>
      </c>
      <c r="Q279" s="3" t="n"/>
    </row>
    <row r="280">
      <c r="A280" s="3" t="n">
        <v>279</v>
      </c>
      <c r="B280" s="3" t="inlineStr">
        <is>
          <t>Desember 2025</t>
        </is>
      </c>
      <c r="C280" s="3">
        <f>'Data Aset'!B282</f>
        <v/>
      </c>
      <c r="D280" s="3">
        <f>'Data Aset'!F282</f>
        <v/>
      </c>
      <c r="E280" s="3" t="inlineStr">
        <is>
          <t>Inventaris Ruangan</t>
        </is>
      </c>
      <c r="F280" s="3">
        <f>'Data Aset'!C282</f>
        <v/>
      </c>
      <c r="G280" s="3">
        <f>'Data Aset'!J282</f>
        <v/>
      </c>
      <c r="H280" s="5">
        <f>'Data Aset'!M282</f>
        <v/>
      </c>
      <c r="I280" s="3">
        <f>'Data Aset'!O282</f>
        <v/>
      </c>
      <c r="J280" s="5" t="n">
        <v>0</v>
      </c>
      <c r="K280" s="3" t="inlineStr">
        <is>
          <t>Garis Lurus</t>
        </is>
      </c>
      <c r="L280" s="5">
        <f>IFERROR(M280/12,"")</f>
        <v/>
      </c>
      <c r="M280" s="5">
        <f>IFERROR((H280-J280)/I280,"")</f>
        <v/>
      </c>
      <c r="N280" s="5">
        <f>IFERROR(M280,"")</f>
        <v/>
      </c>
      <c r="O280" s="5">
        <f>IFERROR(H280-N280,"")</f>
        <v/>
      </c>
      <c r="P280" s="3" t="inlineStr">
        <is>
          <t>Belum dihitung</t>
        </is>
      </c>
      <c r="Q280" s="3" t="n"/>
    </row>
    <row r="281">
      <c r="A281" s="3" t="n">
        <v>280</v>
      </c>
      <c r="B281" s="3" t="inlineStr">
        <is>
          <t>Desember 2025</t>
        </is>
      </c>
      <c r="C281" s="3">
        <f>'Data Aset'!B283</f>
        <v/>
      </c>
      <c r="D281" s="3">
        <f>'Data Aset'!F283</f>
        <v/>
      </c>
      <c r="E281" s="3" t="inlineStr">
        <is>
          <t>Inventaris Ruangan</t>
        </is>
      </c>
      <c r="F281" s="3">
        <f>'Data Aset'!C283</f>
        <v/>
      </c>
      <c r="G281" s="3">
        <f>'Data Aset'!J283</f>
        <v/>
      </c>
      <c r="H281" s="5">
        <f>'Data Aset'!M283</f>
        <v/>
      </c>
      <c r="I281" s="3">
        <f>'Data Aset'!O283</f>
        <v/>
      </c>
      <c r="J281" s="5" t="n">
        <v>0</v>
      </c>
      <c r="K281" s="3" t="inlineStr">
        <is>
          <t>Garis Lurus</t>
        </is>
      </c>
      <c r="L281" s="5">
        <f>IFERROR(M281/12,"")</f>
        <v/>
      </c>
      <c r="M281" s="5">
        <f>IFERROR((H281-J281)/I281,"")</f>
        <v/>
      </c>
      <c r="N281" s="5">
        <f>IFERROR(M281,"")</f>
        <v/>
      </c>
      <c r="O281" s="5">
        <f>IFERROR(H281-N281,"")</f>
        <v/>
      </c>
      <c r="P281" s="3" t="inlineStr">
        <is>
          <t>Belum dihitung</t>
        </is>
      </c>
      <c r="Q281" s="3" t="n"/>
    </row>
    <row r="282">
      <c r="A282" s="3" t="n">
        <v>281</v>
      </c>
      <c r="B282" s="3" t="inlineStr">
        <is>
          <t>Desember 2025</t>
        </is>
      </c>
      <c r="C282" s="3">
        <f>'Data Aset'!B284</f>
        <v/>
      </c>
      <c r="D282" s="3">
        <f>'Data Aset'!F284</f>
        <v/>
      </c>
      <c r="E282" s="3" t="inlineStr">
        <is>
          <t>Inventaris Ruangan</t>
        </is>
      </c>
      <c r="F282" s="3">
        <f>'Data Aset'!C284</f>
        <v/>
      </c>
      <c r="G282" s="3">
        <f>'Data Aset'!J284</f>
        <v/>
      </c>
      <c r="H282" s="5">
        <f>'Data Aset'!M284</f>
        <v/>
      </c>
      <c r="I282" s="3">
        <f>'Data Aset'!O284</f>
        <v/>
      </c>
      <c r="J282" s="5" t="n">
        <v>0</v>
      </c>
      <c r="K282" s="3" t="inlineStr">
        <is>
          <t>Garis Lurus</t>
        </is>
      </c>
      <c r="L282" s="5">
        <f>IFERROR(M282/12,"")</f>
        <v/>
      </c>
      <c r="M282" s="5">
        <f>IFERROR((H282-J282)/I282,"")</f>
        <v/>
      </c>
      <c r="N282" s="5">
        <f>IFERROR(M282,"")</f>
        <v/>
      </c>
      <c r="O282" s="5">
        <f>IFERROR(H282-N282,"")</f>
        <v/>
      </c>
      <c r="P282" s="3" t="inlineStr">
        <is>
          <t>Belum dihitung</t>
        </is>
      </c>
      <c r="Q282" s="3" t="n"/>
    </row>
    <row r="283">
      <c r="A283" s="3" t="n">
        <v>282</v>
      </c>
      <c r="B283" s="3" t="inlineStr">
        <is>
          <t>Desember 2025</t>
        </is>
      </c>
      <c r="C283" s="3">
        <f>'Data Aset'!B285</f>
        <v/>
      </c>
      <c r="D283" s="3">
        <f>'Data Aset'!F285</f>
        <v/>
      </c>
      <c r="E283" s="3" t="inlineStr">
        <is>
          <t>Inventaris Ruangan</t>
        </is>
      </c>
      <c r="F283" s="3">
        <f>'Data Aset'!C285</f>
        <v/>
      </c>
      <c r="G283" s="3">
        <f>'Data Aset'!J285</f>
        <v/>
      </c>
      <c r="H283" s="5">
        <f>'Data Aset'!M285</f>
        <v/>
      </c>
      <c r="I283" s="3">
        <f>'Data Aset'!O285</f>
        <v/>
      </c>
      <c r="J283" s="5" t="n">
        <v>0</v>
      </c>
      <c r="K283" s="3" t="inlineStr">
        <is>
          <t>Garis Lurus</t>
        </is>
      </c>
      <c r="L283" s="5">
        <f>IFERROR(M283/12,"")</f>
        <v/>
      </c>
      <c r="M283" s="5">
        <f>IFERROR((H283-J283)/I283,"")</f>
        <v/>
      </c>
      <c r="N283" s="5">
        <f>IFERROR(M283,"")</f>
        <v/>
      </c>
      <c r="O283" s="5">
        <f>IFERROR(H283-N283,"")</f>
        <v/>
      </c>
      <c r="P283" s="3" t="inlineStr">
        <is>
          <t>Belum dihitung</t>
        </is>
      </c>
      <c r="Q283" s="3" t="n"/>
    </row>
    <row r="284">
      <c r="A284" s="3" t="n">
        <v>283</v>
      </c>
      <c r="B284" s="3" t="inlineStr">
        <is>
          <t>Desember 2025</t>
        </is>
      </c>
      <c r="C284" s="3">
        <f>'Data Aset'!B286</f>
        <v/>
      </c>
      <c r="D284" s="3">
        <f>'Data Aset'!F286</f>
        <v/>
      </c>
      <c r="E284" s="3" t="inlineStr">
        <is>
          <t>Inventaris Ruangan</t>
        </is>
      </c>
      <c r="F284" s="3">
        <f>'Data Aset'!C286</f>
        <v/>
      </c>
      <c r="G284" s="3">
        <f>'Data Aset'!J286</f>
        <v/>
      </c>
      <c r="H284" s="5">
        <f>'Data Aset'!M286</f>
        <v/>
      </c>
      <c r="I284" s="3">
        <f>'Data Aset'!O286</f>
        <v/>
      </c>
      <c r="J284" s="5" t="n">
        <v>0</v>
      </c>
      <c r="K284" s="3" t="inlineStr">
        <is>
          <t>Garis Lurus</t>
        </is>
      </c>
      <c r="L284" s="5">
        <f>IFERROR(M284/12,"")</f>
        <v/>
      </c>
      <c r="M284" s="5">
        <f>IFERROR((H284-J284)/I284,"")</f>
        <v/>
      </c>
      <c r="N284" s="5">
        <f>IFERROR(M284,"")</f>
        <v/>
      </c>
      <c r="O284" s="5">
        <f>IFERROR(H284-N284,"")</f>
        <v/>
      </c>
      <c r="P284" s="3" t="inlineStr">
        <is>
          <t>Belum dihitung</t>
        </is>
      </c>
      <c r="Q284" s="3" t="n"/>
    </row>
    <row r="285">
      <c r="A285" s="3" t="n">
        <v>284</v>
      </c>
      <c r="B285" s="3" t="inlineStr">
        <is>
          <t>Desember 2025</t>
        </is>
      </c>
      <c r="C285" s="3">
        <f>'Data Aset'!B287</f>
        <v/>
      </c>
      <c r="D285" s="3">
        <f>'Data Aset'!F287</f>
        <v/>
      </c>
      <c r="E285" s="3" t="inlineStr">
        <is>
          <t>Inventaris Ruangan</t>
        </is>
      </c>
      <c r="F285" s="3">
        <f>'Data Aset'!C287</f>
        <v/>
      </c>
      <c r="G285" s="3">
        <f>'Data Aset'!J287</f>
        <v/>
      </c>
      <c r="H285" s="5">
        <f>'Data Aset'!M287</f>
        <v/>
      </c>
      <c r="I285" s="3">
        <f>'Data Aset'!O287</f>
        <v/>
      </c>
      <c r="J285" s="5" t="n">
        <v>0</v>
      </c>
      <c r="K285" s="3" t="inlineStr">
        <is>
          <t>Garis Lurus</t>
        </is>
      </c>
      <c r="L285" s="5">
        <f>IFERROR(M285/12,"")</f>
        <v/>
      </c>
      <c r="M285" s="5">
        <f>IFERROR((H285-J285)/I285,"")</f>
        <v/>
      </c>
      <c r="N285" s="5">
        <f>IFERROR(M285,"")</f>
        <v/>
      </c>
      <c r="O285" s="5">
        <f>IFERROR(H285-N285,"")</f>
        <v/>
      </c>
      <c r="P285" s="3" t="inlineStr">
        <is>
          <t>Belum dihitung</t>
        </is>
      </c>
      <c r="Q285" s="3" t="n"/>
    </row>
    <row r="286">
      <c r="A286" s="3" t="n">
        <v>285</v>
      </c>
      <c r="B286" s="3" t="inlineStr">
        <is>
          <t>Desember 2025</t>
        </is>
      </c>
      <c r="C286" s="3">
        <f>'Data Aset'!B288</f>
        <v/>
      </c>
      <c r="D286" s="3">
        <f>'Data Aset'!F288</f>
        <v/>
      </c>
      <c r="E286" s="3" t="inlineStr">
        <is>
          <t>Inventaris Ruangan</t>
        </is>
      </c>
      <c r="F286" s="3">
        <f>'Data Aset'!C288</f>
        <v/>
      </c>
      <c r="G286" s="3">
        <f>'Data Aset'!J288</f>
        <v/>
      </c>
      <c r="H286" s="5">
        <f>'Data Aset'!M288</f>
        <v/>
      </c>
      <c r="I286" s="3">
        <f>'Data Aset'!O288</f>
        <v/>
      </c>
      <c r="J286" s="5" t="n">
        <v>0</v>
      </c>
      <c r="K286" s="3" t="inlineStr">
        <is>
          <t>Garis Lurus</t>
        </is>
      </c>
      <c r="L286" s="5">
        <f>IFERROR(M286/12,"")</f>
        <v/>
      </c>
      <c r="M286" s="5">
        <f>IFERROR((H286-J286)/I286,"")</f>
        <v/>
      </c>
      <c r="N286" s="5">
        <f>IFERROR(M286,"")</f>
        <v/>
      </c>
      <c r="O286" s="5">
        <f>IFERROR(H286-N286,"")</f>
        <v/>
      </c>
      <c r="P286" s="3" t="inlineStr">
        <is>
          <t>Belum dihitung</t>
        </is>
      </c>
      <c r="Q286" s="3" t="n"/>
    </row>
    <row r="287">
      <c r="A287" s="3" t="n">
        <v>286</v>
      </c>
      <c r="B287" s="3" t="inlineStr">
        <is>
          <t>Desember 2025</t>
        </is>
      </c>
      <c r="C287" s="3">
        <f>'Data Aset'!B289</f>
        <v/>
      </c>
      <c r="D287" s="3">
        <f>'Data Aset'!F289</f>
        <v/>
      </c>
      <c r="E287" s="3" t="inlineStr">
        <is>
          <t>Inventaris Ruangan</t>
        </is>
      </c>
      <c r="F287" s="3">
        <f>'Data Aset'!C289</f>
        <v/>
      </c>
      <c r="G287" s="3">
        <f>'Data Aset'!J289</f>
        <v/>
      </c>
      <c r="H287" s="5">
        <f>'Data Aset'!M289</f>
        <v/>
      </c>
      <c r="I287" s="3">
        <f>'Data Aset'!O289</f>
        <v/>
      </c>
      <c r="J287" s="5" t="n">
        <v>0</v>
      </c>
      <c r="K287" s="3" t="inlineStr">
        <is>
          <t>Garis Lurus</t>
        </is>
      </c>
      <c r="L287" s="5">
        <f>IFERROR(M287/12,"")</f>
        <v/>
      </c>
      <c r="M287" s="5">
        <f>IFERROR((H287-J287)/I287,"")</f>
        <v/>
      </c>
      <c r="N287" s="5">
        <f>IFERROR(M287,"")</f>
        <v/>
      </c>
      <c r="O287" s="5">
        <f>IFERROR(H287-N287,"")</f>
        <v/>
      </c>
      <c r="P287" s="3" t="inlineStr">
        <is>
          <t>Belum dihitung</t>
        </is>
      </c>
      <c r="Q287" s="3" t="n"/>
    </row>
    <row r="288">
      <c r="A288" s="3" t="n">
        <v>287</v>
      </c>
      <c r="B288" s="3" t="inlineStr">
        <is>
          <t>Desember 2025</t>
        </is>
      </c>
      <c r="C288" s="3">
        <f>'Data Aset'!B290</f>
        <v/>
      </c>
      <c r="D288" s="3">
        <f>'Data Aset'!F290</f>
        <v/>
      </c>
      <c r="E288" s="3" t="inlineStr">
        <is>
          <t>Inventaris Ruangan</t>
        </is>
      </c>
      <c r="F288" s="3">
        <f>'Data Aset'!C290</f>
        <v/>
      </c>
      <c r="G288" s="3">
        <f>'Data Aset'!J290</f>
        <v/>
      </c>
      <c r="H288" s="5">
        <f>'Data Aset'!M290</f>
        <v/>
      </c>
      <c r="I288" s="3">
        <f>'Data Aset'!O290</f>
        <v/>
      </c>
      <c r="J288" s="5" t="n">
        <v>0</v>
      </c>
      <c r="K288" s="3" t="inlineStr">
        <is>
          <t>Garis Lurus</t>
        </is>
      </c>
      <c r="L288" s="5">
        <f>IFERROR(M288/12,"")</f>
        <v/>
      </c>
      <c r="M288" s="5">
        <f>IFERROR((H288-J288)/I288,"")</f>
        <v/>
      </c>
      <c r="N288" s="5">
        <f>IFERROR(M288,"")</f>
        <v/>
      </c>
      <c r="O288" s="5">
        <f>IFERROR(H288-N288,"")</f>
        <v/>
      </c>
      <c r="P288" s="3" t="inlineStr">
        <is>
          <t>Belum dihitung</t>
        </is>
      </c>
      <c r="Q288" s="3" t="n"/>
    </row>
    <row r="289">
      <c r="A289" s="3" t="n">
        <v>288</v>
      </c>
      <c r="B289" s="3" t="inlineStr">
        <is>
          <t>Desember 2025</t>
        </is>
      </c>
      <c r="C289" s="3">
        <f>'Data Aset'!B291</f>
        <v/>
      </c>
      <c r="D289" s="3">
        <f>'Data Aset'!F291</f>
        <v/>
      </c>
      <c r="E289" s="3" t="inlineStr">
        <is>
          <t>Inventaris Ruangan</t>
        </is>
      </c>
      <c r="F289" s="3">
        <f>'Data Aset'!C291</f>
        <v/>
      </c>
      <c r="G289" s="3">
        <f>'Data Aset'!J291</f>
        <v/>
      </c>
      <c r="H289" s="5">
        <f>'Data Aset'!M291</f>
        <v/>
      </c>
      <c r="I289" s="3">
        <f>'Data Aset'!O291</f>
        <v/>
      </c>
      <c r="J289" s="5" t="n">
        <v>0</v>
      </c>
      <c r="K289" s="3" t="inlineStr">
        <is>
          <t>Garis Lurus</t>
        </is>
      </c>
      <c r="L289" s="5">
        <f>IFERROR(M289/12,"")</f>
        <v/>
      </c>
      <c r="M289" s="5">
        <f>IFERROR((H289-J289)/I289,"")</f>
        <v/>
      </c>
      <c r="N289" s="5">
        <f>IFERROR(M289,"")</f>
        <v/>
      </c>
      <c r="O289" s="5">
        <f>IFERROR(H289-N289,"")</f>
        <v/>
      </c>
      <c r="P289" s="3" t="inlineStr">
        <is>
          <t>Belum dihitung</t>
        </is>
      </c>
      <c r="Q289" s="3" t="n"/>
    </row>
    <row r="290">
      <c r="A290" s="3" t="n">
        <v>289</v>
      </c>
      <c r="B290" s="3" t="inlineStr">
        <is>
          <t>Desember 2025</t>
        </is>
      </c>
      <c r="C290" s="3">
        <f>'Data Aset'!B292</f>
        <v/>
      </c>
      <c r="D290" s="3">
        <f>'Data Aset'!F292</f>
        <v/>
      </c>
      <c r="E290" s="3" t="inlineStr">
        <is>
          <t>Inventaris Ruangan</t>
        </is>
      </c>
      <c r="F290" s="3">
        <f>'Data Aset'!C292</f>
        <v/>
      </c>
      <c r="G290" s="3">
        <f>'Data Aset'!J292</f>
        <v/>
      </c>
      <c r="H290" s="5">
        <f>'Data Aset'!M292</f>
        <v/>
      </c>
      <c r="I290" s="3">
        <f>'Data Aset'!O292</f>
        <v/>
      </c>
      <c r="J290" s="5" t="n">
        <v>0</v>
      </c>
      <c r="K290" s="3" t="inlineStr">
        <is>
          <t>Garis Lurus</t>
        </is>
      </c>
      <c r="L290" s="5">
        <f>IFERROR(M290/12,"")</f>
        <v/>
      </c>
      <c r="M290" s="5">
        <f>IFERROR((H290-J290)/I290,"")</f>
        <v/>
      </c>
      <c r="N290" s="5">
        <f>IFERROR(M290,"")</f>
        <v/>
      </c>
      <c r="O290" s="5">
        <f>IFERROR(H290-N290,"")</f>
        <v/>
      </c>
      <c r="P290" s="3" t="inlineStr">
        <is>
          <t>Belum dihitung</t>
        </is>
      </c>
      <c r="Q290" s="3" t="n"/>
    </row>
    <row r="291">
      <c r="A291" s="3" t="n">
        <v>290</v>
      </c>
      <c r="B291" s="3" t="inlineStr">
        <is>
          <t>Desember 2025</t>
        </is>
      </c>
      <c r="C291" s="3">
        <f>'Data Aset'!B293</f>
        <v/>
      </c>
      <c r="D291" s="3">
        <f>'Data Aset'!F293</f>
        <v/>
      </c>
      <c r="E291" s="3" t="inlineStr">
        <is>
          <t>Inventaris Ruangan</t>
        </is>
      </c>
      <c r="F291" s="3">
        <f>'Data Aset'!C293</f>
        <v/>
      </c>
      <c r="G291" s="3">
        <f>'Data Aset'!J293</f>
        <v/>
      </c>
      <c r="H291" s="5">
        <f>'Data Aset'!M293</f>
        <v/>
      </c>
      <c r="I291" s="3">
        <f>'Data Aset'!O293</f>
        <v/>
      </c>
      <c r="J291" s="5" t="n">
        <v>0</v>
      </c>
      <c r="K291" s="3" t="inlineStr">
        <is>
          <t>Garis Lurus</t>
        </is>
      </c>
      <c r="L291" s="5">
        <f>IFERROR(M291/12,"")</f>
        <v/>
      </c>
      <c r="M291" s="5">
        <f>IFERROR((H291-J291)/I291,"")</f>
        <v/>
      </c>
      <c r="N291" s="5">
        <f>IFERROR(M291,"")</f>
        <v/>
      </c>
      <c r="O291" s="5">
        <f>IFERROR(H291-N291,"")</f>
        <v/>
      </c>
      <c r="P291" s="3" t="inlineStr">
        <is>
          <t>Belum dihitung</t>
        </is>
      </c>
      <c r="Q291" s="3" t="n"/>
    </row>
    <row r="292">
      <c r="A292" s="3" t="n">
        <v>291</v>
      </c>
      <c r="B292" s="3" t="inlineStr">
        <is>
          <t>Desember 2025</t>
        </is>
      </c>
      <c r="C292" s="3">
        <f>'Data Aset'!B294</f>
        <v/>
      </c>
      <c r="D292" s="3">
        <f>'Data Aset'!F294</f>
        <v/>
      </c>
      <c r="E292" s="3" t="inlineStr">
        <is>
          <t>Inventaris Ruangan</t>
        </is>
      </c>
      <c r="F292" s="3">
        <f>'Data Aset'!C294</f>
        <v/>
      </c>
      <c r="G292" s="3">
        <f>'Data Aset'!J294</f>
        <v/>
      </c>
      <c r="H292" s="5">
        <f>'Data Aset'!M294</f>
        <v/>
      </c>
      <c r="I292" s="3">
        <f>'Data Aset'!O294</f>
        <v/>
      </c>
      <c r="J292" s="5" t="n">
        <v>0</v>
      </c>
      <c r="K292" s="3" t="inlineStr">
        <is>
          <t>Garis Lurus</t>
        </is>
      </c>
      <c r="L292" s="5">
        <f>IFERROR(M292/12,"")</f>
        <v/>
      </c>
      <c r="M292" s="5">
        <f>IFERROR((H292-J292)/I292,"")</f>
        <v/>
      </c>
      <c r="N292" s="5">
        <f>IFERROR(M292,"")</f>
        <v/>
      </c>
      <c r="O292" s="5">
        <f>IFERROR(H292-N292,"")</f>
        <v/>
      </c>
      <c r="P292" s="3" t="inlineStr">
        <is>
          <t>Belum dihitung</t>
        </is>
      </c>
      <c r="Q292" s="3" t="n"/>
    </row>
    <row r="293">
      <c r="A293" s="3" t="n">
        <v>292</v>
      </c>
      <c r="B293" s="3" t="inlineStr">
        <is>
          <t>Desember 2025</t>
        </is>
      </c>
      <c r="C293" s="3">
        <f>'Data Aset'!B295</f>
        <v/>
      </c>
      <c r="D293" s="3">
        <f>'Data Aset'!F295</f>
        <v/>
      </c>
      <c r="E293" s="3" t="inlineStr">
        <is>
          <t>Inventaris Ruangan</t>
        </is>
      </c>
      <c r="F293" s="3">
        <f>'Data Aset'!C295</f>
        <v/>
      </c>
      <c r="G293" s="3">
        <f>'Data Aset'!J295</f>
        <v/>
      </c>
      <c r="H293" s="5">
        <f>'Data Aset'!M295</f>
        <v/>
      </c>
      <c r="I293" s="3">
        <f>'Data Aset'!O295</f>
        <v/>
      </c>
      <c r="J293" s="5" t="n">
        <v>0</v>
      </c>
      <c r="K293" s="3" t="inlineStr">
        <is>
          <t>Garis Lurus</t>
        </is>
      </c>
      <c r="L293" s="5">
        <f>IFERROR(M293/12,"")</f>
        <v/>
      </c>
      <c r="M293" s="5">
        <f>IFERROR((H293-J293)/I293,"")</f>
        <v/>
      </c>
      <c r="N293" s="5">
        <f>IFERROR(M293,"")</f>
        <v/>
      </c>
      <c r="O293" s="5">
        <f>IFERROR(H293-N293,"")</f>
        <v/>
      </c>
      <c r="P293" s="3" t="inlineStr">
        <is>
          <t>Belum dihitung</t>
        </is>
      </c>
      <c r="Q293" s="3" t="n"/>
    </row>
    <row r="294">
      <c r="A294" s="3" t="n">
        <v>293</v>
      </c>
      <c r="B294" s="3" t="inlineStr">
        <is>
          <t>Desember 2025</t>
        </is>
      </c>
      <c r="C294" s="3">
        <f>'Data Aset'!B296</f>
        <v/>
      </c>
      <c r="D294" s="3">
        <f>'Data Aset'!F296</f>
        <v/>
      </c>
      <c r="E294" s="3" t="inlineStr">
        <is>
          <t>Inventaris Ruangan</t>
        </is>
      </c>
      <c r="F294" s="3">
        <f>'Data Aset'!C296</f>
        <v/>
      </c>
      <c r="G294" s="3">
        <f>'Data Aset'!J296</f>
        <v/>
      </c>
      <c r="H294" s="5">
        <f>'Data Aset'!M296</f>
        <v/>
      </c>
      <c r="I294" s="3">
        <f>'Data Aset'!O296</f>
        <v/>
      </c>
      <c r="J294" s="5" t="n">
        <v>0</v>
      </c>
      <c r="K294" s="3" t="inlineStr">
        <is>
          <t>Garis Lurus</t>
        </is>
      </c>
      <c r="L294" s="5">
        <f>IFERROR(M294/12,"")</f>
        <v/>
      </c>
      <c r="M294" s="5">
        <f>IFERROR((H294-J294)/I294,"")</f>
        <v/>
      </c>
      <c r="N294" s="5">
        <f>IFERROR(M294,"")</f>
        <v/>
      </c>
      <c r="O294" s="5">
        <f>IFERROR(H294-N294,"")</f>
        <v/>
      </c>
      <c r="P294" s="3" t="inlineStr">
        <is>
          <t>Belum dihitung</t>
        </is>
      </c>
      <c r="Q294" s="3" t="n"/>
    </row>
    <row r="295">
      <c r="A295" s="3" t="n">
        <v>294</v>
      </c>
      <c r="B295" s="3" t="inlineStr">
        <is>
          <t>Desember 2025</t>
        </is>
      </c>
      <c r="C295" s="3">
        <f>'Data Aset'!B297</f>
        <v/>
      </c>
      <c r="D295" s="3">
        <f>'Data Aset'!F297</f>
        <v/>
      </c>
      <c r="E295" s="3" t="inlineStr">
        <is>
          <t>Inventaris Ruangan</t>
        </is>
      </c>
      <c r="F295" s="3">
        <f>'Data Aset'!C297</f>
        <v/>
      </c>
      <c r="G295" s="3">
        <f>'Data Aset'!J297</f>
        <v/>
      </c>
      <c r="H295" s="5">
        <f>'Data Aset'!M297</f>
        <v/>
      </c>
      <c r="I295" s="3">
        <f>'Data Aset'!O297</f>
        <v/>
      </c>
      <c r="J295" s="5" t="n">
        <v>0</v>
      </c>
      <c r="K295" s="3" t="inlineStr">
        <is>
          <t>Garis Lurus</t>
        </is>
      </c>
      <c r="L295" s="5">
        <f>IFERROR(M295/12,"")</f>
        <v/>
      </c>
      <c r="M295" s="5">
        <f>IFERROR((H295-J295)/I295,"")</f>
        <v/>
      </c>
      <c r="N295" s="5">
        <f>IFERROR(M295,"")</f>
        <v/>
      </c>
      <c r="O295" s="5">
        <f>IFERROR(H295-N295,"")</f>
        <v/>
      </c>
      <c r="P295" s="3" t="inlineStr">
        <is>
          <t>Belum dihitung</t>
        </is>
      </c>
      <c r="Q295" s="3" t="n"/>
    </row>
    <row r="296">
      <c r="A296" s="3" t="n">
        <v>295</v>
      </c>
      <c r="B296" s="3" t="inlineStr">
        <is>
          <t>Desember 2025</t>
        </is>
      </c>
      <c r="C296" s="3">
        <f>'Data Aset'!B298</f>
        <v/>
      </c>
      <c r="D296" s="3">
        <f>'Data Aset'!F298</f>
        <v/>
      </c>
      <c r="E296" s="3" t="inlineStr">
        <is>
          <t>Inventaris Ruangan</t>
        </is>
      </c>
      <c r="F296" s="3">
        <f>'Data Aset'!C298</f>
        <v/>
      </c>
      <c r="G296" s="3">
        <f>'Data Aset'!J298</f>
        <v/>
      </c>
      <c r="H296" s="5">
        <f>'Data Aset'!M298</f>
        <v/>
      </c>
      <c r="I296" s="3">
        <f>'Data Aset'!O298</f>
        <v/>
      </c>
      <c r="J296" s="5" t="n">
        <v>0</v>
      </c>
      <c r="K296" s="3" t="inlineStr">
        <is>
          <t>Garis Lurus</t>
        </is>
      </c>
      <c r="L296" s="5">
        <f>IFERROR(M296/12,"")</f>
        <v/>
      </c>
      <c r="M296" s="5">
        <f>IFERROR((H296-J296)/I296,"")</f>
        <v/>
      </c>
      <c r="N296" s="5">
        <f>IFERROR(M296,"")</f>
        <v/>
      </c>
      <c r="O296" s="5">
        <f>IFERROR(H296-N296,"")</f>
        <v/>
      </c>
      <c r="P296" s="3" t="inlineStr">
        <is>
          <t>Belum dihitung</t>
        </is>
      </c>
      <c r="Q296" s="3" t="n"/>
    </row>
    <row r="297">
      <c r="A297" s="3" t="n">
        <v>296</v>
      </c>
      <c r="B297" s="3" t="inlineStr">
        <is>
          <t>Desember 2025</t>
        </is>
      </c>
      <c r="C297" s="3">
        <f>'Data Aset'!B299</f>
        <v/>
      </c>
      <c r="D297" s="3">
        <f>'Data Aset'!F299</f>
        <v/>
      </c>
      <c r="E297" s="3" t="inlineStr">
        <is>
          <t>Inventaris Ruangan</t>
        </is>
      </c>
      <c r="F297" s="3">
        <f>'Data Aset'!C299</f>
        <v/>
      </c>
      <c r="G297" s="3">
        <f>'Data Aset'!J299</f>
        <v/>
      </c>
      <c r="H297" s="5">
        <f>'Data Aset'!M299</f>
        <v/>
      </c>
      <c r="I297" s="3">
        <f>'Data Aset'!O299</f>
        <v/>
      </c>
      <c r="J297" s="5" t="n">
        <v>0</v>
      </c>
      <c r="K297" s="3" t="inlineStr">
        <is>
          <t>Garis Lurus</t>
        </is>
      </c>
      <c r="L297" s="5">
        <f>IFERROR(M297/12,"")</f>
        <v/>
      </c>
      <c r="M297" s="5">
        <f>IFERROR((H297-J297)/I297,"")</f>
        <v/>
      </c>
      <c r="N297" s="5">
        <f>IFERROR(M297,"")</f>
        <v/>
      </c>
      <c r="O297" s="5">
        <f>IFERROR(H297-N297,"")</f>
        <v/>
      </c>
      <c r="P297" s="3" t="inlineStr">
        <is>
          <t>Belum dihitung</t>
        </is>
      </c>
      <c r="Q297" s="3" t="n"/>
    </row>
    <row r="298">
      <c r="A298" s="3" t="n">
        <v>297</v>
      </c>
      <c r="B298" s="3" t="inlineStr">
        <is>
          <t>Desember 2025</t>
        </is>
      </c>
      <c r="C298" s="3">
        <f>'Data Aset'!B300</f>
        <v/>
      </c>
      <c r="D298" s="3">
        <f>'Data Aset'!F300</f>
        <v/>
      </c>
      <c r="E298" s="3" t="inlineStr">
        <is>
          <t>Inventaris Ruangan</t>
        </is>
      </c>
      <c r="F298" s="3">
        <f>'Data Aset'!C300</f>
        <v/>
      </c>
      <c r="G298" s="3">
        <f>'Data Aset'!J300</f>
        <v/>
      </c>
      <c r="H298" s="5">
        <f>'Data Aset'!M300</f>
        <v/>
      </c>
      <c r="I298" s="3">
        <f>'Data Aset'!O300</f>
        <v/>
      </c>
      <c r="J298" s="5" t="n">
        <v>0</v>
      </c>
      <c r="K298" s="3" t="inlineStr">
        <is>
          <t>Garis Lurus</t>
        </is>
      </c>
      <c r="L298" s="5">
        <f>IFERROR(M298/12,"")</f>
        <v/>
      </c>
      <c r="M298" s="5">
        <f>IFERROR((H298-J298)/I298,"")</f>
        <v/>
      </c>
      <c r="N298" s="5">
        <f>IFERROR(M298,"")</f>
        <v/>
      </c>
      <c r="O298" s="5">
        <f>IFERROR(H298-N298,"")</f>
        <v/>
      </c>
      <c r="P298" s="3" t="inlineStr">
        <is>
          <t>Belum dihitung</t>
        </is>
      </c>
      <c r="Q298" s="3" t="n"/>
    </row>
    <row r="299">
      <c r="A299" s="3" t="n">
        <v>298</v>
      </c>
      <c r="B299" s="3" t="inlineStr">
        <is>
          <t>Desember 2025</t>
        </is>
      </c>
      <c r="C299" s="3">
        <f>'Data Aset'!B301</f>
        <v/>
      </c>
      <c r="D299" s="3">
        <f>'Data Aset'!F301</f>
        <v/>
      </c>
      <c r="E299" s="3" t="inlineStr">
        <is>
          <t>Inventaris Ruangan</t>
        </is>
      </c>
      <c r="F299" s="3">
        <f>'Data Aset'!C301</f>
        <v/>
      </c>
      <c r="G299" s="3">
        <f>'Data Aset'!J301</f>
        <v/>
      </c>
      <c r="H299" s="5">
        <f>'Data Aset'!M301</f>
        <v/>
      </c>
      <c r="I299" s="3">
        <f>'Data Aset'!O301</f>
        <v/>
      </c>
      <c r="J299" s="5" t="n">
        <v>0</v>
      </c>
      <c r="K299" s="3" t="inlineStr">
        <is>
          <t>Garis Lurus</t>
        </is>
      </c>
      <c r="L299" s="5">
        <f>IFERROR(M299/12,"")</f>
        <v/>
      </c>
      <c r="M299" s="5">
        <f>IFERROR((H299-J299)/I299,"")</f>
        <v/>
      </c>
      <c r="N299" s="5">
        <f>IFERROR(M299,"")</f>
        <v/>
      </c>
      <c r="O299" s="5">
        <f>IFERROR(H299-N299,"")</f>
        <v/>
      </c>
      <c r="P299" s="3" t="inlineStr">
        <is>
          <t>Belum dihitung</t>
        </is>
      </c>
      <c r="Q299" s="3" t="n"/>
    </row>
    <row r="300">
      <c r="A300" s="3" t="n">
        <v>299</v>
      </c>
      <c r="B300" s="3" t="inlineStr">
        <is>
          <t>Desember 2025</t>
        </is>
      </c>
      <c r="C300" s="3">
        <f>'Data Aset'!B302</f>
        <v/>
      </c>
      <c r="D300" s="3">
        <f>'Data Aset'!F302</f>
        <v/>
      </c>
      <c r="E300" s="3" t="inlineStr">
        <is>
          <t>Inventaris Ruangan</t>
        </is>
      </c>
      <c r="F300" s="3">
        <f>'Data Aset'!C302</f>
        <v/>
      </c>
      <c r="G300" s="3">
        <f>'Data Aset'!J302</f>
        <v/>
      </c>
      <c r="H300" s="5">
        <f>'Data Aset'!M302</f>
        <v/>
      </c>
      <c r="I300" s="3">
        <f>'Data Aset'!O302</f>
        <v/>
      </c>
      <c r="J300" s="5" t="n">
        <v>0</v>
      </c>
      <c r="K300" s="3" t="inlineStr">
        <is>
          <t>Garis Lurus</t>
        </is>
      </c>
      <c r="L300" s="5">
        <f>IFERROR(M300/12,"")</f>
        <v/>
      </c>
      <c r="M300" s="5">
        <f>IFERROR((H300-J300)/I300,"")</f>
        <v/>
      </c>
      <c r="N300" s="5">
        <f>IFERROR(M300,"")</f>
        <v/>
      </c>
      <c r="O300" s="5">
        <f>IFERROR(H300-N300,"")</f>
        <v/>
      </c>
      <c r="P300" s="3" t="inlineStr">
        <is>
          <t>Belum dihitung</t>
        </is>
      </c>
      <c r="Q300" s="3" t="n"/>
    </row>
    <row r="301">
      <c r="A301" s="3" t="n">
        <v>300</v>
      </c>
      <c r="B301" s="3" t="inlineStr">
        <is>
          <t>Desember 2025</t>
        </is>
      </c>
      <c r="C301" s="3">
        <f>'Data Aset'!B303</f>
        <v/>
      </c>
      <c r="D301" s="3">
        <f>'Data Aset'!F303</f>
        <v/>
      </c>
      <c r="E301" s="3" t="inlineStr">
        <is>
          <t>Inventaris Ruangan</t>
        </is>
      </c>
      <c r="F301" s="3">
        <f>'Data Aset'!C303</f>
        <v/>
      </c>
      <c r="G301" s="3">
        <f>'Data Aset'!J303</f>
        <v/>
      </c>
      <c r="H301" s="5">
        <f>'Data Aset'!M303</f>
        <v/>
      </c>
      <c r="I301" s="3">
        <f>'Data Aset'!O303</f>
        <v/>
      </c>
      <c r="J301" s="5" t="n">
        <v>0</v>
      </c>
      <c r="K301" s="3" t="inlineStr">
        <is>
          <t>Garis Lurus</t>
        </is>
      </c>
      <c r="L301" s="5">
        <f>IFERROR(M301/12,"")</f>
        <v/>
      </c>
      <c r="M301" s="5">
        <f>IFERROR((H301-J301)/I301,"")</f>
        <v/>
      </c>
      <c r="N301" s="5">
        <f>IFERROR(M301,"")</f>
        <v/>
      </c>
      <c r="O301" s="5">
        <f>IFERROR(H301-N301,"")</f>
        <v/>
      </c>
      <c r="P301" s="3" t="inlineStr">
        <is>
          <t>Belum dihitung</t>
        </is>
      </c>
      <c r="Q301" s="3" t="n"/>
    </row>
    <row r="302">
      <c r="A302" s="3" t="n">
        <v>301</v>
      </c>
      <c r="B302" s="3" t="inlineStr">
        <is>
          <t>Desember 2025</t>
        </is>
      </c>
      <c r="C302" s="3">
        <f>'Data Aset'!B304</f>
        <v/>
      </c>
      <c r="D302" s="3">
        <f>'Data Aset'!F304</f>
        <v/>
      </c>
      <c r="E302" s="3" t="inlineStr">
        <is>
          <t>Inventaris Ruangan</t>
        </is>
      </c>
      <c r="F302" s="3">
        <f>'Data Aset'!C304</f>
        <v/>
      </c>
      <c r="G302" s="3">
        <f>'Data Aset'!J304</f>
        <v/>
      </c>
      <c r="H302" s="5">
        <f>'Data Aset'!M304</f>
        <v/>
      </c>
      <c r="I302" s="3">
        <f>'Data Aset'!O304</f>
        <v/>
      </c>
      <c r="J302" s="5" t="n">
        <v>0</v>
      </c>
      <c r="K302" s="3" t="inlineStr">
        <is>
          <t>Garis Lurus</t>
        </is>
      </c>
      <c r="L302" s="5">
        <f>IFERROR(M302/12,"")</f>
        <v/>
      </c>
      <c r="M302" s="5">
        <f>IFERROR((H302-J302)/I302,"")</f>
        <v/>
      </c>
      <c r="N302" s="5">
        <f>IFERROR(M302,"")</f>
        <v/>
      </c>
      <c r="O302" s="5">
        <f>IFERROR(H302-N302,"")</f>
        <v/>
      </c>
      <c r="P302" s="3" t="inlineStr">
        <is>
          <t>Belum dihitung</t>
        </is>
      </c>
      <c r="Q302" s="3" t="n"/>
    </row>
    <row r="303">
      <c r="A303" s="3" t="n">
        <v>302</v>
      </c>
      <c r="B303" s="3" t="inlineStr">
        <is>
          <t>Desember 2025</t>
        </is>
      </c>
      <c r="C303" s="3">
        <f>'Data Aset'!B305</f>
        <v/>
      </c>
      <c r="D303" s="3">
        <f>'Data Aset'!F305</f>
        <v/>
      </c>
      <c r="E303" s="3" t="inlineStr">
        <is>
          <t>Inventaris Ruangan</t>
        </is>
      </c>
      <c r="F303" s="3">
        <f>'Data Aset'!C305</f>
        <v/>
      </c>
      <c r="G303" s="3">
        <f>'Data Aset'!J305</f>
        <v/>
      </c>
      <c r="H303" s="5">
        <f>'Data Aset'!M305</f>
        <v/>
      </c>
      <c r="I303" s="3">
        <f>'Data Aset'!O305</f>
        <v/>
      </c>
      <c r="J303" s="5" t="n">
        <v>0</v>
      </c>
      <c r="K303" s="3" t="inlineStr">
        <is>
          <t>Garis Lurus</t>
        </is>
      </c>
      <c r="L303" s="5">
        <f>IFERROR(M303/12,"")</f>
        <v/>
      </c>
      <c r="M303" s="5">
        <f>IFERROR((H303-J303)/I303,"")</f>
        <v/>
      </c>
      <c r="N303" s="5">
        <f>IFERROR(M303,"")</f>
        <v/>
      </c>
      <c r="O303" s="5">
        <f>IFERROR(H303-N303,"")</f>
        <v/>
      </c>
      <c r="P303" s="3" t="inlineStr">
        <is>
          <t>Belum dihitung</t>
        </is>
      </c>
      <c r="Q303" s="3" t="n"/>
    </row>
    <row r="304">
      <c r="A304" s="3" t="n">
        <v>303</v>
      </c>
      <c r="B304" s="3" t="inlineStr">
        <is>
          <t>Desember 2025</t>
        </is>
      </c>
      <c r="C304" s="3">
        <f>'Data Aset'!B306</f>
        <v/>
      </c>
      <c r="D304" s="3">
        <f>'Data Aset'!F306</f>
        <v/>
      </c>
      <c r="E304" s="3" t="inlineStr">
        <is>
          <t>Inventaris Ruangan</t>
        </is>
      </c>
      <c r="F304" s="3">
        <f>'Data Aset'!C306</f>
        <v/>
      </c>
      <c r="G304" s="3">
        <f>'Data Aset'!J306</f>
        <v/>
      </c>
      <c r="H304" s="5">
        <f>'Data Aset'!M306</f>
        <v/>
      </c>
      <c r="I304" s="3">
        <f>'Data Aset'!O306</f>
        <v/>
      </c>
      <c r="J304" s="5" t="n">
        <v>0</v>
      </c>
      <c r="K304" s="3" t="inlineStr">
        <is>
          <t>Garis Lurus</t>
        </is>
      </c>
      <c r="L304" s="5">
        <f>IFERROR(M304/12,"")</f>
        <v/>
      </c>
      <c r="M304" s="5">
        <f>IFERROR((H304-J304)/I304,"")</f>
        <v/>
      </c>
      <c r="N304" s="5">
        <f>IFERROR(M304,"")</f>
        <v/>
      </c>
      <c r="O304" s="5">
        <f>IFERROR(H304-N304,"")</f>
        <v/>
      </c>
      <c r="P304" s="3" t="inlineStr">
        <is>
          <t>Belum dihitung</t>
        </is>
      </c>
      <c r="Q304" s="3" t="n"/>
    </row>
    <row r="305">
      <c r="A305" s="3" t="n">
        <v>304</v>
      </c>
      <c r="B305" s="3" t="inlineStr">
        <is>
          <t>Desember 2025</t>
        </is>
      </c>
      <c r="C305" s="3">
        <f>'Data Aset'!B307</f>
        <v/>
      </c>
      <c r="D305" s="3">
        <f>'Data Aset'!F307</f>
        <v/>
      </c>
      <c r="E305" s="3" t="inlineStr">
        <is>
          <t>Inventaris Ruangan</t>
        </is>
      </c>
      <c r="F305" s="3">
        <f>'Data Aset'!C307</f>
        <v/>
      </c>
      <c r="G305" s="3">
        <f>'Data Aset'!J307</f>
        <v/>
      </c>
      <c r="H305" s="5">
        <f>'Data Aset'!M307</f>
        <v/>
      </c>
      <c r="I305" s="3">
        <f>'Data Aset'!O307</f>
        <v/>
      </c>
      <c r="J305" s="5" t="n">
        <v>0</v>
      </c>
      <c r="K305" s="3" t="inlineStr">
        <is>
          <t>Garis Lurus</t>
        </is>
      </c>
      <c r="L305" s="5">
        <f>IFERROR(M305/12,"")</f>
        <v/>
      </c>
      <c r="M305" s="5">
        <f>IFERROR((H305-J305)/I305,"")</f>
        <v/>
      </c>
      <c r="N305" s="5">
        <f>IFERROR(M305,"")</f>
        <v/>
      </c>
      <c r="O305" s="5">
        <f>IFERROR(H305-N305,"")</f>
        <v/>
      </c>
      <c r="P305" s="3" t="inlineStr">
        <is>
          <t>Belum dihitung</t>
        </is>
      </c>
      <c r="Q305" s="3" t="n"/>
    </row>
    <row r="306">
      <c r="A306" s="3" t="n">
        <v>305</v>
      </c>
      <c r="B306" s="3" t="inlineStr">
        <is>
          <t>Desember 2025</t>
        </is>
      </c>
      <c r="C306" s="3">
        <f>'Data Aset'!B308</f>
        <v/>
      </c>
      <c r="D306" s="3">
        <f>'Data Aset'!F308</f>
        <v/>
      </c>
      <c r="E306" s="3" t="inlineStr">
        <is>
          <t>Inventaris Ruangan</t>
        </is>
      </c>
      <c r="F306" s="3">
        <f>'Data Aset'!C308</f>
        <v/>
      </c>
      <c r="G306" s="3">
        <f>'Data Aset'!J308</f>
        <v/>
      </c>
      <c r="H306" s="5">
        <f>'Data Aset'!M308</f>
        <v/>
      </c>
      <c r="I306" s="3">
        <f>'Data Aset'!O308</f>
        <v/>
      </c>
      <c r="J306" s="5" t="n">
        <v>0</v>
      </c>
      <c r="K306" s="3" t="inlineStr">
        <is>
          <t>Garis Lurus</t>
        </is>
      </c>
      <c r="L306" s="5">
        <f>IFERROR(M306/12,"")</f>
        <v/>
      </c>
      <c r="M306" s="5">
        <f>IFERROR((H306-J306)/I306,"")</f>
        <v/>
      </c>
      <c r="N306" s="5">
        <f>IFERROR(M306,"")</f>
        <v/>
      </c>
      <c r="O306" s="5">
        <f>IFERROR(H306-N306,"")</f>
        <v/>
      </c>
      <c r="P306" s="3" t="inlineStr">
        <is>
          <t>Belum dihitung</t>
        </is>
      </c>
      <c r="Q306" s="3" t="n"/>
    </row>
    <row r="307">
      <c r="A307" s="3" t="n">
        <v>306</v>
      </c>
      <c r="B307" s="3" t="inlineStr">
        <is>
          <t>Desember 2025</t>
        </is>
      </c>
      <c r="C307" s="3">
        <f>'Data Aset'!B309</f>
        <v/>
      </c>
      <c r="D307" s="3">
        <f>'Data Aset'!F309</f>
        <v/>
      </c>
      <c r="E307" s="3" t="inlineStr">
        <is>
          <t>Inventaris Ruangan</t>
        </is>
      </c>
      <c r="F307" s="3">
        <f>'Data Aset'!C309</f>
        <v/>
      </c>
      <c r="G307" s="3">
        <f>'Data Aset'!J309</f>
        <v/>
      </c>
      <c r="H307" s="5">
        <f>'Data Aset'!M309</f>
        <v/>
      </c>
      <c r="I307" s="3">
        <f>'Data Aset'!O309</f>
        <v/>
      </c>
      <c r="J307" s="5" t="n">
        <v>0</v>
      </c>
      <c r="K307" s="3" t="inlineStr">
        <is>
          <t>Garis Lurus</t>
        </is>
      </c>
      <c r="L307" s="5">
        <f>IFERROR(M307/12,"")</f>
        <v/>
      </c>
      <c r="M307" s="5">
        <f>IFERROR((H307-J307)/I307,"")</f>
        <v/>
      </c>
      <c r="N307" s="5">
        <f>IFERROR(M307,"")</f>
        <v/>
      </c>
      <c r="O307" s="5">
        <f>IFERROR(H307-N307,"")</f>
        <v/>
      </c>
      <c r="P307" s="3" t="inlineStr">
        <is>
          <t>Belum dihitung</t>
        </is>
      </c>
      <c r="Q307" s="3" t="n"/>
    </row>
    <row r="308">
      <c r="A308" s="3" t="n">
        <v>307</v>
      </c>
      <c r="B308" s="3" t="inlineStr">
        <is>
          <t>Desember 2025</t>
        </is>
      </c>
      <c r="C308" s="3">
        <f>'Data Aset'!B310</f>
        <v/>
      </c>
      <c r="D308" s="3">
        <f>'Data Aset'!F310</f>
        <v/>
      </c>
      <c r="E308" s="3" t="inlineStr">
        <is>
          <t>Inventaris Ruangan</t>
        </is>
      </c>
      <c r="F308" s="3">
        <f>'Data Aset'!C310</f>
        <v/>
      </c>
      <c r="G308" s="3">
        <f>'Data Aset'!J310</f>
        <v/>
      </c>
      <c r="H308" s="5">
        <f>'Data Aset'!M310</f>
        <v/>
      </c>
      <c r="I308" s="3">
        <f>'Data Aset'!O310</f>
        <v/>
      </c>
      <c r="J308" s="5" t="n">
        <v>0</v>
      </c>
      <c r="K308" s="3" t="inlineStr">
        <is>
          <t>Garis Lurus</t>
        </is>
      </c>
      <c r="L308" s="5">
        <f>IFERROR(M308/12,"")</f>
        <v/>
      </c>
      <c r="M308" s="5">
        <f>IFERROR((H308-J308)/I308,"")</f>
        <v/>
      </c>
      <c r="N308" s="5">
        <f>IFERROR(M308,"")</f>
        <v/>
      </c>
      <c r="O308" s="5">
        <f>IFERROR(H308-N308,"")</f>
        <v/>
      </c>
      <c r="P308" s="3" t="inlineStr">
        <is>
          <t>Belum dihitung</t>
        </is>
      </c>
      <c r="Q308" s="3" t="n"/>
    </row>
    <row r="309">
      <c r="A309" s="3" t="n">
        <v>308</v>
      </c>
      <c r="B309" s="3" t="inlineStr">
        <is>
          <t>Desember 2025</t>
        </is>
      </c>
      <c r="C309" s="3">
        <f>'Data Aset'!B311</f>
        <v/>
      </c>
      <c r="D309" s="3">
        <f>'Data Aset'!F311</f>
        <v/>
      </c>
      <c r="E309" s="3" t="inlineStr">
        <is>
          <t>Inventaris Ruangan</t>
        </is>
      </c>
      <c r="F309" s="3">
        <f>'Data Aset'!C311</f>
        <v/>
      </c>
      <c r="G309" s="3">
        <f>'Data Aset'!J311</f>
        <v/>
      </c>
      <c r="H309" s="5">
        <f>'Data Aset'!M311</f>
        <v/>
      </c>
      <c r="I309" s="3">
        <f>'Data Aset'!O311</f>
        <v/>
      </c>
      <c r="J309" s="5" t="n">
        <v>0</v>
      </c>
      <c r="K309" s="3" t="inlineStr">
        <is>
          <t>Garis Lurus</t>
        </is>
      </c>
      <c r="L309" s="5">
        <f>IFERROR(M309/12,"")</f>
        <v/>
      </c>
      <c r="M309" s="5">
        <f>IFERROR((H309-J309)/I309,"")</f>
        <v/>
      </c>
      <c r="N309" s="5">
        <f>IFERROR(M309,"")</f>
        <v/>
      </c>
      <c r="O309" s="5">
        <f>IFERROR(H309-N309,"")</f>
        <v/>
      </c>
      <c r="P309" s="3" t="inlineStr">
        <is>
          <t>Belum dihitung</t>
        </is>
      </c>
      <c r="Q309" s="3" t="n"/>
    </row>
    <row r="310">
      <c r="A310" s="3" t="n">
        <v>309</v>
      </c>
      <c r="B310" s="3" t="inlineStr">
        <is>
          <t>Desember 2025</t>
        </is>
      </c>
      <c r="C310" s="3">
        <f>'Data Aset'!B312</f>
        <v/>
      </c>
      <c r="D310" s="3">
        <f>'Data Aset'!F312</f>
        <v/>
      </c>
      <c r="E310" s="3" t="inlineStr">
        <is>
          <t>Inventaris Ruangan</t>
        </is>
      </c>
      <c r="F310" s="3">
        <f>'Data Aset'!C312</f>
        <v/>
      </c>
      <c r="G310" s="3">
        <f>'Data Aset'!J312</f>
        <v/>
      </c>
      <c r="H310" s="5">
        <f>'Data Aset'!M312</f>
        <v/>
      </c>
      <c r="I310" s="3">
        <f>'Data Aset'!O312</f>
        <v/>
      </c>
      <c r="J310" s="5" t="n">
        <v>0</v>
      </c>
      <c r="K310" s="3" t="inlineStr">
        <is>
          <t>Garis Lurus</t>
        </is>
      </c>
      <c r="L310" s="5">
        <f>IFERROR(M310/12,"")</f>
        <v/>
      </c>
      <c r="M310" s="5">
        <f>IFERROR((H310-J310)/I310,"")</f>
        <v/>
      </c>
      <c r="N310" s="5">
        <f>IFERROR(M310,"")</f>
        <v/>
      </c>
      <c r="O310" s="5">
        <f>IFERROR(H310-N310,"")</f>
        <v/>
      </c>
      <c r="P310" s="3" t="inlineStr">
        <is>
          <t>Belum dihitung</t>
        </is>
      </c>
      <c r="Q310" s="3" t="n"/>
    </row>
    <row r="311">
      <c r="A311" s="3" t="n">
        <v>310</v>
      </c>
      <c r="B311" s="3" t="inlineStr">
        <is>
          <t>Desember 2025</t>
        </is>
      </c>
      <c r="C311" s="3">
        <f>'Data Aset'!B313</f>
        <v/>
      </c>
      <c r="D311" s="3">
        <f>'Data Aset'!F313</f>
        <v/>
      </c>
      <c r="E311" s="3" t="inlineStr">
        <is>
          <t>Inventaris Ruangan</t>
        </is>
      </c>
      <c r="F311" s="3">
        <f>'Data Aset'!C313</f>
        <v/>
      </c>
      <c r="G311" s="3">
        <f>'Data Aset'!J313</f>
        <v/>
      </c>
      <c r="H311" s="5">
        <f>'Data Aset'!M313</f>
        <v/>
      </c>
      <c r="I311" s="3">
        <f>'Data Aset'!O313</f>
        <v/>
      </c>
      <c r="J311" s="5" t="n">
        <v>0</v>
      </c>
      <c r="K311" s="3" t="inlineStr">
        <is>
          <t>Garis Lurus</t>
        </is>
      </c>
      <c r="L311" s="5">
        <f>IFERROR(M311/12,"")</f>
        <v/>
      </c>
      <c r="M311" s="5">
        <f>IFERROR((H311-J311)/I311,"")</f>
        <v/>
      </c>
      <c r="N311" s="5">
        <f>IFERROR(M311,"")</f>
        <v/>
      </c>
      <c r="O311" s="5">
        <f>IFERROR(H311-N311,"")</f>
        <v/>
      </c>
      <c r="P311" s="3" t="inlineStr">
        <is>
          <t>Belum dihitung</t>
        </is>
      </c>
      <c r="Q311" s="3" t="n"/>
    </row>
    <row r="312">
      <c r="A312" s="3" t="n">
        <v>311</v>
      </c>
      <c r="B312" s="3" t="inlineStr">
        <is>
          <t>Desember 2025</t>
        </is>
      </c>
      <c r="C312" s="3">
        <f>'Data Aset'!B314</f>
        <v/>
      </c>
      <c r="D312" s="3">
        <f>'Data Aset'!F314</f>
        <v/>
      </c>
      <c r="E312" s="3" t="inlineStr">
        <is>
          <t>Inventaris Ruangan</t>
        </is>
      </c>
      <c r="F312" s="3">
        <f>'Data Aset'!C314</f>
        <v/>
      </c>
      <c r="G312" s="3">
        <f>'Data Aset'!J314</f>
        <v/>
      </c>
      <c r="H312" s="5">
        <f>'Data Aset'!M314</f>
        <v/>
      </c>
      <c r="I312" s="3">
        <f>'Data Aset'!O314</f>
        <v/>
      </c>
      <c r="J312" s="5" t="n">
        <v>0</v>
      </c>
      <c r="K312" s="3" t="inlineStr">
        <is>
          <t>Garis Lurus</t>
        </is>
      </c>
      <c r="L312" s="5">
        <f>IFERROR(M312/12,"")</f>
        <v/>
      </c>
      <c r="M312" s="5">
        <f>IFERROR((H312-J312)/I312,"")</f>
        <v/>
      </c>
      <c r="N312" s="5">
        <f>IFERROR(M312,"")</f>
        <v/>
      </c>
      <c r="O312" s="5">
        <f>IFERROR(H312-N312,"")</f>
        <v/>
      </c>
      <c r="P312" s="3" t="inlineStr">
        <is>
          <t>Belum dihitung</t>
        </is>
      </c>
      <c r="Q312" s="3" t="n"/>
    </row>
    <row r="313">
      <c r="A313" s="3" t="n">
        <v>312</v>
      </c>
      <c r="B313" s="3" t="inlineStr">
        <is>
          <t>Desember 2025</t>
        </is>
      </c>
      <c r="C313" s="3">
        <f>'Data Aset'!B315</f>
        <v/>
      </c>
      <c r="D313" s="3">
        <f>'Data Aset'!F315</f>
        <v/>
      </c>
      <c r="E313" s="3" t="inlineStr">
        <is>
          <t>Inventaris Ruangan</t>
        </is>
      </c>
      <c r="F313" s="3">
        <f>'Data Aset'!C315</f>
        <v/>
      </c>
      <c r="G313" s="3">
        <f>'Data Aset'!J315</f>
        <v/>
      </c>
      <c r="H313" s="5">
        <f>'Data Aset'!M315</f>
        <v/>
      </c>
      <c r="I313" s="3">
        <f>'Data Aset'!O315</f>
        <v/>
      </c>
      <c r="J313" s="5" t="n">
        <v>0</v>
      </c>
      <c r="K313" s="3" t="inlineStr">
        <is>
          <t>Garis Lurus</t>
        </is>
      </c>
      <c r="L313" s="5">
        <f>IFERROR(M313/12,"")</f>
        <v/>
      </c>
      <c r="M313" s="5">
        <f>IFERROR((H313-J313)/I313,"")</f>
        <v/>
      </c>
      <c r="N313" s="5">
        <f>IFERROR(M313,"")</f>
        <v/>
      </c>
      <c r="O313" s="5">
        <f>IFERROR(H313-N313,"")</f>
        <v/>
      </c>
      <c r="P313" s="3" t="inlineStr">
        <is>
          <t>Belum dihitung</t>
        </is>
      </c>
      <c r="Q313" s="3" t="n"/>
    </row>
    <row r="314">
      <c r="A314" s="3" t="n">
        <v>313</v>
      </c>
      <c r="B314" s="3" t="inlineStr">
        <is>
          <t>Desember 2025</t>
        </is>
      </c>
      <c r="C314" s="3">
        <f>'Data Aset'!B316</f>
        <v/>
      </c>
      <c r="D314" s="3">
        <f>'Data Aset'!F316</f>
        <v/>
      </c>
      <c r="E314" s="3" t="inlineStr">
        <is>
          <t>Inventaris Ruangan</t>
        </is>
      </c>
      <c r="F314" s="3">
        <f>'Data Aset'!C316</f>
        <v/>
      </c>
      <c r="G314" s="3">
        <f>'Data Aset'!J316</f>
        <v/>
      </c>
      <c r="H314" s="5">
        <f>'Data Aset'!M316</f>
        <v/>
      </c>
      <c r="I314" s="3">
        <f>'Data Aset'!O316</f>
        <v/>
      </c>
      <c r="J314" s="5" t="n">
        <v>0</v>
      </c>
      <c r="K314" s="3" t="inlineStr">
        <is>
          <t>Garis Lurus</t>
        </is>
      </c>
      <c r="L314" s="5">
        <f>IFERROR(M314/12,"")</f>
        <v/>
      </c>
      <c r="M314" s="5">
        <f>IFERROR((H314-J314)/I314,"")</f>
        <v/>
      </c>
      <c r="N314" s="5">
        <f>IFERROR(M314,"")</f>
        <v/>
      </c>
      <c r="O314" s="5">
        <f>IFERROR(H314-N314,"")</f>
        <v/>
      </c>
      <c r="P314" s="3" t="inlineStr">
        <is>
          <t>Belum dihitung</t>
        </is>
      </c>
      <c r="Q314" s="3" t="n"/>
    </row>
    <row r="315">
      <c r="A315" s="3" t="n">
        <v>314</v>
      </c>
      <c r="B315" s="3" t="inlineStr">
        <is>
          <t>Desember 2025</t>
        </is>
      </c>
      <c r="C315" s="3">
        <f>'Data Aset'!B317</f>
        <v/>
      </c>
      <c r="D315" s="3">
        <f>'Data Aset'!F317</f>
        <v/>
      </c>
      <c r="E315" s="3" t="inlineStr">
        <is>
          <t>Inventaris Ruangan</t>
        </is>
      </c>
      <c r="F315" s="3">
        <f>'Data Aset'!C317</f>
        <v/>
      </c>
      <c r="G315" s="3">
        <f>'Data Aset'!J317</f>
        <v/>
      </c>
      <c r="H315" s="5">
        <f>'Data Aset'!M317</f>
        <v/>
      </c>
      <c r="I315" s="3">
        <f>'Data Aset'!O317</f>
        <v/>
      </c>
      <c r="J315" s="5" t="n">
        <v>0</v>
      </c>
      <c r="K315" s="3" t="inlineStr">
        <is>
          <t>Garis Lurus</t>
        </is>
      </c>
      <c r="L315" s="5">
        <f>IFERROR(M315/12,"")</f>
        <v/>
      </c>
      <c r="M315" s="5">
        <f>IFERROR((H315-J315)/I315,"")</f>
        <v/>
      </c>
      <c r="N315" s="5">
        <f>IFERROR(M315,"")</f>
        <v/>
      </c>
      <c r="O315" s="5">
        <f>IFERROR(H315-N315,"")</f>
        <v/>
      </c>
      <c r="P315" s="3" t="inlineStr">
        <is>
          <t>Belum dihitung</t>
        </is>
      </c>
      <c r="Q315" s="3" t="n"/>
    </row>
    <row r="316">
      <c r="A316" s="3" t="n">
        <v>315</v>
      </c>
      <c r="B316" s="3" t="inlineStr">
        <is>
          <t>Desember 2025</t>
        </is>
      </c>
      <c r="C316" s="3">
        <f>'Data Aset'!B318</f>
        <v/>
      </c>
      <c r="D316" s="3">
        <f>'Data Aset'!F318</f>
        <v/>
      </c>
      <c r="E316" s="3" t="inlineStr">
        <is>
          <t>Inventaris Ruangan</t>
        </is>
      </c>
      <c r="F316" s="3">
        <f>'Data Aset'!C318</f>
        <v/>
      </c>
      <c r="G316" s="3">
        <f>'Data Aset'!J318</f>
        <v/>
      </c>
      <c r="H316" s="5">
        <f>'Data Aset'!M318</f>
        <v/>
      </c>
      <c r="I316" s="3">
        <f>'Data Aset'!O318</f>
        <v/>
      </c>
      <c r="J316" s="5" t="n">
        <v>0</v>
      </c>
      <c r="K316" s="3" t="inlineStr">
        <is>
          <t>Garis Lurus</t>
        </is>
      </c>
      <c r="L316" s="5">
        <f>IFERROR(M316/12,"")</f>
        <v/>
      </c>
      <c r="M316" s="5">
        <f>IFERROR((H316-J316)/I316,"")</f>
        <v/>
      </c>
      <c r="N316" s="5">
        <f>IFERROR(M316,"")</f>
        <v/>
      </c>
      <c r="O316" s="5">
        <f>IFERROR(H316-N316,"")</f>
        <v/>
      </c>
      <c r="P316" s="3" t="inlineStr">
        <is>
          <t>Belum dihitung</t>
        </is>
      </c>
      <c r="Q316" s="3" t="n"/>
    </row>
    <row r="317">
      <c r="A317" s="3" t="n">
        <v>316</v>
      </c>
      <c r="B317" s="3" t="inlineStr">
        <is>
          <t>Desember 2025</t>
        </is>
      </c>
      <c r="C317" s="3">
        <f>'Data Aset'!B319</f>
        <v/>
      </c>
      <c r="D317" s="3">
        <f>'Data Aset'!F319</f>
        <v/>
      </c>
      <c r="E317" s="3" t="inlineStr">
        <is>
          <t>Inventaris Ruangan</t>
        </is>
      </c>
      <c r="F317" s="3">
        <f>'Data Aset'!C319</f>
        <v/>
      </c>
      <c r="G317" s="3">
        <f>'Data Aset'!J319</f>
        <v/>
      </c>
      <c r="H317" s="5">
        <f>'Data Aset'!M319</f>
        <v/>
      </c>
      <c r="I317" s="3">
        <f>'Data Aset'!O319</f>
        <v/>
      </c>
      <c r="J317" s="5" t="n">
        <v>0</v>
      </c>
      <c r="K317" s="3" t="inlineStr">
        <is>
          <t>Garis Lurus</t>
        </is>
      </c>
      <c r="L317" s="5">
        <f>IFERROR(M317/12,"")</f>
        <v/>
      </c>
      <c r="M317" s="5">
        <f>IFERROR((H317-J317)/I317,"")</f>
        <v/>
      </c>
      <c r="N317" s="5">
        <f>IFERROR(M317,"")</f>
        <v/>
      </c>
      <c r="O317" s="5">
        <f>IFERROR(H317-N317,"")</f>
        <v/>
      </c>
      <c r="P317" s="3" t="inlineStr">
        <is>
          <t>Belum dihitung</t>
        </is>
      </c>
      <c r="Q317" s="3" t="n"/>
    </row>
    <row r="318">
      <c r="A318" s="3" t="n">
        <v>317</v>
      </c>
      <c r="B318" s="3" t="inlineStr">
        <is>
          <t>Desember 2025</t>
        </is>
      </c>
      <c r="C318" s="3">
        <f>'Data Aset'!B320</f>
        <v/>
      </c>
      <c r="D318" s="3">
        <f>'Data Aset'!F320</f>
        <v/>
      </c>
      <c r="E318" s="3" t="inlineStr">
        <is>
          <t>Inventaris Ruangan</t>
        </is>
      </c>
      <c r="F318" s="3">
        <f>'Data Aset'!C320</f>
        <v/>
      </c>
      <c r="G318" s="3">
        <f>'Data Aset'!J320</f>
        <v/>
      </c>
      <c r="H318" s="5">
        <f>'Data Aset'!M320</f>
        <v/>
      </c>
      <c r="I318" s="3">
        <f>'Data Aset'!O320</f>
        <v/>
      </c>
      <c r="J318" s="5" t="n">
        <v>0</v>
      </c>
      <c r="K318" s="3" t="inlineStr">
        <is>
          <t>Garis Lurus</t>
        </is>
      </c>
      <c r="L318" s="5">
        <f>IFERROR(M318/12,"")</f>
        <v/>
      </c>
      <c r="M318" s="5">
        <f>IFERROR((H318-J318)/I318,"")</f>
        <v/>
      </c>
      <c r="N318" s="5">
        <f>IFERROR(M318,"")</f>
        <v/>
      </c>
      <c r="O318" s="5">
        <f>IFERROR(H318-N318,"")</f>
        <v/>
      </c>
      <c r="P318" s="3" t="inlineStr">
        <is>
          <t>Belum dihitung</t>
        </is>
      </c>
      <c r="Q318" s="3" t="n"/>
    </row>
    <row r="319">
      <c r="A319" s="3" t="n">
        <v>318</v>
      </c>
      <c r="B319" s="3" t="inlineStr">
        <is>
          <t>Desember 2025</t>
        </is>
      </c>
      <c r="C319" s="3">
        <f>'Data Aset'!B321</f>
        <v/>
      </c>
      <c r="D319" s="3">
        <f>'Data Aset'!F321</f>
        <v/>
      </c>
      <c r="E319" s="3" t="inlineStr">
        <is>
          <t>Inventaris Ruangan</t>
        </is>
      </c>
      <c r="F319" s="3">
        <f>'Data Aset'!C321</f>
        <v/>
      </c>
      <c r="G319" s="3">
        <f>'Data Aset'!J321</f>
        <v/>
      </c>
      <c r="H319" s="5">
        <f>'Data Aset'!M321</f>
        <v/>
      </c>
      <c r="I319" s="3">
        <f>'Data Aset'!O321</f>
        <v/>
      </c>
      <c r="J319" s="5" t="n">
        <v>0</v>
      </c>
      <c r="K319" s="3" t="inlineStr">
        <is>
          <t>Garis Lurus</t>
        </is>
      </c>
      <c r="L319" s="5">
        <f>IFERROR(M319/12,"")</f>
        <v/>
      </c>
      <c r="M319" s="5">
        <f>IFERROR((H319-J319)/I319,"")</f>
        <v/>
      </c>
      <c r="N319" s="5">
        <f>IFERROR(M319,"")</f>
        <v/>
      </c>
      <c r="O319" s="5">
        <f>IFERROR(H319-N319,"")</f>
        <v/>
      </c>
      <c r="P319" s="3" t="inlineStr">
        <is>
          <t>Belum dihitung</t>
        </is>
      </c>
      <c r="Q319" s="3" t="n"/>
    </row>
    <row r="320">
      <c r="A320" s="3" t="n">
        <v>319</v>
      </c>
      <c r="B320" s="3" t="inlineStr">
        <is>
          <t>Desember 2025</t>
        </is>
      </c>
      <c r="C320" s="3">
        <f>'Data Aset'!B322</f>
        <v/>
      </c>
      <c r="D320" s="3">
        <f>'Data Aset'!F322</f>
        <v/>
      </c>
      <c r="E320" s="3" t="inlineStr">
        <is>
          <t>Inventaris Ruangan</t>
        </is>
      </c>
      <c r="F320" s="3">
        <f>'Data Aset'!C322</f>
        <v/>
      </c>
      <c r="G320" s="3">
        <f>'Data Aset'!J322</f>
        <v/>
      </c>
      <c r="H320" s="5">
        <f>'Data Aset'!M322</f>
        <v/>
      </c>
      <c r="I320" s="3">
        <f>'Data Aset'!O322</f>
        <v/>
      </c>
      <c r="J320" s="5" t="n">
        <v>0</v>
      </c>
      <c r="K320" s="3" t="inlineStr">
        <is>
          <t>Garis Lurus</t>
        </is>
      </c>
      <c r="L320" s="5">
        <f>IFERROR(M320/12,"")</f>
        <v/>
      </c>
      <c r="M320" s="5">
        <f>IFERROR((H320-J320)/I320,"")</f>
        <v/>
      </c>
      <c r="N320" s="5">
        <f>IFERROR(M320,"")</f>
        <v/>
      </c>
      <c r="O320" s="5">
        <f>IFERROR(H320-N320,"")</f>
        <v/>
      </c>
      <c r="P320" s="3" t="inlineStr">
        <is>
          <t>Belum dihitung</t>
        </is>
      </c>
      <c r="Q320" s="3" t="n"/>
    </row>
    <row r="321">
      <c r="A321" s="3" t="n">
        <v>320</v>
      </c>
      <c r="B321" s="3" t="inlineStr">
        <is>
          <t>Desember 2025</t>
        </is>
      </c>
      <c r="C321" s="3">
        <f>'Data Aset'!B323</f>
        <v/>
      </c>
      <c r="D321" s="3">
        <f>'Data Aset'!F323</f>
        <v/>
      </c>
      <c r="E321" s="3" t="inlineStr">
        <is>
          <t>Inventaris Ruangan</t>
        </is>
      </c>
      <c r="F321" s="3">
        <f>'Data Aset'!C323</f>
        <v/>
      </c>
      <c r="G321" s="3">
        <f>'Data Aset'!J323</f>
        <v/>
      </c>
      <c r="H321" s="5">
        <f>'Data Aset'!M323</f>
        <v/>
      </c>
      <c r="I321" s="3">
        <f>'Data Aset'!O323</f>
        <v/>
      </c>
      <c r="J321" s="5" t="n">
        <v>0</v>
      </c>
      <c r="K321" s="3" t="inlineStr">
        <is>
          <t>Garis Lurus</t>
        </is>
      </c>
      <c r="L321" s="5">
        <f>IFERROR(M321/12,"")</f>
        <v/>
      </c>
      <c r="M321" s="5">
        <f>IFERROR((H321-J321)/I321,"")</f>
        <v/>
      </c>
      <c r="N321" s="5">
        <f>IFERROR(M321,"")</f>
        <v/>
      </c>
      <c r="O321" s="5">
        <f>IFERROR(H321-N321,"")</f>
        <v/>
      </c>
      <c r="P321" s="3" t="inlineStr">
        <is>
          <t>Belum dihitung</t>
        </is>
      </c>
      <c r="Q321" s="3" t="n"/>
    </row>
    <row r="322">
      <c r="A322" s="3" t="n">
        <v>321</v>
      </c>
      <c r="B322" s="3" t="inlineStr">
        <is>
          <t>Desember 2025</t>
        </is>
      </c>
      <c r="C322" s="3">
        <f>'Data Aset'!B324</f>
        <v/>
      </c>
      <c r="D322" s="3">
        <f>'Data Aset'!F324</f>
        <v/>
      </c>
      <c r="E322" s="3" t="inlineStr">
        <is>
          <t>Inventaris Ruangan</t>
        </is>
      </c>
      <c r="F322" s="3">
        <f>'Data Aset'!C324</f>
        <v/>
      </c>
      <c r="G322" s="3">
        <f>'Data Aset'!J324</f>
        <v/>
      </c>
      <c r="H322" s="5">
        <f>'Data Aset'!M324</f>
        <v/>
      </c>
      <c r="I322" s="3">
        <f>'Data Aset'!O324</f>
        <v/>
      </c>
      <c r="J322" s="5" t="n">
        <v>0</v>
      </c>
      <c r="K322" s="3" t="inlineStr">
        <is>
          <t>Garis Lurus</t>
        </is>
      </c>
      <c r="L322" s="5">
        <f>IFERROR(M322/12,"")</f>
        <v/>
      </c>
      <c r="M322" s="5">
        <f>IFERROR((H322-J322)/I322,"")</f>
        <v/>
      </c>
      <c r="N322" s="5">
        <f>IFERROR(M322,"")</f>
        <v/>
      </c>
      <c r="O322" s="5">
        <f>IFERROR(H322-N322,"")</f>
        <v/>
      </c>
      <c r="P322" s="3" t="inlineStr">
        <is>
          <t>Belum dihitung</t>
        </is>
      </c>
      <c r="Q322" s="3" t="n"/>
    </row>
    <row r="323">
      <c r="A323" s="3" t="n">
        <v>322</v>
      </c>
      <c r="B323" s="3" t="inlineStr">
        <is>
          <t>Desember 2025</t>
        </is>
      </c>
      <c r="C323" s="3">
        <f>'Data Aset'!B325</f>
        <v/>
      </c>
      <c r="D323" s="3">
        <f>'Data Aset'!F325</f>
        <v/>
      </c>
      <c r="E323" s="3" t="inlineStr">
        <is>
          <t>Inventaris Ruangan</t>
        </is>
      </c>
      <c r="F323" s="3">
        <f>'Data Aset'!C325</f>
        <v/>
      </c>
      <c r="G323" s="3">
        <f>'Data Aset'!J325</f>
        <v/>
      </c>
      <c r="H323" s="5">
        <f>'Data Aset'!M325</f>
        <v/>
      </c>
      <c r="I323" s="3">
        <f>'Data Aset'!O325</f>
        <v/>
      </c>
      <c r="J323" s="5" t="n">
        <v>0</v>
      </c>
      <c r="K323" s="3" t="inlineStr">
        <is>
          <t>Garis Lurus</t>
        </is>
      </c>
      <c r="L323" s="5">
        <f>IFERROR(M323/12,"")</f>
        <v/>
      </c>
      <c r="M323" s="5">
        <f>IFERROR((H323-J323)/I323,"")</f>
        <v/>
      </c>
      <c r="N323" s="5">
        <f>IFERROR(M323,"")</f>
        <v/>
      </c>
      <c r="O323" s="5">
        <f>IFERROR(H323-N323,"")</f>
        <v/>
      </c>
      <c r="P323" s="3" t="inlineStr">
        <is>
          <t>Belum dihitung</t>
        </is>
      </c>
      <c r="Q323" s="3" t="n"/>
    </row>
    <row r="324">
      <c r="A324" s="3" t="n">
        <v>323</v>
      </c>
      <c r="B324" s="3" t="inlineStr">
        <is>
          <t>Desember 2025</t>
        </is>
      </c>
      <c r="C324" s="3">
        <f>'Data Aset'!B326</f>
        <v/>
      </c>
      <c r="D324" s="3">
        <f>'Data Aset'!F326</f>
        <v/>
      </c>
      <c r="E324" s="3" t="inlineStr">
        <is>
          <t>Inventaris Ruangan</t>
        </is>
      </c>
      <c r="F324" s="3">
        <f>'Data Aset'!C326</f>
        <v/>
      </c>
      <c r="G324" s="3">
        <f>'Data Aset'!J326</f>
        <v/>
      </c>
      <c r="H324" s="5">
        <f>'Data Aset'!M326</f>
        <v/>
      </c>
      <c r="I324" s="3">
        <f>'Data Aset'!O326</f>
        <v/>
      </c>
      <c r="J324" s="5" t="n">
        <v>0</v>
      </c>
      <c r="K324" s="3" t="inlineStr">
        <is>
          <t>Garis Lurus</t>
        </is>
      </c>
      <c r="L324" s="5">
        <f>IFERROR(M324/12,"")</f>
        <v/>
      </c>
      <c r="M324" s="5">
        <f>IFERROR((H324-J324)/I324,"")</f>
        <v/>
      </c>
      <c r="N324" s="5">
        <f>IFERROR(M324,"")</f>
        <v/>
      </c>
      <c r="O324" s="5">
        <f>IFERROR(H324-N324,"")</f>
        <v/>
      </c>
      <c r="P324" s="3" t="inlineStr">
        <is>
          <t>Belum dihitung</t>
        </is>
      </c>
      <c r="Q324" s="3" t="n"/>
    </row>
    <row r="325">
      <c r="A325" s="3" t="n">
        <v>324</v>
      </c>
      <c r="B325" s="3" t="inlineStr">
        <is>
          <t>Desember 2025</t>
        </is>
      </c>
      <c r="C325" s="3">
        <f>'Data Aset'!B327</f>
        <v/>
      </c>
      <c r="D325" s="3">
        <f>'Data Aset'!F327</f>
        <v/>
      </c>
      <c r="E325" s="3" t="inlineStr">
        <is>
          <t>Inventaris Ruangan</t>
        </is>
      </c>
      <c r="F325" s="3">
        <f>'Data Aset'!C327</f>
        <v/>
      </c>
      <c r="G325" s="3">
        <f>'Data Aset'!J327</f>
        <v/>
      </c>
      <c r="H325" s="5">
        <f>'Data Aset'!M327</f>
        <v/>
      </c>
      <c r="I325" s="3">
        <f>'Data Aset'!O327</f>
        <v/>
      </c>
      <c r="J325" s="5" t="n">
        <v>0</v>
      </c>
      <c r="K325" s="3" t="inlineStr">
        <is>
          <t>Garis Lurus</t>
        </is>
      </c>
      <c r="L325" s="5">
        <f>IFERROR(M325/12,"")</f>
        <v/>
      </c>
      <c r="M325" s="5">
        <f>IFERROR((H325-J325)/I325,"")</f>
        <v/>
      </c>
      <c r="N325" s="5">
        <f>IFERROR(M325,"")</f>
        <v/>
      </c>
      <c r="O325" s="5">
        <f>IFERROR(H325-N325,"")</f>
        <v/>
      </c>
      <c r="P325" s="3" t="inlineStr">
        <is>
          <t>Belum dihitung</t>
        </is>
      </c>
      <c r="Q325" s="3" t="n"/>
    </row>
    <row r="326">
      <c r="A326" s="3" t="n">
        <v>325</v>
      </c>
      <c r="B326" s="3" t="inlineStr">
        <is>
          <t>Desember 2025</t>
        </is>
      </c>
      <c r="C326" s="3">
        <f>'Data Aset'!B328</f>
        <v/>
      </c>
      <c r="D326" s="3">
        <f>'Data Aset'!F328</f>
        <v/>
      </c>
      <c r="E326" s="3" t="inlineStr">
        <is>
          <t>Inventaris Ruangan</t>
        </is>
      </c>
      <c r="F326" s="3">
        <f>'Data Aset'!C328</f>
        <v/>
      </c>
      <c r="G326" s="3">
        <f>'Data Aset'!J328</f>
        <v/>
      </c>
      <c r="H326" s="5">
        <f>'Data Aset'!M328</f>
        <v/>
      </c>
      <c r="I326" s="3">
        <f>'Data Aset'!O328</f>
        <v/>
      </c>
      <c r="J326" s="5" t="n">
        <v>0</v>
      </c>
      <c r="K326" s="3" t="inlineStr">
        <is>
          <t>Garis Lurus</t>
        </is>
      </c>
      <c r="L326" s="5">
        <f>IFERROR(M326/12,"")</f>
        <v/>
      </c>
      <c r="M326" s="5">
        <f>IFERROR((H326-J326)/I326,"")</f>
        <v/>
      </c>
      <c r="N326" s="5">
        <f>IFERROR(M326,"")</f>
        <v/>
      </c>
      <c r="O326" s="5">
        <f>IFERROR(H326-N326,"")</f>
        <v/>
      </c>
      <c r="P326" s="3" t="inlineStr">
        <is>
          <t>Belum dihitung</t>
        </is>
      </c>
      <c r="Q326" s="3" t="n"/>
    </row>
    <row r="327">
      <c r="A327" s="3" t="n">
        <v>326</v>
      </c>
      <c r="B327" s="3" t="inlineStr">
        <is>
          <t>Desember 2025</t>
        </is>
      </c>
      <c r="C327" s="3">
        <f>'Data Aset'!B329</f>
        <v/>
      </c>
      <c r="D327" s="3">
        <f>'Data Aset'!F329</f>
        <v/>
      </c>
      <c r="E327" s="3" t="inlineStr">
        <is>
          <t>Inventaris Ruangan</t>
        </is>
      </c>
      <c r="F327" s="3">
        <f>'Data Aset'!C329</f>
        <v/>
      </c>
      <c r="G327" s="3">
        <f>'Data Aset'!J329</f>
        <v/>
      </c>
      <c r="H327" s="5">
        <f>'Data Aset'!M329</f>
        <v/>
      </c>
      <c r="I327" s="3">
        <f>'Data Aset'!O329</f>
        <v/>
      </c>
      <c r="J327" s="5" t="n">
        <v>0</v>
      </c>
      <c r="K327" s="3" t="inlineStr">
        <is>
          <t>Garis Lurus</t>
        </is>
      </c>
      <c r="L327" s="5">
        <f>IFERROR(M327/12,"")</f>
        <v/>
      </c>
      <c r="M327" s="5">
        <f>IFERROR((H327-J327)/I327,"")</f>
        <v/>
      </c>
      <c r="N327" s="5">
        <f>IFERROR(M327,"")</f>
        <v/>
      </c>
      <c r="O327" s="5">
        <f>IFERROR(H327-N327,"")</f>
        <v/>
      </c>
      <c r="P327" s="3" t="inlineStr">
        <is>
          <t>Belum dihitung</t>
        </is>
      </c>
      <c r="Q327" s="3" t="n"/>
    </row>
    <row r="328">
      <c r="A328" s="3" t="n">
        <v>327</v>
      </c>
      <c r="B328" s="3" t="inlineStr">
        <is>
          <t>Desember 2025</t>
        </is>
      </c>
      <c r="C328" s="3">
        <f>'Data Aset'!B330</f>
        <v/>
      </c>
      <c r="D328" s="3">
        <f>'Data Aset'!F330</f>
        <v/>
      </c>
      <c r="E328" s="3" t="inlineStr">
        <is>
          <t>Inventaris Ruangan</t>
        </is>
      </c>
      <c r="F328" s="3">
        <f>'Data Aset'!C330</f>
        <v/>
      </c>
      <c r="G328" s="3">
        <f>'Data Aset'!J330</f>
        <v/>
      </c>
      <c r="H328" s="5">
        <f>'Data Aset'!M330</f>
        <v/>
      </c>
      <c r="I328" s="3">
        <f>'Data Aset'!O330</f>
        <v/>
      </c>
      <c r="J328" s="5" t="n">
        <v>0</v>
      </c>
      <c r="K328" s="3" t="inlineStr">
        <is>
          <t>Garis Lurus</t>
        </is>
      </c>
      <c r="L328" s="5">
        <f>IFERROR(M328/12,"")</f>
        <v/>
      </c>
      <c r="M328" s="5">
        <f>IFERROR((H328-J328)/I328,"")</f>
        <v/>
      </c>
      <c r="N328" s="5">
        <f>IFERROR(M328,"")</f>
        <v/>
      </c>
      <c r="O328" s="5">
        <f>IFERROR(H328-N328,"")</f>
        <v/>
      </c>
      <c r="P328" s="3" t="inlineStr">
        <is>
          <t>Belum dihitung</t>
        </is>
      </c>
      <c r="Q328" s="3" t="n"/>
    </row>
    <row r="329">
      <c r="A329" s="3" t="n">
        <v>328</v>
      </c>
      <c r="B329" s="3" t="inlineStr">
        <is>
          <t>Desember 2025</t>
        </is>
      </c>
      <c r="C329" s="3">
        <f>'Data Aset'!B331</f>
        <v/>
      </c>
      <c r="D329" s="3">
        <f>'Data Aset'!F331</f>
        <v/>
      </c>
      <c r="E329" s="3" t="inlineStr">
        <is>
          <t>Inventaris Ruangan</t>
        </is>
      </c>
      <c r="F329" s="3">
        <f>'Data Aset'!C331</f>
        <v/>
      </c>
      <c r="G329" s="3">
        <f>'Data Aset'!J331</f>
        <v/>
      </c>
      <c r="H329" s="5">
        <f>'Data Aset'!M331</f>
        <v/>
      </c>
      <c r="I329" s="3">
        <f>'Data Aset'!O331</f>
        <v/>
      </c>
      <c r="J329" s="5" t="n">
        <v>0</v>
      </c>
      <c r="K329" s="3" t="inlineStr">
        <is>
          <t>Garis Lurus</t>
        </is>
      </c>
      <c r="L329" s="5">
        <f>IFERROR(M329/12,"")</f>
        <v/>
      </c>
      <c r="M329" s="5">
        <f>IFERROR((H329-J329)/I329,"")</f>
        <v/>
      </c>
      <c r="N329" s="5">
        <f>IFERROR(M329,"")</f>
        <v/>
      </c>
      <c r="O329" s="5">
        <f>IFERROR(H329-N329,"")</f>
        <v/>
      </c>
      <c r="P329" s="3" t="inlineStr">
        <is>
          <t>Belum dihitung</t>
        </is>
      </c>
      <c r="Q329" s="3" t="n"/>
    </row>
    <row r="330">
      <c r="A330" s="3" t="n">
        <v>329</v>
      </c>
      <c r="B330" s="3" t="inlineStr">
        <is>
          <t>Desember 2025</t>
        </is>
      </c>
      <c r="C330" s="3">
        <f>'Data Aset'!B332</f>
        <v/>
      </c>
      <c r="D330" s="3">
        <f>'Data Aset'!F332</f>
        <v/>
      </c>
      <c r="E330" s="3" t="inlineStr">
        <is>
          <t>Inventaris Ruangan</t>
        </is>
      </c>
      <c r="F330" s="3">
        <f>'Data Aset'!C332</f>
        <v/>
      </c>
      <c r="G330" s="3">
        <f>'Data Aset'!J332</f>
        <v/>
      </c>
      <c r="H330" s="5">
        <f>'Data Aset'!M332</f>
        <v/>
      </c>
      <c r="I330" s="3">
        <f>'Data Aset'!O332</f>
        <v/>
      </c>
      <c r="J330" s="5" t="n">
        <v>0</v>
      </c>
      <c r="K330" s="3" t="inlineStr">
        <is>
          <t>Garis Lurus</t>
        </is>
      </c>
      <c r="L330" s="5">
        <f>IFERROR(M330/12,"")</f>
        <v/>
      </c>
      <c r="M330" s="5">
        <f>IFERROR((H330-J330)/I330,"")</f>
        <v/>
      </c>
      <c r="N330" s="5">
        <f>IFERROR(M330,"")</f>
        <v/>
      </c>
      <c r="O330" s="5">
        <f>IFERROR(H330-N330,"")</f>
        <v/>
      </c>
      <c r="P330" s="3" t="inlineStr">
        <is>
          <t>Belum dihitung</t>
        </is>
      </c>
      <c r="Q330" s="3" t="n"/>
    </row>
    <row r="331">
      <c r="A331" s="3" t="n">
        <v>330</v>
      </c>
      <c r="B331" s="3" t="inlineStr">
        <is>
          <t>Desember 2025</t>
        </is>
      </c>
      <c r="C331" s="3">
        <f>'Data Aset'!B333</f>
        <v/>
      </c>
      <c r="D331" s="3">
        <f>'Data Aset'!F333</f>
        <v/>
      </c>
      <c r="E331" s="3" t="inlineStr">
        <is>
          <t>Inventaris Ruangan</t>
        </is>
      </c>
      <c r="F331" s="3">
        <f>'Data Aset'!C333</f>
        <v/>
      </c>
      <c r="G331" s="3">
        <f>'Data Aset'!J333</f>
        <v/>
      </c>
      <c r="H331" s="5">
        <f>'Data Aset'!M333</f>
        <v/>
      </c>
      <c r="I331" s="3">
        <f>'Data Aset'!O333</f>
        <v/>
      </c>
      <c r="J331" s="5" t="n">
        <v>0</v>
      </c>
      <c r="K331" s="3" t="inlineStr">
        <is>
          <t>Garis Lurus</t>
        </is>
      </c>
      <c r="L331" s="5">
        <f>IFERROR(M331/12,"")</f>
        <v/>
      </c>
      <c r="M331" s="5">
        <f>IFERROR((H331-J331)/I331,"")</f>
        <v/>
      </c>
      <c r="N331" s="5">
        <f>IFERROR(M331,"")</f>
        <v/>
      </c>
      <c r="O331" s="5">
        <f>IFERROR(H331-N331,"")</f>
        <v/>
      </c>
      <c r="P331" s="3" t="inlineStr">
        <is>
          <t>Belum dihitung</t>
        </is>
      </c>
      <c r="Q331" s="3" t="n"/>
    </row>
    <row r="332">
      <c r="A332" s="3" t="n">
        <v>331</v>
      </c>
      <c r="B332" s="3" t="inlineStr">
        <is>
          <t>Desember 2025</t>
        </is>
      </c>
      <c r="C332" s="3">
        <f>'Data Aset'!B334</f>
        <v/>
      </c>
      <c r="D332" s="3">
        <f>'Data Aset'!F334</f>
        <v/>
      </c>
      <c r="E332" s="3" t="inlineStr">
        <is>
          <t>Inventaris Ruangan</t>
        </is>
      </c>
      <c r="F332" s="3">
        <f>'Data Aset'!C334</f>
        <v/>
      </c>
      <c r="G332" s="3">
        <f>'Data Aset'!J334</f>
        <v/>
      </c>
      <c r="H332" s="5">
        <f>'Data Aset'!M334</f>
        <v/>
      </c>
      <c r="I332" s="3">
        <f>'Data Aset'!O334</f>
        <v/>
      </c>
      <c r="J332" s="5" t="n">
        <v>0</v>
      </c>
      <c r="K332" s="3" t="inlineStr">
        <is>
          <t>Garis Lurus</t>
        </is>
      </c>
      <c r="L332" s="5">
        <f>IFERROR(M332/12,"")</f>
        <v/>
      </c>
      <c r="M332" s="5">
        <f>IFERROR((H332-J332)/I332,"")</f>
        <v/>
      </c>
      <c r="N332" s="5">
        <f>IFERROR(M332,"")</f>
        <v/>
      </c>
      <c r="O332" s="5">
        <f>IFERROR(H332-N332,"")</f>
        <v/>
      </c>
      <c r="P332" s="3" t="inlineStr">
        <is>
          <t>Belum dihitung</t>
        </is>
      </c>
      <c r="Q332" s="3" t="n"/>
    </row>
    <row r="333">
      <c r="A333" s="3" t="n">
        <v>332</v>
      </c>
      <c r="B333" s="3" t="inlineStr">
        <is>
          <t>Desember 2025</t>
        </is>
      </c>
      <c r="C333" s="3">
        <f>'Data Aset'!B335</f>
        <v/>
      </c>
      <c r="D333" s="3">
        <f>'Data Aset'!F335</f>
        <v/>
      </c>
      <c r="E333" s="3" t="inlineStr">
        <is>
          <t>Inventaris Ruangan</t>
        </is>
      </c>
      <c r="F333" s="3">
        <f>'Data Aset'!C335</f>
        <v/>
      </c>
      <c r="G333" s="3">
        <f>'Data Aset'!J335</f>
        <v/>
      </c>
      <c r="H333" s="5">
        <f>'Data Aset'!M335</f>
        <v/>
      </c>
      <c r="I333" s="3">
        <f>'Data Aset'!O335</f>
        <v/>
      </c>
      <c r="J333" s="5" t="n">
        <v>0</v>
      </c>
      <c r="K333" s="3" t="inlineStr">
        <is>
          <t>Garis Lurus</t>
        </is>
      </c>
      <c r="L333" s="5">
        <f>IFERROR(M333/12,"")</f>
        <v/>
      </c>
      <c r="M333" s="5">
        <f>IFERROR((H333-J333)/I333,"")</f>
        <v/>
      </c>
      <c r="N333" s="5">
        <f>IFERROR(M333,"")</f>
        <v/>
      </c>
      <c r="O333" s="5">
        <f>IFERROR(H333-N333,"")</f>
        <v/>
      </c>
      <c r="P333" s="3" t="inlineStr">
        <is>
          <t>Belum dihitung</t>
        </is>
      </c>
      <c r="Q333" s="3" t="n"/>
    </row>
    <row r="334">
      <c r="A334" s="3" t="n">
        <v>333</v>
      </c>
      <c r="B334" s="3" t="inlineStr">
        <is>
          <t>Desember 2025</t>
        </is>
      </c>
      <c r="C334" s="3">
        <f>'Data Aset'!B336</f>
        <v/>
      </c>
      <c r="D334" s="3">
        <f>'Data Aset'!F336</f>
        <v/>
      </c>
      <c r="E334" s="3" t="inlineStr">
        <is>
          <t>Inventaris Ruangan</t>
        </is>
      </c>
      <c r="F334" s="3">
        <f>'Data Aset'!C336</f>
        <v/>
      </c>
      <c r="G334" s="3">
        <f>'Data Aset'!J336</f>
        <v/>
      </c>
      <c r="H334" s="5">
        <f>'Data Aset'!M336</f>
        <v/>
      </c>
      <c r="I334" s="3">
        <f>'Data Aset'!O336</f>
        <v/>
      </c>
      <c r="J334" s="5" t="n">
        <v>0</v>
      </c>
      <c r="K334" s="3" t="inlineStr">
        <is>
          <t>Garis Lurus</t>
        </is>
      </c>
      <c r="L334" s="5">
        <f>IFERROR(M334/12,"")</f>
        <v/>
      </c>
      <c r="M334" s="5">
        <f>IFERROR((H334-J334)/I334,"")</f>
        <v/>
      </c>
      <c r="N334" s="5">
        <f>IFERROR(M334,"")</f>
        <v/>
      </c>
      <c r="O334" s="5">
        <f>IFERROR(H334-N334,"")</f>
        <v/>
      </c>
      <c r="P334" s="3" t="inlineStr">
        <is>
          <t>Belum dihitung</t>
        </is>
      </c>
      <c r="Q334" s="3" t="n"/>
    </row>
    <row r="335">
      <c r="A335" s="3" t="n">
        <v>334</v>
      </c>
      <c r="B335" s="3" t="inlineStr">
        <is>
          <t>Desember 2025</t>
        </is>
      </c>
      <c r="C335" s="3">
        <f>'Data Aset'!B337</f>
        <v/>
      </c>
      <c r="D335" s="3">
        <f>'Data Aset'!F337</f>
        <v/>
      </c>
      <c r="E335" s="3" t="inlineStr">
        <is>
          <t>Inventaris Ruangan</t>
        </is>
      </c>
      <c r="F335" s="3">
        <f>'Data Aset'!C337</f>
        <v/>
      </c>
      <c r="G335" s="3">
        <f>'Data Aset'!J337</f>
        <v/>
      </c>
      <c r="H335" s="5">
        <f>'Data Aset'!M337</f>
        <v/>
      </c>
      <c r="I335" s="3">
        <f>'Data Aset'!O337</f>
        <v/>
      </c>
      <c r="J335" s="5" t="n">
        <v>0</v>
      </c>
      <c r="K335" s="3" t="inlineStr">
        <is>
          <t>Garis Lurus</t>
        </is>
      </c>
      <c r="L335" s="5">
        <f>IFERROR(M335/12,"")</f>
        <v/>
      </c>
      <c r="M335" s="5">
        <f>IFERROR((H335-J335)/I335,"")</f>
        <v/>
      </c>
      <c r="N335" s="5">
        <f>IFERROR(M335,"")</f>
        <v/>
      </c>
      <c r="O335" s="5">
        <f>IFERROR(H335-N335,"")</f>
        <v/>
      </c>
      <c r="P335" s="3" t="inlineStr">
        <is>
          <t>Belum dihitung</t>
        </is>
      </c>
      <c r="Q335" s="3" t="n"/>
    </row>
    <row r="336">
      <c r="A336" s="3" t="n">
        <v>335</v>
      </c>
      <c r="B336" s="3" t="inlineStr">
        <is>
          <t>Desember 2025</t>
        </is>
      </c>
      <c r="C336" s="3">
        <f>'Data Aset'!B338</f>
        <v/>
      </c>
      <c r="D336" s="3">
        <f>'Data Aset'!F338</f>
        <v/>
      </c>
      <c r="E336" s="3" t="inlineStr">
        <is>
          <t>Inventaris Ruangan</t>
        </is>
      </c>
      <c r="F336" s="3">
        <f>'Data Aset'!C338</f>
        <v/>
      </c>
      <c r="G336" s="3">
        <f>'Data Aset'!J338</f>
        <v/>
      </c>
      <c r="H336" s="5">
        <f>'Data Aset'!M338</f>
        <v/>
      </c>
      <c r="I336" s="3">
        <f>'Data Aset'!O338</f>
        <v/>
      </c>
      <c r="J336" s="5" t="n">
        <v>0</v>
      </c>
      <c r="K336" s="3" t="inlineStr">
        <is>
          <t>Garis Lurus</t>
        </is>
      </c>
      <c r="L336" s="5">
        <f>IFERROR(M336/12,"")</f>
        <v/>
      </c>
      <c r="M336" s="5">
        <f>IFERROR((H336-J336)/I336,"")</f>
        <v/>
      </c>
      <c r="N336" s="5">
        <f>IFERROR(M336,"")</f>
        <v/>
      </c>
      <c r="O336" s="5">
        <f>IFERROR(H336-N336,"")</f>
        <v/>
      </c>
      <c r="P336" s="3" t="inlineStr">
        <is>
          <t>Belum dihitung</t>
        </is>
      </c>
      <c r="Q336" s="3" t="n"/>
    </row>
    <row r="337">
      <c r="A337" s="3" t="n">
        <v>336</v>
      </c>
      <c r="B337" s="3" t="inlineStr">
        <is>
          <t>Desember 2025</t>
        </is>
      </c>
      <c r="C337" s="3">
        <f>'Data Aset'!B339</f>
        <v/>
      </c>
      <c r="D337" s="3">
        <f>'Data Aset'!F339</f>
        <v/>
      </c>
      <c r="E337" s="3" t="inlineStr">
        <is>
          <t>Inventaris Ruangan</t>
        </is>
      </c>
      <c r="F337" s="3">
        <f>'Data Aset'!C339</f>
        <v/>
      </c>
      <c r="G337" s="3">
        <f>'Data Aset'!J339</f>
        <v/>
      </c>
      <c r="H337" s="5">
        <f>'Data Aset'!M339</f>
        <v/>
      </c>
      <c r="I337" s="3">
        <f>'Data Aset'!O339</f>
        <v/>
      </c>
      <c r="J337" s="5" t="n">
        <v>0</v>
      </c>
      <c r="K337" s="3" t="inlineStr">
        <is>
          <t>Garis Lurus</t>
        </is>
      </c>
      <c r="L337" s="5">
        <f>IFERROR(M337/12,"")</f>
        <v/>
      </c>
      <c r="M337" s="5">
        <f>IFERROR((H337-J337)/I337,"")</f>
        <v/>
      </c>
      <c r="N337" s="5">
        <f>IFERROR(M337,"")</f>
        <v/>
      </c>
      <c r="O337" s="5">
        <f>IFERROR(H337-N337,"")</f>
        <v/>
      </c>
      <c r="P337" s="3" t="inlineStr">
        <is>
          <t>Belum dihitung</t>
        </is>
      </c>
      <c r="Q337" s="3" t="n"/>
    </row>
    <row r="338">
      <c r="A338" s="3" t="n">
        <v>337</v>
      </c>
      <c r="B338" s="3" t="inlineStr">
        <is>
          <t>Desember 2025</t>
        </is>
      </c>
      <c r="C338" s="3">
        <f>'Data Aset'!B340</f>
        <v/>
      </c>
      <c r="D338" s="3">
        <f>'Data Aset'!F340</f>
        <v/>
      </c>
      <c r="E338" s="3" t="inlineStr">
        <is>
          <t>Inventaris Ruangan</t>
        </is>
      </c>
      <c r="F338" s="3">
        <f>'Data Aset'!C340</f>
        <v/>
      </c>
      <c r="G338" s="3">
        <f>'Data Aset'!J340</f>
        <v/>
      </c>
      <c r="H338" s="5">
        <f>'Data Aset'!M340</f>
        <v/>
      </c>
      <c r="I338" s="3">
        <f>'Data Aset'!O340</f>
        <v/>
      </c>
      <c r="J338" s="5" t="n">
        <v>0</v>
      </c>
      <c r="K338" s="3" t="inlineStr">
        <is>
          <t>Garis Lurus</t>
        </is>
      </c>
      <c r="L338" s="5">
        <f>IFERROR(M338/12,"")</f>
        <v/>
      </c>
      <c r="M338" s="5">
        <f>IFERROR((H338-J338)/I338,"")</f>
        <v/>
      </c>
      <c r="N338" s="5">
        <f>IFERROR(M338,"")</f>
        <v/>
      </c>
      <c r="O338" s="5">
        <f>IFERROR(H338-N338,"")</f>
        <v/>
      </c>
      <c r="P338" s="3" t="inlineStr">
        <is>
          <t>Belum dihitung</t>
        </is>
      </c>
      <c r="Q338" s="3" t="n"/>
    </row>
    <row r="339">
      <c r="A339" s="3" t="n">
        <v>338</v>
      </c>
      <c r="B339" s="3" t="inlineStr">
        <is>
          <t>Desember 2025</t>
        </is>
      </c>
      <c r="C339" s="3">
        <f>'Data Aset'!B341</f>
        <v/>
      </c>
      <c r="D339" s="3">
        <f>'Data Aset'!F341</f>
        <v/>
      </c>
      <c r="E339" s="3" t="inlineStr">
        <is>
          <t>Inventaris Ruangan</t>
        </is>
      </c>
      <c r="F339" s="3">
        <f>'Data Aset'!C341</f>
        <v/>
      </c>
      <c r="G339" s="3">
        <f>'Data Aset'!J341</f>
        <v/>
      </c>
      <c r="H339" s="5">
        <f>'Data Aset'!M341</f>
        <v/>
      </c>
      <c r="I339" s="3">
        <f>'Data Aset'!O341</f>
        <v/>
      </c>
      <c r="J339" s="5" t="n">
        <v>0</v>
      </c>
      <c r="K339" s="3" t="inlineStr">
        <is>
          <t>Garis Lurus</t>
        </is>
      </c>
      <c r="L339" s="5">
        <f>IFERROR(M339/12,"")</f>
        <v/>
      </c>
      <c r="M339" s="5">
        <f>IFERROR((H339-J339)/I339,"")</f>
        <v/>
      </c>
      <c r="N339" s="5">
        <f>IFERROR(M339,"")</f>
        <v/>
      </c>
      <c r="O339" s="5">
        <f>IFERROR(H339-N339,"")</f>
        <v/>
      </c>
      <c r="P339" s="3" t="inlineStr">
        <is>
          <t>Belum dihitung</t>
        </is>
      </c>
      <c r="Q339" s="3" t="n"/>
    </row>
    <row r="340">
      <c r="A340" s="3" t="n">
        <v>339</v>
      </c>
      <c r="B340" s="3" t="inlineStr">
        <is>
          <t>Desember 2025</t>
        </is>
      </c>
      <c r="C340" s="3">
        <f>'Data Aset'!B342</f>
        <v/>
      </c>
      <c r="D340" s="3">
        <f>'Data Aset'!F342</f>
        <v/>
      </c>
      <c r="E340" s="3" t="inlineStr">
        <is>
          <t>Inventaris Ruangan</t>
        </is>
      </c>
      <c r="F340" s="3">
        <f>'Data Aset'!C342</f>
        <v/>
      </c>
      <c r="G340" s="3">
        <f>'Data Aset'!J342</f>
        <v/>
      </c>
      <c r="H340" s="5">
        <f>'Data Aset'!M342</f>
        <v/>
      </c>
      <c r="I340" s="3">
        <f>'Data Aset'!O342</f>
        <v/>
      </c>
      <c r="J340" s="5" t="n">
        <v>0</v>
      </c>
      <c r="K340" s="3" t="inlineStr">
        <is>
          <t>Garis Lurus</t>
        </is>
      </c>
      <c r="L340" s="5">
        <f>IFERROR(M340/12,"")</f>
        <v/>
      </c>
      <c r="M340" s="5">
        <f>IFERROR((H340-J340)/I340,"")</f>
        <v/>
      </c>
      <c r="N340" s="5">
        <f>IFERROR(M340,"")</f>
        <v/>
      </c>
      <c r="O340" s="5">
        <f>IFERROR(H340-N340,"")</f>
        <v/>
      </c>
      <c r="P340" s="3" t="inlineStr">
        <is>
          <t>Belum dihitung</t>
        </is>
      </c>
      <c r="Q340" s="3" t="n"/>
    </row>
    <row r="341">
      <c r="A341" s="3" t="n">
        <v>340</v>
      </c>
      <c r="B341" s="3" t="inlineStr">
        <is>
          <t>Desember 2025</t>
        </is>
      </c>
      <c r="C341" s="3">
        <f>'Data Aset'!B343</f>
        <v/>
      </c>
      <c r="D341" s="3">
        <f>'Data Aset'!F343</f>
        <v/>
      </c>
      <c r="E341" s="3" t="inlineStr">
        <is>
          <t>Inventaris Ruangan</t>
        </is>
      </c>
      <c r="F341" s="3">
        <f>'Data Aset'!C343</f>
        <v/>
      </c>
      <c r="G341" s="3">
        <f>'Data Aset'!J343</f>
        <v/>
      </c>
      <c r="H341" s="5">
        <f>'Data Aset'!M343</f>
        <v/>
      </c>
      <c r="I341" s="3">
        <f>'Data Aset'!O343</f>
        <v/>
      </c>
      <c r="J341" s="5" t="n">
        <v>0</v>
      </c>
      <c r="K341" s="3" t="inlineStr">
        <is>
          <t>Garis Lurus</t>
        </is>
      </c>
      <c r="L341" s="5">
        <f>IFERROR(M341/12,"")</f>
        <v/>
      </c>
      <c r="M341" s="5">
        <f>IFERROR((H341-J341)/I341,"")</f>
        <v/>
      </c>
      <c r="N341" s="5">
        <f>IFERROR(M341,"")</f>
        <v/>
      </c>
      <c r="O341" s="5">
        <f>IFERROR(H341-N341,"")</f>
        <v/>
      </c>
      <c r="P341" s="3" t="inlineStr">
        <is>
          <t>Belum dihitung</t>
        </is>
      </c>
      <c r="Q341" s="3" t="n"/>
    </row>
    <row r="342">
      <c r="A342" s="3" t="n">
        <v>341</v>
      </c>
      <c r="B342" s="3" t="inlineStr">
        <is>
          <t>Desember 2025</t>
        </is>
      </c>
      <c r="C342" s="3">
        <f>'Data Aset'!B344</f>
        <v/>
      </c>
      <c r="D342" s="3">
        <f>'Data Aset'!F344</f>
        <v/>
      </c>
      <c r="E342" s="3" t="inlineStr">
        <is>
          <t>Inventaris Ruangan</t>
        </is>
      </c>
      <c r="F342" s="3">
        <f>'Data Aset'!C344</f>
        <v/>
      </c>
      <c r="G342" s="3">
        <f>'Data Aset'!J344</f>
        <v/>
      </c>
      <c r="H342" s="5">
        <f>'Data Aset'!M344</f>
        <v/>
      </c>
      <c r="I342" s="3">
        <f>'Data Aset'!O344</f>
        <v/>
      </c>
      <c r="J342" s="5" t="n">
        <v>0</v>
      </c>
      <c r="K342" s="3" t="inlineStr">
        <is>
          <t>Garis Lurus</t>
        </is>
      </c>
      <c r="L342" s="5">
        <f>IFERROR(M342/12,"")</f>
        <v/>
      </c>
      <c r="M342" s="5">
        <f>IFERROR((H342-J342)/I342,"")</f>
        <v/>
      </c>
      <c r="N342" s="5">
        <f>IFERROR(M342,"")</f>
        <v/>
      </c>
      <c r="O342" s="5">
        <f>IFERROR(H342-N342,"")</f>
        <v/>
      </c>
      <c r="P342" s="3" t="inlineStr">
        <is>
          <t>Belum dihitung</t>
        </is>
      </c>
      <c r="Q342" s="3" t="n"/>
    </row>
    <row r="343">
      <c r="A343" s="3" t="n">
        <v>342</v>
      </c>
      <c r="B343" s="3" t="inlineStr">
        <is>
          <t>Desember 2025</t>
        </is>
      </c>
      <c r="C343" s="3">
        <f>'Data Aset'!B345</f>
        <v/>
      </c>
      <c r="D343" s="3">
        <f>'Data Aset'!F345</f>
        <v/>
      </c>
      <c r="E343" s="3" t="inlineStr">
        <is>
          <t>Inventaris Ruangan</t>
        </is>
      </c>
      <c r="F343" s="3">
        <f>'Data Aset'!C345</f>
        <v/>
      </c>
      <c r="G343" s="3">
        <f>'Data Aset'!J345</f>
        <v/>
      </c>
      <c r="H343" s="5">
        <f>'Data Aset'!M345</f>
        <v/>
      </c>
      <c r="I343" s="3">
        <f>'Data Aset'!O345</f>
        <v/>
      </c>
      <c r="J343" s="5" t="n">
        <v>0</v>
      </c>
      <c r="K343" s="3" t="inlineStr">
        <is>
          <t>Garis Lurus</t>
        </is>
      </c>
      <c r="L343" s="5">
        <f>IFERROR(M343/12,"")</f>
        <v/>
      </c>
      <c r="M343" s="5">
        <f>IFERROR((H343-J343)/I343,"")</f>
        <v/>
      </c>
      <c r="N343" s="5">
        <f>IFERROR(M343,"")</f>
        <v/>
      </c>
      <c r="O343" s="5">
        <f>IFERROR(H343-N343,"")</f>
        <v/>
      </c>
      <c r="P343" s="3" t="inlineStr">
        <is>
          <t>Belum dihitung</t>
        </is>
      </c>
      <c r="Q343" s="3" t="n"/>
    </row>
    <row r="344">
      <c r="A344" s="3" t="n">
        <v>343</v>
      </c>
      <c r="B344" s="3" t="inlineStr">
        <is>
          <t>Desember 2025</t>
        </is>
      </c>
      <c r="C344" s="3">
        <f>'Data Aset'!B346</f>
        <v/>
      </c>
      <c r="D344" s="3">
        <f>'Data Aset'!F346</f>
        <v/>
      </c>
      <c r="E344" s="3" t="inlineStr">
        <is>
          <t>Inventaris Ruangan</t>
        </is>
      </c>
      <c r="F344" s="3">
        <f>'Data Aset'!C346</f>
        <v/>
      </c>
      <c r="G344" s="3">
        <f>'Data Aset'!J346</f>
        <v/>
      </c>
      <c r="H344" s="5">
        <f>'Data Aset'!M346</f>
        <v/>
      </c>
      <c r="I344" s="3">
        <f>'Data Aset'!O346</f>
        <v/>
      </c>
      <c r="J344" s="5" t="n">
        <v>0</v>
      </c>
      <c r="K344" s="3" t="inlineStr">
        <is>
          <t>Garis Lurus</t>
        </is>
      </c>
      <c r="L344" s="5">
        <f>IFERROR(M344/12,"")</f>
        <v/>
      </c>
      <c r="M344" s="5">
        <f>IFERROR((H344-J344)/I344,"")</f>
        <v/>
      </c>
      <c r="N344" s="5">
        <f>IFERROR(M344,"")</f>
        <v/>
      </c>
      <c r="O344" s="5">
        <f>IFERROR(H344-N344,"")</f>
        <v/>
      </c>
      <c r="P344" s="3" t="inlineStr">
        <is>
          <t>Belum dihitung</t>
        </is>
      </c>
      <c r="Q344" s="3" t="n"/>
    </row>
    <row r="345">
      <c r="A345" s="3" t="n">
        <v>344</v>
      </c>
      <c r="B345" s="3" t="inlineStr">
        <is>
          <t>Desember 2025</t>
        </is>
      </c>
      <c r="C345" s="3">
        <f>'Data Aset'!B347</f>
        <v/>
      </c>
      <c r="D345" s="3">
        <f>'Data Aset'!F347</f>
        <v/>
      </c>
      <c r="E345" s="3" t="inlineStr">
        <is>
          <t>Inventaris Ruangan</t>
        </is>
      </c>
      <c r="F345" s="3">
        <f>'Data Aset'!C347</f>
        <v/>
      </c>
      <c r="G345" s="3">
        <f>'Data Aset'!J347</f>
        <v/>
      </c>
      <c r="H345" s="5">
        <f>'Data Aset'!M347</f>
        <v/>
      </c>
      <c r="I345" s="3">
        <f>'Data Aset'!O347</f>
        <v/>
      </c>
      <c r="J345" s="5" t="n">
        <v>0</v>
      </c>
      <c r="K345" s="3" t="inlineStr">
        <is>
          <t>Garis Lurus</t>
        </is>
      </c>
      <c r="L345" s="5">
        <f>IFERROR(M345/12,"")</f>
        <v/>
      </c>
      <c r="M345" s="5">
        <f>IFERROR((H345-J345)/I345,"")</f>
        <v/>
      </c>
      <c r="N345" s="5">
        <f>IFERROR(M345,"")</f>
        <v/>
      </c>
      <c r="O345" s="5">
        <f>IFERROR(H345-N345,"")</f>
        <v/>
      </c>
      <c r="P345" s="3" t="inlineStr">
        <is>
          <t>Belum dihitung</t>
        </is>
      </c>
      <c r="Q345" s="3" t="n"/>
    </row>
    <row r="346">
      <c r="A346" s="3" t="n">
        <v>345</v>
      </c>
      <c r="B346" s="3" t="inlineStr">
        <is>
          <t>Desember 2025</t>
        </is>
      </c>
      <c r="C346" s="3">
        <f>'Data Aset'!B348</f>
        <v/>
      </c>
      <c r="D346" s="3">
        <f>'Data Aset'!F348</f>
        <v/>
      </c>
      <c r="E346" s="3" t="inlineStr">
        <is>
          <t>Inventaris Ruangan</t>
        </is>
      </c>
      <c r="F346" s="3">
        <f>'Data Aset'!C348</f>
        <v/>
      </c>
      <c r="G346" s="3">
        <f>'Data Aset'!J348</f>
        <v/>
      </c>
      <c r="H346" s="5">
        <f>'Data Aset'!M348</f>
        <v/>
      </c>
      <c r="I346" s="3">
        <f>'Data Aset'!O348</f>
        <v/>
      </c>
      <c r="J346" s="5" t="n">
        <v>0</v>
      </c>
      <c r="K346" s="3" t="inlineStr">
        <is>
          <t>Garis Lurus</t>
        </is>
      </c>
      <c r="L346" s="5">
        <f>IFERROR(M346/12,"")</f>
        <v/>
      </c>
      <c r="M346" s="5">
        <f>IFERROR((H346-J346)/I346,"")</f>
        <v/>
      </c>
      <c r="N346" s="5">
        <f>IFERROR(M346,"")</f>
        <v/>
      </c>
      <c r="O346" s="5">
        <f>IFERROR(H346-N346,"")</f>
        <v/>
      </c>
      <c r="P346" s="3" t="inlineStr">
        <is>
          <t>Belum dihitung</t>
        </is>
      </c>
      <c r="Q346" s="3" t="n"/>
    </row>
    <row r="347">
      <c r="A347" s="3" t="n">
        <v>346</v>
      </c>
      <c r="B347" s="3" t="inlineStr">
        <is>
          <t>Desember 2025</t>
        </is>
      </c>
      <c r="C347" s="3">
        <f>'Data Aset'!B349</f>
        <v/>
      </c>
      <c r="D347" s="3">
        <f>'Data Aset'!F349</f>
        <v/>
      </c>
      <c r="E347" s="3" t="inlineStr">
        <is>
          <t>Inventaris Ruangan</t>
        </is>
      </c>
      <c r="F347" s="3">
        <f>'Data Aset'!C349</f>
        <v/>
      </c>
      <c r="G347" s="3">
        <f>'Data Aset'!J349</f>
        <v/>
      </c>
      <c r="H347" s="5">
        <f>'Data Aset'!M349</f>
        <v/>
      </c>
      <c r="I347" s="3">
        <f>'Data Aset'!O349</f>
        <v/>
      </c>
      <c r="J347" s="5" t="n">
        <v>0</v>
      </c>
      <c r="K347" s="3" t="inlineStr">
        <is>
          <t>Garis Lurus</t>
        </is>
      </c>
      <c r="L347" s="5">
        <f>IFERROR(M347/12,"")</f>
        <v/>
      </c>
      <c r="M347" s="5">
        <f>IFERROR((H347-J347)/I347,"")</f>
        <v/>
      </c>
      <c r="N347" s="5">
        <f>IFERROR(M347,"")</f>
        <v/>
      </c>
      <c r="O347" s="5">
        <f>IFERROR(H347-N347,"")</f>
        <v/>
      </c>
      <c r="P347" s="3" t="inlineStr">
        <is>
          <t>Belum dihitung</t>
        </is>
      </c>
      <c r="Q347" s="3" t="n"/>
    </row>
    <row r="348">
      <c r="A348" s="3" t="n">
        <v>347</v>
      </c>
      <c r="B348" s="3" t="inlineStr">
        <is>
          <t>Desember 2025</t>
        </is>
      </c>
      <c r="C348" s="3">
        <f>'Data Aset'!B350</f>
        <v/>
      </c>
      <c r="D348" s="3">
        <f>'Data Aset'!F350</f>
        <v/>
      </c>
      <c r="E348" s="3" t="inlineStr">
        <is>
          <t>Inventaris Ruangan</t>
        </is>
      </c>
      <c r="F348" s="3">
        <f>'Data Aset'!C350</f>
        <v/>
      </c>
      <c r="G348" s="3">
        <f>'Data Aset'!J350</f>
        <v/>
      </c>
      <c r="H348" s="5">
        <f>'Data Aset'!M350</f>
        <v/>
      </c>
      <c r="I348" s="3">
        <f>'Data Aset'!O350</f>
        <v/>
      </c>
      <c r="J348" s="5" t="n">
        <v>0</v>
      </c>
      <c r="K348" s="3" t="inlineStr">
        <is>
          <t>Garis Lurus</t>
        </is>
      </c>
      <c r="L348" s="5">
        <f>IFERROR(M348/12,"")</f>
        <v/>
      </c>
      <c r="M348" s="5">
        <f>IFERROR((H348-J348)/I348,"")</f>
        <v/>
      </c>
      <c r="N348" s="5">
        <f>IFERROR(M348,"")</f>
        <v/>
      </c>
      <c r="O348" s="5">
        <f>IFERROR(H348-N348,"")</f>
        <v/>
      </c>
      <c r="P348" s="3" t="inlineStr">
        <is>
          <t>Belum dihitung</t>
        </is>
      </c>
      <c r="Q348" s="3" t="n"/>
    </row>
    <row r="349">
      <c r="A349" s="3" t="n">
        <v>348</v>
      </c>
      <c r="B349" s="3" t="inlineStr">
        <is>
          <t>Desember 2025</t>
        </is>
      </c>
      <c r="C349" s="3">
        <f>'Data Aset'!B351</f>
        <v/>
      </c>
      <c r="D349" s="3">
        <f>'Data Aset'!F351</f>
        <v/>
      </c>
      <c r="E349" s="3" t="inlineStr">
        <is>
          <t>Inventaris Ruangan</t>
        </is>
      </c>
      <c r="F349" s="3">
        <f>'Data Aset'!C351</f>
        <v/>
      </c>
      <c r="G349" s="3">
        <f>'Data Aset'!J351</f>
        <v/>
      </c>
      <c r="H349" s="5">
        <f>'Data Aset'!M351</f>
        <v/>
      </c>
      <c r="I349" s="3">
        <f>'Data Aset'!O351</f>
        <v/>
      </c>
      <c r="J349" s="5" t="n">
        <v>0</v>
      </c>
      <c r="K349" s="3" t="inlineStr">
        <is>
          <t>Garis Lurus</t>
        </is>
      </c>
      <c r="L349" s="5">
        <f>IFERROR(M349/12,"")</f>
        <v/>
      </c>
      <c r="M349" s="5">
        <f>IFERROR((H349-J349)/I349,"")</f>
        <v/>
      </c>
      <c r="N349" s="5">
        <f>IFERROR(M349,"")</f>
        <v/>
      </c>
      <c r="O349" s="5">
        <f>IFERROR(H349-N349,"")</f>
        <v/>
      </c>
      <c r="P349" s="3" t="inlineStr">
        <is>
          <t>Belum dihitung</t>
        </is>
      </c>
      <c r="Q349" s="3" t="n"/>
    </row>
    <row r="350">
      <c r="A350" s="3" t="n">
        <v>349</v>
      </c>
      <c r="B350" s="3" t="inlineStr">
        <is>
          <t>Desember 2025</t>
        </is>
      </c>
      <c r="C350" s="3">
        <f>'Data Aset'!B352</f>
        <v/>
      </c>
      <c r="D350" s="3">
        <f>'Data Aset'!F352</f>
        <v/>
      </c>
      <c r="E350" s="3" t="inlineStr">
        <is>
          <t>Inventaris Ruangan</t>
        </is>
      </c>
      <c r="F350" s="3">
        <f>'Data Aset'!C352</f>
        <v/>
      </c>
      <c r="G350" s="3">
        <f>'Data Aset'!J352</f>
        <v/>
      </c>
      <c r="H350" s="5">
        <f>'Data Aset'!M352</f>
        <v/>
      </c>
      <c r="I350" s="3">
        <f>'Data Aset'!O352</f>
        <v/>
      </c>
      <c r="J350" s="5" t="n">
        <v>0</v>
      </c>
      <c r="K350" s="3" t="inlineStr">
        <is>
          <t>Garis Lurus</t>
        </is>
      </c>
      <c r="L350" s="5">
        <f>IFERROR(M350/12,"")</f>
        <v/>
      </c>
      <c r="M350" s="5">
        <f>IFERROR((H350-J350)/I350,"")</f>
        <v/>
      </c>
      <c r="N350" s="5">
        <f>IFERROR(M350,"")</f>
        <v/>
      </c>
      <c r="O350" s="5">
        <f>IFERROR(H350-N350,"")</f>
        <v/>
      </c>
      <c r="P350" s="3" t="inlineStr">
        <is>
          <t>Belum dihitung</t>
        </is>
      </c>
      <c r="Q350" s="3" t="n"/>
    </row>
    <row r="351">
      <c r="A351" s="3" t="n">
        <v>350</v>
      </c>
      <c r="B351" s="3" t="inlineStr">
        <is>
          <t>Desember 2025</t>
        </is>
      </c>
      <c r="C351" s="3">
        <f>'Data Aset'!B353</f>
        <v/>
      </c>
      <c r="D351" s="3">
        <f>'Data Aset'!F353</f>
        <v/>
      </c>
      <c r="E351" s="3" t="inlineStr">
        <is>
          <t>Inventaris Ruangan</t>
        </is>
      </c>
      <c r="F351" s="3">
        <f>'Data Aset'!C353</f>
        <v/>
      </c>
      <c r="G351" s="3">
        <f>'Data Aset'!J353</f>
        <v/>
      </c>
      <c r="H351" s="5">
        <f>'Data Aset'!M353</f>
        <v/>
      </c>
      <c r="I351" s="3">
        <f>'Data Aset'!O353</f>
        <v/>
      </c>
      <c r="J351" s="5" t="n">
        <v>0</v>
      </c>
      <c r="K351" s="3" t="inlineStr">
        <is>
          <t>Garis Lurus</t>
        </is>
      </c>
      <c r="L351" s="5">
        <f>IFERROR(M351/12,"")</f>
        <v/>
      </c>
      <c r="M351" s="5">
        <f>IFERROR((H351-J351)/I351,"")</f>
        <v/>
      </c>
      <c r="N351" s="5">
        <f>IFERROR(M351,"")</f>
        <v/>
      </c>
      <c r="O351" s="5">
        <f>IFERROR(H351-N351,"")</f>
        <v/>
      </c>
      <c r="P351" s="3" t="inlineStr">
        <is>
          <t>Belum dihitung</t>
        </is>
      </c>
      <c r="Q351" s="3" t="n"/>
    </row>
    <row r="352">
      <c r="A352" s="3" t="n">
        <v>351</v>
      </c>
      <c r="B352" s="3" t="inlineStr">
        <is>
          <t>Desember 2025</t>
        </is>
      </c>
      <c r="C352" s="3">
        <f>'Data Aset'!B354</f>
        <v/>
      </c>
      <c r="D352" s="3">
        <f>'Data Aset'!F354</f>
        <v/>
      </c>
      <c r="E352" s="3" t="inlineStr">
        <is>
          <t>Inventaris Ruangan</t>
        </is>
      </c>
      <c r="F352" s="3">
        <f>'Data Aset'!C354</f>
        <v/>
      </c>
      <c r="G352" s="3">
        <f>'Data Aset'!J354</f>
        <v/>
      </c>
      <c r="H352" s="5">
        <f>'Data Aset'!M354</f>
        <v/>
      </c>
      <c r="I352" s="3">
        <f>'Data Aset'!O354</f>
        <v/>
      </c>
      <c r="J352" s="5" t="n">
        <v>0</v>
      </c>
      <c r="K352" s="3" t="inlineStr">
        <is>
          <t>Garis Lurus</t>
        </is>
      </c>
      <c r="L352" s="5">
        <f>IFERROR(M352/12,"")</f>
        <v/>
      </c>
      <c r="M352" s="5">
        <f>IFERROR((H352-J352)/I352,"")</f>
        <v/>
      </c>
      <c r="N352" s="5">
        <f>IFERROR(M352,"")</f>
        <v/>
      </c>
      <c r="O352" s="5">
        <f>IFERROR(H352-N352,"")</f>
        <v/>
      </c>
      <c r="P352" s="3" t="inlineStr">
        <is>
          <t>Belum dihitung</t>
        </is>
      </c>
      <c r="Q352" s="3" t="n"/>
    </row>
    <row r="353">
      <c r="A353" s="3" t="n">
        <v>352</v>
      </c>
      <c r="B353" s="3" t="inlineStr">
        <is>
          <t>Desember 2025</t>
        </is>
      </c>
      <c r="C353" s="3">
        <f>'Data Aset'!B355</f>
        <v/>
      </c>
      <c r="D353" s="3">
        <f>'Data Aset'!F355</f>
        <v/>
      </c>
      <c r="E353" s="3" t="inlineStr">
        <is>
          <t>Inventaris Ruangan</t>
        </is>
      </c>
      <c r="F353" s="3">
        <f>'Data Aset'!C355</f>
        <v/>
      </c>
      <c r="G353" s="3">
        <f>'Data Aset'!J355</f>
        <v/>
      </c>
      <c r="H353" s="5">
        <f>'Data Aset'!M355</f>
        <v/>
      </c>
      <c r="I353" s="3">
        <f>'Data Aset'!O355</f>
        <v/>
      </c>
      <c r="J353" s="5" t="n">
        <v>0</v>
      </c>
      <c r="K353" s="3" t="inlineStr">
        <is>
          <t>Garis Lurus</t>
        </is>
      </c>
      <c r="L353" s="5">
        <f>IFERROR(M353/12,"")</f>
        <v/>
      </c>
      <c r="M353" s="5">
        <f>IFERROR((H353-J353)/I353,"")</f>
        <v/>
      </c>
      <c r="N353" s="5">
        <f>IFERROR(M353,"")</f>
        <v/>
      </c>
      <c r="O353" s="5">
        <f>IFERROR(H353-N353,"")</f>
        <v/>
      </c>
      <c r="P353" s="3" t="inlineStr">
        <is>
          <t>Belum dihitung</t>
        </is>
      </c>
      <c r="Q353" s="3" t="n"/>
    </row>
    <row r="354">
      <c r="A354" s="3" t="n">
        <v>353</v>
      </c>
      <c r="B354" s="3" t="inlineStr">
        <is>
          <t>Desember 2025</t>
        </is>
      </c>
      <c r="C354" s="3">
        <f>'Data Aset'!B356</f>
        <v/>
      </c>
      <c r="D354" s="3">
        <f>'Data Aset'!F356</f>
        <v/>
      </c>
      <c r="E354" s="3" t="inlineStr">
        <is>
          <t>Inventaris Ruangan</t>
        </is>
      </c>
      <c r="F354" s="3">
        <f>'Data Aset'!C356</f>
        <v/>
      </c>
      <c r="G354" s="3">
        <f>'Data Aset'!J356</f>
        <v/>
      </c>
      <c r="H354" s="5">
        <f>'Data Aset'!M356</f>
        <v/>
      </c>
      <c r="I354" s="3">
        <f>'Data Aset'!O356</f>
        <v/>
      </c>
      <c r="J354" s="5" t="n">
        <v>0</v>
      </c>
      <c r="K354" s="3" t="inlineStr">
        <is>
          <t>Garis Lurus</t>
        </is>
      </c>
      <c r="L354" s="5">
        <f>IFERROR(M354/12,"")</f>
        <v/>
      </c>
      <c r="M354" s="5">
        <f>IFERROR((H354-J354)/I354,"")</f>
        <v/>
      </c>
      <c r="N354" s="5">
        <f>IFERROR(M354,"")</f>
        <v/>
      </c>
      <c r="O354" s="5">
        <f>IFERROR(H354-N354,"")</f>
        <v/>
      </c>
      <c r="P354" s="3" t="inlineStr">
        <is>
          <t>Belum dihitung</t>
        </is>
      </c>
      <c r="Q354" s="3" t="n"/>
    </row>
    <row r="355">
      <c r="A355" s="3" t="n">
        <v>354</v>
      </c>
      <c r="B355" s="3" t="inlineStr">
        <is>
          <t>Desember 2025</t>
        </is>
      </c>
      <c r="C355" s="3">
        <f>'Data Aset'!B357</f>
        <v/>
      </c>
      <c r="D355" s="3">
        <f>'Data Aset'!F357</f>
        <v/>
      </c>
      <c r="E355" s="3" t="inlineStr">
        <is>
          <t>Inventaris Ruangan</t>
        </is>
      </c>
      <c r="F355" s="3">
        <f>'Data Aset'!C357</f>
        <v/>
      </c>
      <c r="G355" s="3">
        <f>'Data Aset'!J357</f>
        <v/>
      </c>
      <c r="H355" s="5">
        <f>'Data Aset'!M357</f>
        <v/>
      </c>
      <c r="I355" s="3">
        <f>'Data Aset'!O357</f>
        <v/>
      </c>
      <c r="J355" s="5" t="n">
        <v>0</v>
      </c>
      <c r="K355" s="3" t="inlineStr">
        <is>
          <t>Garis Lurus</t>
        </is>
      </c>
      <c r="L355" s="5">
        <f>IFERROR(M355/12,"")</f>
        <v/>
      </c>
      <c r="M355" s="5">
        <f>IFERROR((H355-J355)/I355,"")</f>
        <v/>
      </c>
      <c r="N355" s="5">
        <f>IFERROR(M355,"")</f>
        <v/>
      </c>
      <c r="O355" s="5">
        <f>IFERROR(H355-N355,"")</f>
        <v/>
      </c>
      <c r="P355" s="3" t="inlineStr">
        <is>
          <t>Belum dihitung</t>
        </is>
      </c>
      <c r="Q355" s="3" t="n"/>
    </row>
    <row r="356">
      <c r="A356" s="3" t="n">
        <v>355</v>
      </c>
      <c r="B356" s="3" t="inlineStr">
        <is>
          <t>Desember 2025</t>
        </is>
      </c>
      <c r="C356" s="3">
        <f>'Data Aset'!B358</f>
        <v/>
      </c>
      <c r="D356" s="3">
        <f>'Data Aset'!F358</f>
        <v/>
      </c>
      <c r="E356" s="3" t="inlineStr">
        <is>
          <t>Inventaris Ruangan</t>
        </is>
      </c>
      <c r="F356" s="3">
        <f>'Data Aset'!C358</f>
        <v/>
      </c>
      <c r="G356" s="3">
        <f>'Data Aset'!J358</f>
        <v/>
      </c>
      <c r="H356" s="5">
        <f>'Data Aset'!M358</f>
        <v/>
      </c>
      <c r="I356" s="3">
        <f>'Data Aset'!O358</f>
        <v/>
      </c>
      <c r="J356" s="5" t="n">
        <v>0</v>
      </c>
      <c r="K356" s="3" t="inlineStr">
        <is>
          <t>Garis Lurus</t>
        </is>
      </c>
      <c r="L356" s="5">
        <f>IFERROR(M356/12,"")</f>
        <v/>
      </c>
      <c r="M356" s="5">
        <f>IFERROR((H356-J356)/I356,"")</f>
        <v/>
      </c>
      <c r="N356" s="5">
        <f>IFERROR(M356,"")</f>
        <v/>
      </c>
      <c r="O356" s="5">
        <f>IFERROR(H356-N356,"")</f>
        <v/>
      </c>
      <c r="P356" s="3" t="inlineStr">
        <is>
          <t>Belum dihitung</t>
        </is>
      </c>
      <c r="Q356" s="3" t="n"/>
    </row>
    <row r="357">
      <c r="A357" s="3" t="n">
        <v>356</v>
      </c>
      <c r="B357" s="3" t="inlineStr">
        <is>
          <t>Desember 2025</t>
        </is>
      </c>
      <c r="C357" s="3">
        <f>'Data Aset'!B359</f>
        <v/>
      </c>
      <c r="D357" s="3">
        <f>'Data Aset'!F359</f>
        <v/>
      </c>
      <c r="E357" s="3" t="inlineStr">
        <is>
          <t>Inventaris Ruangan</t>
        </is>
      </c>
      <c r="F357" s="3">
        <f>'Data Aset'!C359</f>
        <v/>
      </c>
      <c r="G357" s="3">
        <f>'Data Aset'!J359</f>
        <v/>
      </c>
      <c r="H357" s="5">
        <f>'Data Aset'!M359</f>
        <v/>
      </c>
      <c r="I357" s="3">
        <f>'Data Aset'!O359</f>
        <v/>
      </c>
      <c r="J357" s="5" t="n">
        <v>0</v>
      </c>
      <c r="K357" s="3" t="inlineStr">
        <is>
          <t>Garis Lurus</t>
        </is>
      </c>
      <c r="L357" s="5">
        <f>IFERROR(M357/12,"")</f>
        <v/>
      </c>
      <c r="M357" s="5">
        <f>IFERROR((H357-J357)/I357,"")</f>
        <v/>
      </c>
      <c r="N357" s="5">
        <f>IFERROR(M357,"")</f>
        <v/>
      </c>
      <c r="O357" s="5">
        <f>IFERROR(H357-N357,"")</f>
        <v/>
      </c>
      <c r="P357" s="3" t="inlineStr">
        <is>
          <t>Belum dihitung</t>
        </is>
      </c>
      <c r="Q357" s="3" t="n"/>
    </row>
    <row r="358">
      <c r="A358" s="3" t="n">
        <v>357</v>
      </c>
      <c r="B358" s="3" t="inlineStr">
        <is>
          <t>Desember 2025</t>
        </is>
      </c>
      <c r="C358" s="3">
        <f>'Data Aset'!B360</f>
        <v/>
      </c>
      <c r="D358" s="3">
        <f>'Data Aset'!F360</f>
        <v/>
      </c>
      <c r="E358" s="3" t="inlineStr">
        <is>
          <t>Inventaris Ruangan</t>
        </is>
      </c>
      <c r="F358" s="3">
        <f>'Data Aset'!C360</f>
        <v/>
      </c>
      <c r="G358" s="3">
        <f>'Data Aset'!J360</f>
        <v/>
      </c>
      <c r="H358" s="5">
        <f>'Data Aset'!M360</f>
        <v/>
      </c>
      <c r="I358" s="3">
        <f>'Data Aset'!O360</f>
        <v/>
      </c>
      <c r="J358" s="5" t="n">
        <v>0</v>
      </c>
      <c r="K358" s="3" t="inlineStr">
        <is>
          <t>Garis Lurus</t>
        </is>
      </c>
      <c r="L358" s="5">
        <f>IFERROR(M358/12,"")</f>
        <v/>
      </c>
      <c r="M358" s="5">
        <f>IFERROR((H358-J358)/I358,"")</f>
        <v/>
      </c>
      <c r="N358" s="5">
        <f>IFERROR(M358,"")</f>
        <v/>
      </c>
      <c r="O358" s="5">
        <f>IFERROR(H358-N358,"")</f>
        <v/>
      </c>
      <c r="P358" s="3" t="inlineStr">
        <is>
          <t>Belum dihitung</t>
        </is>
      </c>
      <c r="Q358" s="3" t="n"/>
    </row>
    <row r="359">
      <c r="A359" s="3" t="n">
        <v>358</v>
      </c>
      <c r="B359" s="3" t="inlineStr">
        <is>
          <t>Desember 2025</t>
        </is>
      </c>
      <c r="C359" s="3">
        <f>'Data Aset'!B361</f>
        <v/>
      </c>
      <c r="D359" s="3">
        <f>'Data Aset'!F361</f>
        <v/>
      </c>
      <c r="E359" s="3" t="inlineStr">
        <is>
          <t>Inventaris Ruangan</t>
        </is>
      </c>
      <c r="F359" s="3">
        <f>'Data Aset'!C361</f>
        <v/>
      </c>
      <c r="G359" s="3">
        <f>'Data Aset'!J361</f>
        <v/>
      </c>
      <c r="H359" s="5">
        <f>'Data Aset'!M361</f>
        <v/>
      </c>
      <c r="I359" s="3">
        <f>'Data Aset'!O361</f>
        <v/>
      </c>
      <c r="J359" s="5" t="n">
        <v>0</v>
      </c>
      <c r="K359" s="3" t="inlineStr">
        <is>
          <t>Garis Lurus</t>
        </is>
      </c>
      <c r="L359" s="5">
        <f>IFERROR(M359/12,"")</f>
        <v/>
      </c>
      <c r="M359" s="5">
        <f>IFERROR((H359-J359)/I359,"")</f>
        <v/>
      </c>
      <c r="N359" s="5">
        <f>IFERROR(M359,"")</f>
        <v/>
      </c>
      <c r="O359" s="5">
        <f>IFERROR(H359-N359,"")</f>
        <v/>
      </c>
      <c r="P359" s="3" t="inlineStr">
        <is>
          <t>Belum dihitung</t>
        </is>
      </c>
      <c r="Q359" s="3" t="n"/>
    </row>
    <row r="360">
      <c r="A360" s="3" t="n">
        <v>359</v>
      </c>
      <c r="B360" s="3" t="inlineStr">
        <is>
          <t>Desember 2025</t>
        </is>
      </c>
      <c r="C360" s="3">
        <f>'Data Aset'!B362</f>
        <v/>
      </c>
      <c r="D360" s="3">
        <f>'Data Aset'!F362</f>
        <v/>
      </c>
      <c r="E360" s="3" t="inlineStr">
        <is>
          <t>Inventaris Ruangan</t>
        </is>
      </c>
      <c r="F360" s="3">
        <f>'Data Aset'!C362</f>
        <v/>
      </c>
      <c r="G360" s="3">
        <f>'Data Aset'!J362</f>
        <v/>
      </c>
      <c r="H360" s="5">
        <f>'Data Aset'!M362</f>
        <v/>
      </c>
      <c r="I360" s="3">
        <f>'Data Aset'!O362</f>
        <v/>
      </c>
      <c r="J360" s="5" t="n">
        <v>0</v>
      </c>
      <c r="K360" s="3" t="inlineStr">
        <is>
          <t>Garis Lurus</t>
        </is>
      </c>
      <c r="L360" s="5">
        <f>IFERROR(M360/12,"")</f>
        <v/>
      </c>
      <c r="M360" s="5">
        <f>IFERROR((H360-J360)/I360,"")</f>
        <v/>
      </c>
      <c r="N360" s="5">
        <f>IFERROR(M360,"")</f>
        <v/>
      </c>
      <c r="O360" s="5">
        <f>IFERROR(H360-N360,"")</f>
        <v/>
      </c>
      <c r="P360" s="3" t="inlineStr">
        <is>
          <t>Belum dihitung</t>
        </is>
      </c>
      <c r="Q360" s="3" t="n"/>
    </row>
    <row r="361">
      <c r="A361" s="3" t="n">
        <v>360</v>
      </c>
      <c r="B361" s="3" t="inlineStr">
        <is>
          <t>Desember 2025</t>
        </is>
      </c>
      <c r="C361" s="3">
        <f>'Data Aset'!B363</f>
        <v/>
      </c>
      <c r="D361" s="3">
        <f>'Data Aset'!F363</f>
        <v/>
      </c>
      <c r="E361" s="3" t="inlineStr">
        <is>
          <t>Inventaris Ruangan</t>
        </is>
      </c>
      <c r="F361" s="3">
        <f>'Data Aset'!C363</f>
        <v/>
      </c>
      <c r="G361" s="3">
        <f>'Data Aset'!J363</f>
        <v/>
      </c>
      <c r="H361" s="5">
        <f>'Data Aset'!M363</f>
        <v/>
      </c>
      <c r="I361" s="3">
        <f>'Data Aset'!O363</f>
        <v/>
      </c>
      <c r="J361" s="5" t="n">
        <v>0</v>
      </c>
      <c r="K361" s="3" t="inlineStr">
        <is>
          <t>Garis Lurus</t>
        </is>
      </c>
      <c r="L361" s="5">
        <f>IFERROR(M361/12,"")</f>
        <v/>
      </c>
      <c r="M361" s="5">
        <f>IFERROR((H361-J361)/I361,"")</f>
        <v/>
      </c>
      <c r="N361" s="5">
        <f>IFERROR(M361,"")</f>
        <v/>
      </c>
      <c r="O361" s="5">
        <f>IFERROR(H361-N361,"")</f>
        <v/>
      </c>
      <c r="P361" s="3" t="inlineStr">
        <is>
          <t>Belum dihitung</t>
        </is>
      </c>
      <c r="Q361" s="3" t="n"/>
    </row>
    <row r="362">
      <c r="A362" s="3" t="n">
        <v>361</v>
      </c>
      <c r="B362" s="3" t="inlineStr">
        <is>
          <t>Desember 2025</t>
        </is>
      </c>
      <c r="C362" s="3">
        <f>'Data Aset'!B364</f>
        <v/>
      </c>
      <c r="D362" s="3">
        <f>'Data Aset'!F364</f>
        <v/>
      </c>
      <c r="E362" s="3" t="inlineStr">
        <is>
          <t>Inventaris Ruangan</t>
        </is>
      </c>
      <c r="F362" s="3">
        <f>'Data Aset'!C364</f>
        <v/>
      </c>
      <c r="G362" s="3">
        <f>'Data Aset'!J364</f>
        <v/>
      </c>
      <c r="H362" s="5">
        <f>'Data Aset'!M364</f>
        <v/>
      </c>
      <c r="I362" s="3">
        <f>'Data Aset'!O364</f>
        <v/>
      </c>
      <c r="J362" s="5" t="n">
        <v>0</v>
      </c>
      <c r="K362" s="3" t="inlineStr">
        <is>
          <t>Garis Lurus</t>
        </is>
      </c>
      <c r="L362" s="5">
        <f>IFERROR(M362/12,"")</f>
        <v/>
      </c>
      <c r="M362" s="5">
        <f>IFERROR((H362-J362)/I362,"")</f>
        <v/>
      </c>
      <c r="N362" s="5">
        <f>IFERROR(M362,"")</f>
        <v/>
      </c>
      <c r="O362" s="5">
        <f>IFERROR(H362-N362,"")</f>
        <v/>
      </c>
      <c r="P362" s="3" t="inlineStr">
        <is>
          <t>Belum dihitung</t>
        </is>
      </c>
      <c r="Q362" s="3" t="n"/>
    </row>
    <row r="363">
      <c r="A363" s="3" t="n">
        <v>362</v>
      </c>
      <c r="B363" s="3" t="inlineStr">
        <is>
          <t>Desember 2025</t>
        </is>
      </c>
      <c r="C363" s="3">
        <f>'Data Aset'!B365</f>
        <v/>
      </c>
      <c r="D363" s="3">
        <f>'Data Aset'!F365</f>
        <v/>
      </c>
      <c r="E363" s="3" t="inlineStr">
        <is>
          <t>Inventaris Ruangan</t>
        </is>
      </c>
      <c r="F363" s="3">
        <f>'Data Aset'!C365</f>
        <v/>
      </c>
      <c r="G363" s="3">
        <f>'Data Aset'!J365</f>
        <v/>
      </c>
      <c r="H363" s="5">
        <f>'Data Aset'!M365</f>
        <v/>
      </c>
      <c r="I363" s="3">
        <f>'Data Aset'!O365</f>
        <v/>
      </c>
      <c r="J363" s="5" t="n">
        <v>0</v>
      </c>
      <c r="K363" s="3" t="inlineStr">
        <is>
          <t>Garis Lurus</t>
        </is>
      </c>
      <c r="L363" s="5">
        <f>IFERROR(M363/12,"")</f>
        <v/>
      </c>
      <c r="M363" s="5">
        <f>IFERROR((H363-J363)/I363,"")</f>
        <v/>
      </c>
      <c r="N363" s="5">
        <f>IFERROR(M363,"")</f>
        <v/>
      </c>
      <c r="O363" s="5">
        <f>IFERROR(H363-N363,"")</f>
        <v/>
      </c>
      <c r="P363" s="3" t="inlineStr">
        <is>
          <t>Belum dihitung</t>
        </is>
      </c>
      <c r="Q363" s="3" t="n"/>
    </row>
    <row r="364">
      <c r="A364" s="3" t="n">
        <v>363</v>
      </c>
      <c r="B364" s="3" t="inlineStr">
        <is>
          <t>Desember 2025</t>
        </is>
      </c>
      <c r="C364" s="3">
        <f>'Data Aset'!B366</f>
        <v/>
      </c>
      <c r="D364" s="3">
        <f>'Data Aset'!F366</f>
        <v/>
      </c>
      <c r="E364" s="3" t="inlineStr">
        <is>
          <t>Inventaris Ruangan</t>
        </is>
      </c>
      <c r="F364" s="3">
        <f>'Data Aset'!C366</f>
        <v/>
      </c>
      <c r="G364" s="3">
        <f>'Data Aset'!J366</f>
        <v/>
      </c>
      <c r="H364" s="5">
        <f>'Data Aset'!M366</f>
        <v/>
      </c>
      <c r="I364" s="3">
        <f>'Data Aset'!O366</f>
        <v/>
      </c>
      <c r="J364" s="5" t="n">
        <v>0</v>
      </c>
      <c r="K364" s="3" t="inlineStr">
        <is>
          <t>Garis Lurus</t>
        </is>
      </c>
      <c r="L364" s="5">
        <f>IFERROR(M364/12,"")</f>
        <v/>
      </c>
      <c r="M364" s="5">
        <f>IFERROR((H364-J364)/I364,"")</f>
        <v/>
      </c>
      <c r="N364" s="5">
        <f>IFERROR(M364,"")</f>
        <v/>
      </c>
      <c r="O364" s="5">
        <f>IFERROR(H364-N364,"")</f>
        <v/>
      </c>
      <c r="P364" s="3" t="inlineStr">
        <is>
          <t>Belum dihitung</t>
        </is>
      </c>
      <c r="Q364" s="3" t="n"/>
    </row>
    <row r="365">
      <c r="A365" s="3" t="n">
        <v>364</v>
      </c>
      <c r="B365" s="3" t="inlineStr">
        <is>
          <t>Desember 2025</t>
        </is>
      </c>
      <c r="C365" s="3">
        <f>'Data Aset'!B367</f>
        <v/>
      </c>
      <c r="D365" s="3">
        <f>'Data Aset'!F367</f>
        <v/>
      </c>
      <c r="E365" s="3" t="inlineStr">
        <is>
          <t>Inventaris Ruangan</t>
        </is>
      </c>
      <c r="F365" s="3">
        <f>'Data Aset'!C367</f>
        <v/>
      </c>
      <c r="G365" s="3">
        <f>'Data Aset'!J367</f>
        <v/>
      </c>
      <c r="H365" s="5">
        <f>'Data Aset'!M367</f>
        <v/>
      </c>
      <c r="I365" s="3">
        <f>'Data Aset'!O367</f>
        <v/>
      </c>
      <c r="J365" s="5" t="n">
        <v>0</v>
      </c>
      <c r="K365" s="3" t="inlineStr">
        <is>
          <t>Garis Lurus</t>
        </is>
      </c>
      <c r="L365" s="5">
        <f>IFERROR(M365/12,"")</f>
        <v/>
      </c>
      <c r="M365" s="5">
        <f>IFERROR((H365-J365)/I365,"")</f>
        <v/>
      </c>
      <c r="N365" s="5">
        <f>IFERROR(M365,"")</f>
        <v/>
      </c>
      <c r="O365" s="5">
        <f>IFERROR(H365-N365,"")</f>
        <v/>
      </c>
      <c r="P365" s="3" t="inlineStr">
        <is>
          <t>Belum dihitung</t>
        </is>
      </c>
      <c r="Q365" s="3" t="n"/>
    </row>
    <row r="366">
      <c r="A366" s="3" t="n">
        <v>365</v>
      </c>
      <c r="B366" s="3" t="inlineStr">
        <is>
          <t>Desember 2025</t>
        </is>
      </c>
      <c r="C366" s="3">
        <f>'Data Aset'!B368</f>
        <v/>
      </c>
      <c r="D366" s="3">
        <f>'Data Aset'!F368</f>
        <v/>
      </c>
      <c r="E366" s="3" t="inlineStr">
        <is>
          <t>Inventaris Ruangan</t>
        </is>
      </c>
      <c r="F366" s="3">
        <f>'Data Aset'!C368</f>
        <v/>
      </c>
      <c r="G366" s="3">
        <f>'Data Aset'!J368</f>
        <v/>
      </c>
      <c r="H366" s="5">
        <f>'Data Aset'!M368</f>
        <v/>
      </c>
      <c r="I366" s="3">
        <f>'Data Aset'!O368</f>
        <v/>
      </c>
      <c r="J366" s="5" t="n">
        <v>0</v>
      </c>
      <c r="K366" s="3" t="inlineStr">
        <is>
          <t>Garis Lurus</t>
        </is>
      </c>
      <c r="L366" s="5">
        <f>IFERROR(M366/12,"")</f>
        <v/>
      </c>
      <c r="M366" s="5">
        <f>IFERROR((H366-J366)/I366,"")</f>
        <v/>
      </c>
      <c r="N366" s="5">
        <f>IFERROR(M366,"")</f>
        <v/>
      </c>
      <c r="O366" s="5">
        <f>IFERROR(H366-N366,"")</f>
        <v/>
      </c>
      <c r="P366" s="3" t="inlineStr">
        <is>
          <t>Belum dihitung</t>
        </is>
      </c>
      <c r="Q366" s="3" t="n"/>
    </row>
    <row r="367">
      <c r="A367" s="3" t="n">
        <v>366</v>
      </c>
      <c r="B367" s="3" t="inlineStr">
        <is>
          <t>Desember 2025</t>
        </is>
      </c>
      <c r="C367" s="3">
        <f>'Data Aset'!B369</f>
        <v/>
      </c>
      <c r="D367" s="3">
        <f>'Data Aset'!F369</f>
        <v/>
      </c>
      <c r="E367" s="3" t="inlineStr">
        <is>
          <t>Inventaris Ruangan</t>
        </is>
      </c>
      <c r="F367" s="3">
        <f>'Data Aset'!C369</f>
        <v/>
      </c>
      <c r="G367" s="3">
        <f>'Data Aset'!J369</f>
        <v/>
      </c>
      <c r="H367" s="5">
        <f>'Data Aset'!M369</f>
        <v/>
      </c>
      <c r="I367" s="3">
        <f>'Data Aset'!O369</f>
        <v/>
      </c>
      <c r="J367" s="5" t="n">
        <v>0</v>
      </c>
      <c r="K367" s="3" t="inlineStr">
        <is>
          <t>Garis Lurus</t>
        </is>
      </c>
      <c r="L367" s="5">
        <f>IFERROR(M367/12,"")</f>
        <v/>
      </c>
      <c r="M367" s="5">
        <f>IFERROR((H367-J367)/I367,"")</f>
        <v/>
      </c>
      <c r="N367" s="5">
        <f>IFERROR(M367,"")</f>
        <v/>
      </c>
      <c r="O367" s="5">
        <f>IFERROR(H367-N367,"")</f>
        <v/>
      </c>
      <c r="P367" s="3" t="inlineStr">
        <is>
          <t>Belum dihitung</t>
        </is>
      </c>
      <c r="Q367" s="3" t="n"/>
    </row>
    <row r="368">
      <c r="A368" s="3" t="n">
        <v>367</v>
      </c>
      <c r="B368" s="3" t="inlineStr">
        <is>
          <t>Desember 2025</t>
        </is>
      </c>
      <c r="C368" s="3">
        <f>'Data Aset'!B370</f>
        <v/>
      </c>
      <c r="D368" s="3">
        <f>'Data Aset'!F370</f>
        <v/>
      </c>
      <c r="E368" s="3" t="inlineStr">
        <is>
          <t>Inventaris Ruangan</t>
        </is>
      </c>
      <c r="F368" s="3">
        <f>'Data Aset'!C370</f>
        <v/>
      </c>
      <c r="G368" s="3">
        <f>'Data Aset'!J370</f>
        <v/>
      </c>
      <c r="H368" s="5">
        <f>'Data Aset'!M370</f>
        <v/>
      </c>
      <c r="I368" s="3">
        <f>'Data Aset'!O370</f>
        <v/>
      </c>
      <c r="J368" s="5" t="n">
        <v>0</v>
      </c>
      <c r="K368" s="3" t="inlineStr">
        <is>
          <t>Garis Lurus</t>
        </is>
      </c>
      <c r="L368" s="5">
        <f>IFERROR(M368/12,"")</f>
        <v/>
      </c>
      <c r="M368" s="5">
        <f>IFERROR((H368-J368)/I368,"")</f>
        <v/>
      </c>
      <c r="N368" s="5">
        <f>IFERROR(M368,"")</f>
        <v/>
      </c>
      <c r="O368" s="5">
        <f>IFERROR(H368-N368,"")</f>
        <v/>
      </c>
      <c r="P368" s="3" t="inlineStr">
        <is>
          <t>Belum dihitung</t>
        </is>
      </c>
      <c r="Q368" s="3" t="n"/>
    </row>
    <row r="369">
      <c r="A369" s="3" t="n">
        <v>368</v>
      </c>
      <c r="B369" s="3" t="inlineStr">
        <is>
          <t>Desember 2025</t>
        </is>
      </c>
      <c r="C369" s="3">
        <f>'Data Aset'!B371</f>
        <v/>
      </c>
      <c r="D369" s="3">
        <f>'Data Aset'!F371</f>
        <v/>
      </c>
      <c r="E369" s="3" t="inlineStr">
        <is>
          <t>Inventaris Ruangan</t>
        </is>
      </c>
      <c r="F369" s="3">
        <f>'Data Aset'!C371</f>
        <v/>
      </c>
      <c r="G369" s="3">
        <f>'Data Aset'!J371</f>
        <v/>
      </c>
      <c r="H369" s="5">
        <f>'Data Aset'!M371</f>
        <v/>
      </c>
      <c r="I369" s="3">
        <f>'Data Aset'!O371</f>
        <v/>
      </c>
      <c r="J369" s="5" t="n">
        <v>0</v>
      </c>
      <c r="K369" s="3" t="inlineStr">
        <is>
          <t>Garis Lurus</t>
        </is>
      </c>
      <c r="L369" s="5">
        <f>IFERROR(M369/12,"")</f>
        <v/>
      </c>
      <c r="M369" s="5">
        <f>IFERROR((H369-J369)/I369,"")</f>
        <v/>
      </c>
      <c r="N369" s="5">
        <f>IFERROR(M369,"")</f>
        <v/>
      </c>
      <c r="O369" s="5">
        <f>IFERROR(H369-N369,"")</f>
        <v/>
      </c>
      <c r="P369" s="3" t="inlineStr">
        <is>
          <t>Belum dihitung</t>
        </is>
      </c>
      <c r="Q369" s="3" t="n"/>
    </row>
    <row r="370">
      <c r="A370" s="3" t="n">
        <v>369</v>
      </c>
      <c r="B370" s="3" t="inlineStr">
        <is>
          <t>Desember 2025</t>
        </is>
      </c>
      <c r="C370" s="3">
        <f>'Data Aset'!B372</f>
        <v/>
      </c>
      <c r="D370" s="3">
        <f>'Data Aset'!F372</f>
        <v/>
      </c>
      <c r="E370" s="3" t="inlineStr">
        <is>
          <t>Inventaris Ruangan</t>
        </is>
      </c>
      <c r="F370" s="3">
        <f>'Data Aset'!C372</f>
        <v/>
      </c>
      <c r="G370" s="3">
        <f>'Data Aset'!J372</f>
        <v/>
      </c>
      <c r="H370" s="5">
        <f>'Data Aset'!M372</f>
        <v/>
      </c>
      <c r="I370" s="3">
        <f>'Data Aset'!O372</f>
        <v/>
      </c>
      <c r="J370" s="5" t="n">
        <v>0</v>
      </c>
      <c r="K370" s="3" t="inlineStr">
        <is>
          <t>Garis Lurus</t>
        </is>
      </c>
      <c r="L370" s="5">
        <f>IFERROR(M370/12,"")</f>
        <v/>
      </c>
      <c r="M370" s="5">
        <f>IFERROR((H370-J370)/I370,"")</f>
        <v/>
      </c>
      <c r="N370" s="5">
        <f>IFERROR(M370,"")</f>
        <v/>
      </c>
      <c r="O370" s="5">
        <f>IFERROR(H370-N370,"")</f>
        <v/>
      </c>
      <c r="P370" s="3" t="inlineStr">
        <is>
          <t>Belum dihitung</t>
        </is>
      </c>
      <c r="Q370" s="3" t="n"/>
    </row>
    <row r="371">
      <c r="A371" s="3" t="n">
        <v>370</v>
      </c>
      <c r="B371" s="3" t="inlineStr">
        <is>
          <t>Desember 2025</t>
        </is>
      </c>
      <c r="C371" s="3">
        <f>'Data Aset'!B373</f>
        <v/>
      </c>
      <c r="D371" s="3">
        <f>'Data Aset'!F373</f>
        <v/>
      </c>
      <c r="E371" s="3" t="inlineStr">
        <is>
          <t>Inventaris Ruangan</t>
        </is>
      </c>
      <c r="F371" s="3">
        <f>'Data Aset'!C373</f>
        <v/>
      </c>
      <c r="G371" s="3">
        <f>'Data Aset'!J373</f>
        <v/>
      </c>
      <c r="H371" s="5">
        <f>'Data Aset'!M373</f>
        <v/>
      </c>
      <c r="I371" s="3">
        <f>'Data Aset'!O373</f>
        <v/>
      </c>
      <c r="J371" s="5" t="n">
        <v>0</v>
      </c>
      <c r="K371" s="3" t="inlineStr">
        <is>
          <t>Garis Lurus</t>
        </is>
      </c>
      <c r="L371" s="5">
        <f>IFERROR(M371/12,"")</f>
        <v/>
      </c>
      <c r="M371" s="5">
        <f>IFERROR((H371-J371)/I371,"")</f>
        <v/>
      </c>
      <c r="N371" s="5">
        <f>IFERROR(M371,"")</f>
        <v/>
      </c>
      <c r="O371" s="5">
        <f>IFERROR(H371-N371,"")</f>
        <v/>
      </c>
      <c r="P371" s="3" t="inlineStr">
        <is>
          <t>Belum dihitung</t>
        </is>
      </c>
      <c r="Q371" s="3" t="n"/>
    </row>
    <row r="372">
      <c r="A372" s="3" t="n">
        <v>371</v>
      </c>
      <c r="B372" s="3" t="inlineStr">
        <is>
          <t>Desember 2025</t>
        </is>
      </c>
      <c r="C372" s="3">
        <f>'Data Aset'!B374</f>
        <v/>
      </c>
      <c r="D372" s="3">
        <f>'Data Aset'!F374</f>
        <v/>
      </c>
      <c r="E372" s="3" t="inlineStr">
        <is>
          <t>Inventaris Ruangan</t>
        </is>
      </c>
      <c r="F372" s="3">
        <f>'Data Aset'!C374</f>
        <v/>
      </c>
      <c r="G372" s="3">
        <f>'Data Aset'!J374</f>
        <v/>
      </c>
      <c r="H372" s="5">
        <f>'Data Aset'!M374</f>
        <v/>
      </c>
      <c r="I372" s="3">
        <f>'Data Aset'!O374</f>
        <v/>
      </c>
      <c r="J372" s="5" t="n">
        <v>0</v>
      </c>
      <c r="K372" s="3" t="inlineStr">
        <is>
          <t>Garis Lurus</t>
        </is>
      </c>
      <c r="L372" s="5">
        <f>IFERROR(M372/12,"")</f>
        <v/>
      </c>
      <c r="M372" s="5">
        <f>IFERROR((H372-J372)/I372,"")</f>
        <v/>
      </c>
      <c r="N372" s="5">
        <f>IFERROR(M372,"")</f>
        <v/>
      </c>
      <c r="O372" s="5">
        <f>IFERROR(H372-N372,"")</f>
        <v/>
      </c>
      <c r="P372" s="3" t="inlineStr">
        <is>
          <t>Belum dihitung</t>
        </is>
      </c>
      <c r="Q372" s="3" t="n"/>
    </row>
    <row r="373">
      <c r="A373" s="3" t="n">
        <v>372</v>
      </c>
      <c r="B373" s="3" t="inlineStr">
        <is>
          <t>Desember 2025</t>
        </is>
      </c>
      <c r="C373" s="3">
        <f>'Data Aset'!B375</f>
        <v/>
      </c>
      <c r="D373" s="3">
        <f>'Data Aset'!F375</f>
        <v/>
      </c>
      <c r="E373" s="3" t="inlineStr">
        <is>
          <t>Inventaris Ruangan</t>
        </is>
      </c>
      <c r="F373" s="3">
        <f>'Data Aset'!C375</f>
        <v/>
      </c>
      <c r="G373" s="3">
        <f>'Data Aset'!J375</f>
        <v/>
      </c>
      <c r="H373" s="5">
        <f>'Data Aset'!M375</f>
        <v/>
      </c>
      <c r="I373" s="3">
        <f>'Data Aset'!O375</f>
        <v/>
      </c>
      <c r="J373" s="5" t="n">
        <v>0</v>
      </c>
      <c r="K373" s="3" t="inlineStr">
        <is>
          <t>Garis Lurus</t>
        </is>
      </c>
      <c r="L373" s="5">
        <f>IFERROR(M373/12,"")</f>
        <v/>
      </c>
      <c r="M373" s="5">
        <f>IFERROR((H373-J373)/I373,"")</f>
        <v/>
      </c>
      <c r="N373" s="5">
        <f>IFERROR(M373,"")</f>
        <v/>
      </c>
      <c r="O373" s="5">
        <f>IFERROR(H373-N373,"")</f>
        <v/>
      </c>
      <c r="P373" s="3" t="inlineStr">
        <is>
          <t>Belum dihitung</t>
        </is>
      </c>
      <c r="Q373" s="3" t="n"/>
    </row>
    <row r="374">
      <c r="A374" s="3" t="n">
        <v>373</v>
      </c>
      <c r="B374" s="3" t="inlineStr">
        <is>
          <t>Desember 2025</t>
        </is>
      </c>
      <c r="C374" s="3">
        <f>'Data Aset'!B376</f>
        <v/>
      </c>
      <c r="D374" s="3">
        <f>'Data Aset'!F376</f>
        <v/>
      </c>
      <c r="E374" s="3" t="inlineStr">
        <is>
          <t>Inventaris Ruangan</t>
        </is>
      </c>
      <c r="F374" s="3">
        <f>'Data Aset'!C376</f>
        <v/>
      </c>
      <c r="G374" s="3">
        <f>'Data Aset'!J376</f>
        <v/>
      </c>
      <c r="H374" s="5">
        <f>'Data Aset'!M376</f>
        <v/>
      </c>
      <c r="I374" s="3">
        <f>'Data Aset'!O376</f>
        <v/>
      </c>
      <c r="J374" s="5" t="n">
        <v>0</v>
      </c>
      <c r="K374" s="3" t="inlineStr">
        <is>
          <t>Garis Lurus</t>
        </is>
      </c>
      <c r="L374" s="5">
        <f>IFERROR(M374/12,"")</f>
        <v/>
      </c>
      <c r="M374" s="5">
        <f>IFERROR((H374-J374)/I374,"")</f>
        <v/>
      </c>
      <c r="N374" s="5">
        <f>IFERROR(M374,"")</f>
        <v/>
      </c>
      <c r="O374" s="5">
        <f>IFERROR(H374-N374,"")</f>
        <v/>
      </c>
      <c r="P374" s="3" t="inlineStr">
        <is>
          <t>Belum dihitung</t>
        </is>
      </c>
      <c r="Q374" s="3" t="n"/>
    </row>
    <row r="375">
      <c r="A375" s="3" t="n">
        <v>374</v>
      </c>
      <c r="B375" s="3" t="inlineStr">
        <is>
          <t>Desember 2025</t>
        </is>
      </c>
      <c r="C375" s="3">
        <f>'Data Aset'!B377</f>
        <v/>
      </c>
      <c r="D375" s="3">
        <f>'Data Aset'!F377</f>
        <v/>
      </c>
      <c r="E375" s="3" t="inlineStr">
        <is>
          <t>Inventaris Ruangan</t>
        </is>
      </c>
      <c r="F375" s="3">
        <f>'Data Aset'!C377</f>
        <v/>
      </c>
      <c r="G375" s="3">
        <f>'Data Aset'!J377</f>
        <v/>
      </c>
      <c r="H375" s="5">
        <f>'Data Aset'!M377</f>
        <v/>
      </c>
      <c r="I375" s="3">
        <f>'Data Aset'!O377</f>
        <v/>
      </c>
      <c r="J375" s="5" t="n">
        <v>0</v>
      </c>
      <c r="K375" s="3" t="inlineStr">
        <is>
          <t>Garis Lurus</t>
        </is>
      </c>
      <c r="L375" s="5">
        <f>IFERROR(M375/12,"")</f>
        <v/>
      </c>
      <c r="M375" s="5">
        <f>IFERROR((H375-J375)/I375,"")</f>
        <v/>
      </c>
      <c r="N375" s="5">
        <f>IFERROR(M375,"")</f>
        <v/>
      </c>
      <c r="O375" s="5">
        <f>IFERROR(H375-N375,"")</f>
        <v/>
      </c>
      <c r="P375" s="3" t="inlineStr">
        <is>
          <t>Belum dihitung</t>
        </is>
      </c>
      <c r="Q375" s="3" t="n"/>
    </row>
    <row r="376">
      <c r="A376" s="3" t="n">
        <v>375</v>
      </c>
      <c r="B376" s="3" t="inlineStr">
        <is>
          <t>Desember 2025</t>
        </is>
      </c>
      <c r="C376" s="3">
        <f>'Data Aset'!B378</f>
        <v/>
      </c>
      <c r="D376" s="3">
        <f>'Data Aset'!F378</f>
        <v/>
      </c>
      <c r="E376" s="3" t="inlineStr">
        <is>
          <t>Inventaris Ruangan</t>
        </is>
      </c>
      <c r="F376" s="3">
        <f>'Data Aset'!C378</f>
        <v/>
      </c>
      <c r="G376" s="3">
        <f>'Data Aset'!J378</f>
        <v/>
      </c>
      <c r="H376" s="5">
        <f>'Data Aset'!M378</f>
        <v/>
      </c>
      <c r="I376" s="3">
        <f>'Data Aset'!O378</f>
        <v/>
      </c>
      <c r="J376" s="5" t="n">
        <v>0</v>
      </c>
      <c r="K376" s="3" t="inlineStr">
        <is>
          <t>Garis Lurus</t>
        </is>
      </c>
      <c r="L376" s="5">
        <f>IFERROR(M376/12,"")</f>
        <v/>
      </c>
      <c r="M376" s="5">
        <f>IFERROR((H376-J376)/I376,"")</f>
        <v/>
      </c>
      <c r="N376" s="5">
        <f>IFERROR(M376,"")</f>
        <v/>
      </c>
      <c r="O376" s="5">
        <f>IFERROR(H376-N376,"")</f>
        <v/>
      </c>
      <c r="P376" s="3" t="inlineStr">
        <is>
          <t>Belum dihitung</t>
        </is>
      </c>
      <c r="Q376" s="3" t="n"/>
    </row>
    <row r="377">
      <c r="A377" s="3" t="n">
        <v>376</v>
      </c>
      <c r="B377" s="3" t="inlineStr">
        <is>
          <t>Desember 2025</t>
        </is>
      </c>
      <c r="C377" s="3">
        <f>'Data Aset'!B379</f>
        <v/>
      </c>
      <c r="D377" s="3">
        <f>'Data Aset'!F379</f>
        <v/>
      </c>
      <c r="E377" s="3" t="inlineStr">
        <is>
          <t>Inventaris Ruangan</t>
        </is>
      </c>
      <c r="F377" s="3">
        <f>'Data Aset'!C379</f>
        <v/>
      </c>
      <c r="G377" s="3">
        <f>'Data Aset'!J379</f>
        <v/>
      </c>
      <c r="H377" s="5">
        <f>'Data Aset'!M379</f>
        <v/>
      </c>
      <c r="I377" s="3">
        <f>'Data Aset'!O379</f>
        <v/>
      </c>
      <c r="J377" s="5" t="n">
        <v>0</v>
      </c>
      <c r="K377" s="3" t="inlineStr">
        <is>
          <t>Garis Lurus</t>
        </is>
      </c>
      <c r="L377" s="5">
        <f>IFERROR(M377/12,"")</f>
        <v/>
      </c>
      <c r="M377" s="5">
        <f>IFERROR((H377-J377)/I377,"")</f>
        <v/>
      </c>
      <c r="N377" s="5">
        <f>IFERROR(M377,"")</f>
        <v/>
      </c>
      <c r="O377" s="5">
        <f>IFERROR(H377-N377,"")</f>
        <v/>
      </c>
      <c r="P377" s="3" t="inlineStr">
        <is>
          <t>Belum dihitung</t>
        </is>
      </c>
      <c r="Q377" s="3" t="n"/>
    </row>
    <row r="378">
      <c r="A378" s="3" t="n">
        <v>377</v>
      </c>
      <c r="B378" s="3" t="inlineStr">
        <is>
          <t>Desember 2025</t>
        </is>
      </c>
      <c r="C378" s="3">
        <f>'Data Aset'!B380</f>
        <v/>
      </c>
      <c r="D378" s="3">
        <f>'Data Aset'!F380</f>
        <v/>
      </c>
      <c r="E378" s="3" t="inlineStr">
        <is>
          <t>Inventaris Ruangan</t>
        </is>
      </c>
      <c r="F378" s="3">
        <f>'Data Aset'!C380</f>
        <v/>
      </c>
      <c r="G378" s="3">
        <f>'Data Aset'!J380</f>
        <v/>
      </c>
      <c r="H378" s="5">
        <f>'Data Aset'!M380</f>
        <v/>
      </c>
      <c r="I378" s="3">
        <f>'Data Aset'!O380</f>
        <v/>
      </c>
      <c r="J378" s="5" t="n">
        <v>0</v>
      </c>
      <c r="K378" s="3" t="inlineStr">
        <is>
          <t>Garis Lurus</t>
        </is>
      </c>
      <c r="L378" s="5">
        <f>IFERROR(M378/12,"")</f>
        <v/>
      </c>
      <c r="M378" s="5">
        <f>IFERROR((H378-J378)/I378,"")</f>
        <v/>
      </c>
      <c r="N378" s="5">
        <f>IFERROR(M378,"")</f>
        <v/>
      </c>
      <c r="O378" s="5">
        <f>IFERROR(H378-N378,"")</f>
        <v/>
      </c>
      <c r="P378" s="3" t="inlineStr">
        <is>
          <t>Belum dihitung</t>
        </is>
      </c>
      <c r="Q378" s="3" t="n"/>
    </row>
    <row r="379">
      <c r="A379" s="3" t="n">
        <v>378</v>
      </c>
      <c r="B379" s="3" t="inlineStr">
        <is>
          <t>Desember 2025</t>
        </is>
      </c>
      <c r="C379" s="3">
        <f>'Data Aset'!B381</f>
        <v/>
      </c>
      <c r="D379" s="3">
        <f>'Data Aset'!F381</f>
        <v/>
      </c>
      <c r="E379" s="3" t="inlineStr">
        <is>
          <t>Inventaris Ruangan</t>
        </is>
      </c>
      <c r="F379" s="3">
        <f>'Data Aset'!C381</f>
        <v/>
      </c>
      <c r="G379" s="3">
        <f>'Data Aset'!J381</f>
        <v/>
      </c>
      <c r="H379" s="5">
        <f>'Data Aset'!M381</f>
        <v/>
      </c>
      <c r="I379" s="3">
        <f>'Data Aset'!O381</f>
        <v/>
      </c>
      <c r="J379" s="5" t="n">
        <v>0</v>
      </c>
      <c r="K379" s="3" t="inlineStr">
        <is>
          <t>Garis Lurus</t>
        </is>
      </c>
      <c r="L379" s="5">
        <f>IFERROR(M379/12,"")</f>
        <v/>
      </c>
      <c r="M379" s="5">
        <f>IFERROR((H379-J379)/I379,"")</f>
        <v/>
      </c>
      <c r="N379" s="5">
        <f>IFERROR(M379,"")</f>
        <v/>
      </c>
      <c r="O379" s="5">
        <f>IFERROR(H379-N379,"")</f>
        <v/>
      </c>
      <c r="P379" s="3" t="inlineStr">
        <is>
          <t>Belum dihitung</t>
        </is>
      </c>
      <c r="Q379" s="3" t="n"/>
    </row>
    <row r="380">
      <c r="A380" s="3" t="n">
        <v>379</v>
      </c>
      <c r="B380" s="3" t="inlineStr">
        <is>
          <t>Desember 2025</t>
        </is>
      </c>
      <c r="C380" s="3">
        <f>'Data Aset'!B382</f>
        <v/>
      </c>
      <c r="D380" s="3">
        <f>'Data Aset'!F382</f>
        <v/>
      </c>
      <c r="E380" s="3" t="inlineStr">
        <is>
          <t>Inventaris Ruangan</t>
        </is>
      </c>
      <c r="F380" s="3">
        <f>'Data Aset'!C382</f>
        <v/>
      </c>
      <c r="G380" s="3">
        <f>'Data Aset'!J382</f>
        <v/>
      </c>
      <c r="H380" s="5">
        <f>'Data Aset'!M382</f>
        <v/>
      </c>
      <c r="I380" s="3">
        <f>'Data Aset'!O382</f>
        <v/>
      </c>
      <c r="J380" s="5" t="n">
        <v>0</v>
      </c>
      <c r="K380" s="3" t="inlineStr">
        <is>
          <t>Garis Lurus</t>
        </is>
      </c>
      <c r="L380" s="5">
        <f>IFERROR(M380/12,"")</f>
        <v/>
      </c>
      <c r="M380" s="5">
        <f>IFERROR((H380-J380)/I380,"")</f>
        <v/>
      </c>
      <c r="N380" s="5">
        <f>IFERROR(M380,"")</f>
        <v/>
      </c>
      <c r="O380" s="5">
        <f>IFERROR(H380-N380,"")</f>
        <v/>
      </c>
      <c r="P380" s="3" t="inlineStr">
        <is>
          <t>Belum dihitung</t>
        </is>
      </c>
      <c r="Q380" s="3" t="n"/>
    </row>
    <row r="381">
      <c r="A381" s="3" t="n">
        <v>380</v>
      </c>
      <c r="B381" s="3" t="inlineStr">
        <is>
          <t>Desember 2025</t>
        </is>
      </c>
      <c r="C381" s="3">
        <f>'Data Aset'!B383</f>
        <v/>
      </c>
      <c r="D381" s="3">
        <f>'Data Aset'!F383</f>
        <v/>
      </c>
      <c r="E381" s="3" t="inlineStr">
        <is>
          <t>Inventaris Ruangan</t>
        </is>
      </c>
      <c r="F381" s="3">
        <f>'Data Aset'!C383</f>
        <v/>
      </c>
      <c r="G381" s="3">
        <f>'Data Aset'!J383</f>
        <v/>
      </c>
      <c r="H381" s="5">
        <f>'Data Aset'!M383</f>
        <v/>
      </c>
      <c r="I381" s="3">
        <f>'Data Aset'!O383</f>
        <v/>
      </c>
      <c r="J381" s="5" t="n">
        <v>0</v>
      </c>
      <c r="K381" s="3" t="inlineStr">
        <is>
          <t>Garis Lurus</t>
        </is>
      </c>
      <c r="L381" s="5">
        <f>IFERROR(M381/12,"")</f>
        <v/>
      </c>
      <c r="M381" s="5">
        <f>IFERROR((H381-J381)/I381,"")</f>
        <v/>
      </c>
      <c r="N381" s="5">
        <f>IFERROR(M381,"")</f>
        <v/>
      </c>
      <c r="O381" s="5">
        <f>IFERROR(H381-N381,"")</f>
        <v/>
      </c>
      <c r="P381" s="3" t="inlineStr">
        <is>
          <t>Belum dihitung</t>
        </is>
      </c>
      <c r="Q381" s="3" t="n"/>
    </row>
    <row r="382">
      <c r="A382" s="3" t="n">
        <v>381</v>
      </c>
      <c r="B382" s="3" t="inlineStr">
        <is>
          <t>Desember 2025</t>
        </is>
      </c>
      <c r="C382" s="3">
        <f>'Data Aset'!B384</f>
        <v/>
      </c>
      <c r="D382" s="3">
        <f>'Data Aset'!F384</f>
        <v/>
      </c>
      <c r="E382" s="3" t="inlineStr">
        <is>
          <t>Inventaris Ruangan</t>
        </is>
      </c>
      <c r="F382" s="3">
        <f>'Data Aset'!C384</f>
        <v/>
      </c>
      <c r="G382" s="3">
        <f>'Data Aset'!J384</f>
        <v/>
      </c>
      <c r="H382" s="5">
        <f>'Data Aset'!M384</f>
        <v/>
      </c>
      <c r="I382" s="3">
        <f>'Data Aset'!O384</f>
        <v/>
      </c>
      <c r="J382" s="5" t="n">
        <v>0</v>
      </c>
      <c r="K382" s="3" t="inlineStr">
        <is>
          <t>Garis Lurus</t>
        </is>
      </c>
      <c r="L382" s="5">
        <f>IFERROR(M382/12,"")</f>
        <v/>
      </c>
      <c r="M382" s="5">
        <f>IFERROR((H382-J382)/I382,"")</f>
        <v/>
      </c>
      <c r="N382" s="5">
        <f>IFERROR(M382,"")</f>
        <v/>
      </c>
      <c r="O382" s="5">
        <f>IFERROR(H382-N382,"")</f>
        <v/>
      </c>
      <c r="P382" s="3" t="inlineStr">
        <is>
          <t>Belum dihitung</t>
        </is>
      </c>
      <c r="Q382" s="3" t="n"/>
    </row>
    <row r="383">
      <c r="A383" s="3" t="n">
        <v>382</v>
      </c>
      <c r="B383" s="3" t="inlineStr">
        <is>
          <t>Desember 2025</t>
        </is>
      </c>
      <c r="C383" s="3">
        <f>'Data Aset'!B385</f>
        <v/>
      </c>
      <c r="D383" s="3">
        <f>'Data Aset'!F385</f>
        <v/>
      </c>
      <c r="E383" s="3" t="inlineStr">
        <is>
          <t>Inventaris Ruangan</t>
        </is>
      </c>
      <c r="F383" s="3">
        <f>'Data Aset'!C385</f>
        <v/>
      </c>
      <c r="G383" s="3">
        <f>'Data Aset'!J385</f>
        <v/>
      </c>
      <c r="H383" s="5">
        <f>'Data Aset'!M385</f>
        <v/>
      </c>
      <c r="I383" s="3">
        <f>'Data Aset'!O385</f>
        <v/>
      </c>
      <c r="J383" s="5" t="n">
        <v>0</v>
      </c>
      <c r="K383" s="3" t="inlineStr">
        <is>
          <t>Garis Lurus</t>
        </is>
      </c>
      <c r="L383" s="5">
        <f>IFERROR(M383/12,"")</f>
        <v/>
      </c>
      <c r="M383" s="5">
        <f>IFERROR((H383-J383)/I383,"")</f>
        <v/>
      </c>
      <c r="N383" s="5">
        <f>IFERROR(M383,"")</f>
        <v/>
      </c>
      <c r="O383" s="5">
        <f>IFERROR(H383-N383,"")</f>
        <v/>
      </c>
      <c r="P383" s="3" t="inlineStr">
        <is>
          <t>Belum dihitung</t>
        </is>
      </c>
      <c r="Q383" s="3" t="n"/>
    </row>
    <row r="384">
      <c r="A384" s="3" t="n">
        <v>383</v>
      </c>
      <c r="B384" s="3" t="inlineStr">
        <is>
          <t>Desember 2025</t>
        </is>
      </c>
      <c r="C384" s="3">
        <f>'Data Aset'!B386</f>
        <v/>
      </c>
      <c r="D384" s="3">
        <f>'Data Aset'!F386</f>
        <v/>
      </c>
      <c r="E384" s="3" t="inlineStr">
        <is>
          <t>Inventaris Ruangan</t>
        </is>
      </c>
      <c r="F384" s="3">
        <f>'Data Aset'!C386</f>
        <v/>
      </c>
      <c r="G384" s="3">
        <f>'Data Aset'!J386</f>
        <v/>
      </c>
      <c r="H384" s="5">
        <f>'Data Aset'!M386</f>
        <v/>
      </c>
      <c r="I384" s="3">
        <f>'Data Aset'!O386</f>
        <v/>
      </c>
      <c r="J384" s="5" t="n">
        <v>0</v>
      </c>
      <c r="K384" s="3" t="inlineStr">
        <is>
          <t>Garis Lurus</t>
        </is>
      </c>
      <c r="L384" s="5">
        <f>IFERROR(M384/12,"")</f>
        <v/>
      </c>
      <c r="M384" s="5">
        <f>IFERROR((H384-J384)/I384,"")</f>
        <v/>
      </c>
      <c r="N384" s="5">
        <f>IFERROR(M384,"")</f>
        <v/>
      </c>
      <c r="O384" s="5">
        <f>IFERROR(H384-N384,"")</f>
        <v/>
      </c>
      <c r="P384" s="3" t="inlineStr">
        <is>
          <t>Belum dihitung</t>
        </is>
      </c>
      <c r="Q384" s="3" t="n"/>
    </row>
    <row r="385">
      <c r="A385" s="3" t="n">
        <v>384</v>
      </c>
      <c r="B385" s="3" t="inlineStr">
        <is>
          <t>Desember 2025</t>
        </is>
      </c>
      <c r="C385" s="3">
        <f>'Data Aset'!B387</f>
        <v/>
      </c>
      <c r="D385" s="3">
        <f>'Data Aset'!F387</f>
        <v/>
      </c>
      <c r="E385" s="3" t="inlineStr">
        <is>
          <t>Inventaris Ruangan</t>
        </is>
      </c>
      <c r="F385" s="3">
        <f>'Data Aset'!C387</f>
        <v/>
      </c>
      <c r="G385" s="3">
        <f>'Data Aset'!J387</f>
        <v/>
      </c>
      <c r="H385" s="5">
        <f>'Data Aset'!M387</f>
        <v/>
      </c>
      <c r="I385" s="3">
        <f>'Data Aset'!O387</f>
        <v/>
      </c>
      <c r="J385" s="5" t="n">
        <v>0</v>
      </c>
      <c r="K385" s="3" t="inlineStr">
        <is>
          <t>Garis Lurus</t>
        </is>
      </c>
      <c r="L385" s="5">
        <f>IFERROR(M385/12,"")</f>
        <v/>
      </c>
      <c r="M385" s="5">
        <f>IFERROR((H385-J385)/I385,"")</f>
        <v/>
      </c>
      <c r="N385" s="5">
        <f>IFERROR(M385,"")</f>
        <v/>
      </c>
      <c r="O385" s="5">
        <f>IFERROR(H385-N385,"")</f>
        <v/>
      </c>
      <c r="P385" s="3" t="inlineStr">
        <is>
          <t>Belum dihitung</t>
        </is>
      </c>
      <c r="Q385" s="3" t="n"/>
    </row>
    <row r="386">
      <c r="A386" s="3" t="n">
        <v>385</v>
      </c>
      <c r="B386" s="3" t="inlineStr">
        <is>
          <t>Desember 2025</t>
        </is>
      </c>
      <c r="C386" s="3">
        <f>'Data Aset'!B388</f>
        <v/>
      </c>
      <c r="D386" s="3">
        <f>'Data Aset'!F388</f>
        <v/>
      </c>
      <c r="E386" s="3" t="inlineStr">
        <is>
          <t>Inventaris Ruangan</t>
        </is>
      </c>
      <c r="F386" s="3">
        <f>'Data Aset'!C388</f>
        <v/>
      </c>
      <c r="G386" s="3">
        <f>'Data Aset'!J388</f>
        <v/>
      </c>
      <c r="H386" s="5">
        <f>'Data Aset'!M388</f>
        <v/>
      </c>
      <c r="I386" s="3">
        <f>'Data Aset'!O388</f>
        <v/>
      </c>
      <c r="J386" s="5" t="n">
        <v>0</v>
      </c>
      <c r="K386" s="3" t="inlineStr">
        <is>
          <t>Garis Lurus</t>
        </is>
      </c>
      <c r="L386" s="5">
        <f>IFERROR(M386/12,"")</f>
        <v/>
      </c>
      <c r="M386" s="5">
        <f>IFERROR((H386-J386)/I386,"")</f>
        <v/>
      </c>
      <c r="N386" s="5">
        <f>IFERROR(M386,"")</f>
        <v/>
      </c>
      <c r="O386" s="5">
        <f>IFERROR(H386-N386,"")</f>
        <v/>
      </c>
      <c r="P386" s="3" t="inlineStr">
        <is>
          <t>Belum dihitung</t>
        </is>
      </c>
      <c r="Q386" s="3" t="n"/>
    </row>
    <row r="387">
      <c r="A387" s="3" t="n">
        <v>386</v>
      </c>
      <c r="B387" s="3" t="inlineStr">
        <is>
          <t>Desember 2025</t>
        </is>
      </c>
      <c r="C387" s="3">
        <f>'Data Aset'!B389</f>
        <v/>
      </c>
      <c r="D387" s="3">
        <f>'Data Aset'!F389</f>
        <v/>
      </c>
      <c r="E387" s="3" t="inlineStr">
        <is>
          <t>Inventaris Ruangan</t>
        </is>
      </c>
      <c r="F387" s="3">
        <f>'Data Aset'!C389</f>
        <v/>
      </c>
      <c r="G387" s="3">
        <f>'Data Aset'!J389</f>
        <v/>
      </c>
      <c r="H387" s="5">
        <f>'Data Aset'!M389</f>
        <v/>
      </c>
      <c r="I387" s="3">
        <f>'Data Aset'!O389</f>
        <v/>
      </c>
      <c r="J387" s="5" t="n">
        <v>0</v>
      </c>
      <c r="K387" s="3" t="inlineStr">
        <is>
          <t>Garis Lurus</t>
        </is>
      </c>
      <c r="L387" s="5">
        <f>IFERROR(M387/12,"")</f>
        <v/>
      </c>
      <c r="M387" s="5">
        <f>IFERROR((H387-J387)/I387,"")</f>
        <v/>
      </c>
      <c r="N387" s="5">
        <f>IFERROR(M387,"")</f>
        <v/>
      </c>
      <c r="O387" s="5">
        <f>IFERROR(H387-N387,"")</f>
        <v/>
      </c>
      <c r="P387" s="3" t="inlineStr">
        <is>
          <t>Belum dihitung</t>
        </is>
      </c>
      <c r="Q387" s="3" t="n"/>
    </row>
    <row r="388">
      <c r="A388" s="3" t="n">
        <v>387</v>
      </c>
      <c r="B388" s="3" t="inlineStr">
        <is>
          <t>Desember 2025</t>
        </is>
      </c>
      <c r="C388" s="3">
        <f>'Data Aset'!B390</f>
        <v/>
      </c>
      <c r="D388" s="3">
        <f>'Data Aset'!F390</f>
        <v/>
      </c>
      <c r="E388" s="3" t="inlineStr">
        <is>
          <t>Inventaris Ruangan</t>
        </is>
      </c>
      <c r="F388" s="3">
        <f>'Data Aset'!C390</f>
        <v/>
      </c>
      <c r="G388" s="3">
        <f>'Data Aset'!J390</f>
        <v/>
      </c>
      <c r="H388" s="5">
        <f>'Data Aset'!M390</f>
        <v/>
      </c>
      <c r="I388" s="3">
        <f>'Data Aset'!O390</f>
        <v/>
      </c>
      <c r="J388" s="5" t="n">
        <v>0</v>
      </c>
      <c r="K388" s="3" t="inlineStr">
        <is>
          <t>Garis Lurus</t>
        </is>
      </c>
      <c r="L388" s="5">
        <f>IFERROR(M388/12,"")</f>
        <v/>
      </c>
      <c r="M388" s="5">
        <f>IFERROR((H388-J388)/I388,"")</f>
        <v/>
      </c>
      <c r="N388" s="5">
        <f>IFERROR(M388,"")</f>
        <v/>
      </c>
      <c r="O388" s="5">
        <f>IFERROR(H388-N388,"")</f>
        <v/>
      </c>
      <c r="P388" s="3" t="inlineStr">
        <is>
          <t>Belum dihitung</t>
        </is>
      </c>
      <c r="Q388" s="3" t="n"/>
    </row>
    <row r="389">
      <c r="A389" s="3" t="n">
        <v>388</v>
      </c>
      <c r="B389" s="3" t="inlineStr">
        <is>
          <t>Desember 2025</t>
        </is>
      </c>
      <c r="C389" s="3">
        <f>'Data Aset'!B391</f>
        <v/>
      </c>
      <c r="D389" s="3">
        <f>'Data Aset'!F391</f>
        <v/>
      </c>
      <c r="E389" s="3" t="inlineStr">
        <is>
          <t>Inventaris Ruangan</t>
        </is>
      </c>
      <c r="F389" s="3">
        <f>'Data Aset'!C391</f>
        <v/>
      </c>
      <c r="G389" s="3">
        <f>'Data Aset'!J391</f>
        <v/>
      </c>
      <c r="H389" s="5">
        <f>'Data Aset'!M391</f>
        <v/>
      </c>
      <c r="I389" s="3">
        <f>'Data Aset'!O391</f>
        <v/>
      </c>
      <c r="J389" s="5" t="n">
        <v>0</v>
      </c>
      <c r="K389" s="3" t="inlineStr">
        <is>
          <t>Garis Lurus</t>
        </is>
      </c>
      <c r="L389" s="5">
        <f>IFERROR(M389/12,"")</f>
        <v/>
      </c>
      <c r="M389" s="5">
        <f>IFERROR((H389-J389)/I389,"")</f>
        <v/>
      </c>
      <c r="N389" s="5">
        <f>IFERROR(M389,"")</f>
        <v/>
      </c>
      <c r="O389" s="5">
        <f>IFERROR(H389-N389,"")</f>
        <v/>
      </c>
      <c r="P389" s="3" t="inlineStr">
        <is>
          <t>Belum dihitung</t>
        </is>
      </c>
      <c r="Q389" s="3" t="n"/>
    </row>
    <row r="390">
      <c r="A390" s="3" t="n">
        <v>389</v>
      </c>
      <c r="B390" s="3" t="inlineStr">
        <is>
          <t>Desember 2025</t>
        </is>
      </c>
      <c r="C390" s="3">
        <f>'Data Aset'!B392</f>
        <v/>
      </c>
      <c r="D390" s="3">
        <f>'Data Aset'!F392</f>
        <v/>
      </c>
      <c r="E390" s="3" t="inlineStr">
        <is>
          <t>Inventaris Ruangan</t>
        </is>
      </c>
      <c r="F390" s="3">
        <f>'Data Aset'!C392</f>
        <v/>
      </c>
      <c r="G390" s="3">
        <f>'Data Aset'!J392</f>
        <v/>
      </c>
      <c r="H390" s="5">
        <f>'Data Aset'!M392</f>
        <v/>
      </c>
      <c r="I390" s="3">
        <f>'Data Aset'!O392</f>
        <v/>
      </c>
      <c r="J390" s="5" t="n">
        <v>0</v>
      </c>
      <c r="K390" s="3" t="inlineStr">
        <is>
          <t>Garis Lurus</t>
        </is>
      </c>
      <c r="L390" s="5">
        <f>IFERROR(M390/12,"")</f>
        <v/>
      </c>
      <c r="M390" s="5">
        <f>IFERROR((H390-J390)/I390,"")</f>
        <v/>
      </c>
      <c r="N390" s="5">
        <f>IFERROR(M390,"")</f>
        <v/>
      </c>
      <c r="O390" s="5">
        <f>IFERROR(H390-N390,"")</f>
        <v/>
      </c>
      <c r="P390" s="3" t="inlineStr">
        <is>
          <t>Belum dihitung</t>
        </is>
      </c>
      <c r="Q390" s="3" t="n"/>
    </row>
    <row r="391">
      <c r="A391" s="3" t="n">
        <v>390</v>
      </c>
      <c r="B391" s="3" t="inlineStr">
        <is>
          <t>Desember 2025</t>
        </is>
      </c>
      <c r="C391" s="3">
        <f>'Data Aset'!B393</f>
        <v/>
      </c>
      <c r="D391" s="3">
        <f>'Data Aset'!F393</f>
        <v/>
      </c>
      <c r="E391" s="3" t="inlineStr">
        <is>
          <t>Inventaris Ruangan</t>
        </is>
      </c>
      <c r="F391" s="3">
        <f>'Data Aset'!C393</f>
        <v/>
      </c>
      <c r="G391" s="3">
        <f>'Data Aset'!J393</f>
        <v/>
      </c>
      <c r="H391" s="5">
        <f>'Data Aset'!M393</f>
        <v/>
      </c>
      <c r="I391" s="3">
        <f>'Data Aset'!O393</f>
        <v/>
      </c>
      <c r="J391" s="5" t="n">
        <v>0</v>
      </c>
      <c r="K391" s="3" t="inlineStr">
        <is>
          <t>Garis Lurus</t>
        </is>
      </c>
      <c r="L391" s="5">
        <f>IFERROR(M391/12,"")</f>
        <v/>
      </c>
      <c r="M391" s="5">
        <f>IFERROR((H391-J391)/I391,"")</f>
        <v/>
      </c>
      <c r="N391" s="5">
        <f>IFERROR(M391,"")</f>
        <v/>
      </c>
      <c r="O391" s="5">
        <f>IFERROR(H391-N391,"")</f>
        <v/>
      </c>
      <c r="P391" s="3" t="inlineStr">
        <is>
          <t>Belum dihitung</t>
        </is>
      </c>
      <c r="Q391" s="3" t="n"/>
    </row>
    <row r="392">
      <c r="A392" s="3" t="n">
        <v>391</v>
      </c>
      <c r="B392" s="3" t="inlineStr">
        <is>
          <t>Desember 2025</t>
        </is>
      </c>
      <c r="C392" s="3">
        <f>'Data Aset'!B394</f>
        <v/>
      </c>
      <c r="D392" s="3">
        <f>'Data Aset'!F394</f>
        <v/>
      </c>
      <c r="E392" s="3" t="inlineStr">
        <is>
          <t>Inventaris Ruangan</t>
        </is>
      </c>
      <c r="F392" s="3">
        <f>'Data Aset'!C394</f>
        <v/>
      </c>
      <c r="G392" s="3">
        <f>'Data Aset'!J394</f>
        <v/>
      </c>
      <c r="H392" s="5">
        <f>'Data Aset'!M394</f>
        <v/>
      </c>
      <c r="I392" s="3">
        <f>'Data Aset'!O394</f>
        <v/>
      </c>
      <c r="J392" s="5" t="n">
        <v>0</v>
      </c>
      <c r="K392" s="3" t="inlineStr">
        <is>
          <t>Garis Lurus</t>
        </is>
      </c>
      <c r="L392" s="5">
        <f>IFERROR(M392/12,"")</f>
        <v/>
      </c>
      <c r="M392" s="5">
        <f>IFERROR((H392-J392)/I392,"")</f>
        <v/>
      </c>
      <c r="N392" s="5">
        <f>IFERROR(M392,"")</f>
        <v/>
      </c>
      <c r="O392" s="5">
        <f>IFERROR(H392-N392,"")</f>
        <v/>
      </c>
      <c r="P392" s="3" t="inlineStr">
        <is>
          <t>Belum dihitung</t>
        </is>
      </c>
      <c r="Q392" s="3" t="n"/>
    </row>
    <row r="393">
      <c r="A393" s="3" t="n">
        <v>392</v>
      </c>
      <c r="B393" s="3" t="inlineStr">
        <is>
          <t>Desember 2025</t>
        </is>
      </c>
      <c r="C393" s="3">
        <f>'Data Aset'!B395</f>
        <v/>
      </c>
      <c r="D393" s="3">
        <f>'Data Aset'!F395</f>
        <v/>
      </c>
      <c r="E393" s="3" t="inlineStr">
        <is>
          <t>Inventaris Ruangan</t>
        </is>
      </c>
      <c r="F393" s="3">
        <f>'Data Aset'!C395</f>
        <v/>
      </c>
      <c r="G393" s="3">
        <f>'Data Aset'!J395</f>
        <v/>
      </c>
      <c r="H393" s="5">
        <f>'Data Aset'!M395</f>
        <v/>
      </c>
      <c r="I393" s="3">
        <f>'Data Aset'!O395</f>
        <v/>
      </c>
      <c r="J393" s="5" t="n">
        <v>0</v>
      </c>
      <c r="K393" s="3" t="inlineStr">
        <is>
          <t>Garis Lurus</t>
        </is>
      </c>
      <c r="L393" s="5">
        <f>IFERROR(M393/12,"")</f>
        <v/>
      </c>
      <c r="M393" s="5">
        <f>IFERROR((H393-J393)/I393,"")</f>
        <v/>
      </c>
      <c r="N393" s="5">
        <f>IFERROR(M393,"")</f>
        <v/>
      </c>
      <c r="O393" s="5">
        <f>IFERROR(H393-N393,"")</f>
        <v/>
      </c>
      <c r="P393" s="3" t="inlineStr">
        <is>
          <t>Belum dihitung</t>
        </is>
      </c>
      <c r="Q393" s="3" t="n"/>
    </row>
    <row r="394">
      <c r="A394" s="3" t="n">
        <v>393</v>
      </c>
      <c r="B394" s="3" t="inlineStr">
        <is>
          <t>Desember 2025</t>
        </is>
      </c>
      <c r="C394" s="3">
        <f>'Data Aset'!B396</f>
        <v/>
      </c>
      <c r="D394" s="3">
        <f>'Data Aset'!F396</f>
        <v/>
      </c>
      <c r="E394" s="3" t="inlineStr">
        <is>
          <t>Inventaris Ruangan</t>
        </is>
      </c>
      <c r="F394" s="3">
        <f>'Data Aset'!C396</f>
        <v/>
      </c>
      <c r="G394" s="3">
        <f>'Data Aset'!J396</f>
        <v/>
      </c>
      <c r="H394" s="5">
        <f>'Data Aset'!M396</f>
        <v/>
      </c>
      <c r="I394" s="3">
        <f>'Data Aset'!O396</f>
        <v/>
      </c>
      <c r="J394" s="5" t="n">
        <v>0</v>
      </c>
      <c r="K394" s="3" t="inlineStr">
        <is>
          <t>Garis Lurus</t>
        </is>
      </c>
      <c r="L394" s="5">
        <f>IFERROR(M394/12,"")</f>
        <v/>
      </c>
      <c r="M394" s="5">
        <f>IFERROR((H394-J394)/I394,"")</f>
        <v/>
      </c>
      <c r="N394" s="5">
        <f>IFERROR(M394,"")</f>
        <v/>
      </c>
      <c r="O394" s="5">
        <f>IFERROR(H394-N394,"")</f>
        <v/>
      </c>
      <c r="P394" s="3" t="inlineStr">
        <is>
          <t>Belum dihitung</t>
        </is>
      </c>
      <c r="Q394" s="3" t="n"/>
    </row>
    <row r="395">
      <c r="A395" s="3" t="n">
        <v>394</v>
      </c>
      <c r="B395" s="3" t="inlineStr">
        <is>
          <t>Desember 2025</t>
        </is>
      </c>
      <c r="C395" s="3">
        <f>'Data Aset'!B397</f>
        <v/>
      </c>
      <c r="D395" s="3">
        <f>'Data Aset'!F397</f>
        <v/>
      </c>
      <c r="E395" s="3" t="inlineStr">
        <is>
          <t>Inventaris Ruangan</t>
        </is>
      </c>
      <c r="F395" s="3">
        <f>'Data Aset'!C397</f>
        <v/>
      </c>
      <c r="G395" s="3">
        <f>'Data Aset'!J397</f>
        <v/>
      </c>
      <c r="H395" s="5">
        <f>'Data Aset'!M397</f>
        <v/>
      </c>
      <c r="I395" s="3">
        <f>'Data Aset'!O397</f>
        <v/>
      </c>
      <c r="J395" s="5" t="n">
        <v>0</v>
      </c>
      <c r="K395" s="3" t="inlineStr">
        <is>
          <t>Garis Lurus</t>
        </is>
      </c>
      <c r="L395" s="5">
        <f>IFERROR(M395/12,"")</f>
        <v/>
      </c>
      <c r="M395" s="5">
        <f>IFERROR((H395-J395)/I395,"")</f>
        <v/>
      </c>
      <c r="N395" s="5">
        <f>IFERROR(M395,"")</f>
        <v/>
      </c>
      <c r="O395" s="5">
        <f>IFERROR(H395-N395,"")</f>
        <v/>
      </c>
      <c r="P395" s="3" t="inlineStr">
        <is>
          <t>Belum dihitung</t>
        </is>
      </c>
      <c r="Q395" s="3" t="n"/>
    </row>
    <row r="396">
      <c r="A396" s="3" t="n">
        <v>395</v>
      </c>
      <c r="B396" s="3" t="inlineStr">
        <is>
          <t>Desember 2025</t>
        </is>
      </c>
      <c r="C396" s="3">
        <f>'Data Aset'!B398</f>
        <v/>
      </c>
      <c r="D396" s="3">
        <f>'Data Aset'!F398</f>
        <v/>
      </c>
      <c r="E396" s="3" t="inlineStr">
        <is>
          <t>Inventaris Ruangan</t>
        </is>
      </c>
      <c r="F396" s="3">
        <f>'Data Aset'!C398</f>
        <v/>
      </c>
      <c r="G396" s="3">
        <f>'Data Aset'!J398</f>
        <v/>
      </c>
      <c r="H396" s="5">
        <f>'Data Aset'!M398</f>
        <v/>
      </c>
      <c r="I396" s="3">
        <f>'Data Aset'!O398</f>
        <v/>
      </c>
      <c r="J396" s="5" t="n">
        <v>0</v>
      </c>
      <c r="K396" s="3" t="inlineStr">
        <is>
          <t>Garis Lurus</t>
        </is>
      </c>
      <c r="L396" s="5">
        <f>IFERROR(M396/12,"")</f>
        <v/>
      </c>
      <c r="M396" s="5">
        <f>IFERROR((H396-J396)/I396,"")</f>
        <v/>
      </c>
      <c r="N396" s="5">
        <f>IFERROR(M396,"")</f>
        <v/>
      </c>
      <c r="O396" s="5">
        <f>IFERROR(H396-N396,"")</f>
        <v/>
      </c>
      <c r="P396" s="3" t="inlineStr">
        <is>
          <t>Belum dihitung</t>
        </is>
      </c>
      <c r="Q396" s="3" t="n"/>
    </row>
    <row r="397">
      <c r="A397" s="3" t="n">
        <v>396</v>
      </c>
      <c r="B397" s="3" t="inlineStr">
        <is>
          <t>Desember 2025</t>
        </is>
      </c>
      <c r="C397" s="3">
        <f>'Data Aset'!B399</f>
        <v/>
      </c>
      <c r="D397" s="3">
        <f>'Data Aset'!F399</f>
        <v/>
      </c>
      <c r="E397" s="3" t="inlineStr">
        <is>
          <t>Inventaris Ruangan</t>
        </is>
      </c>
      <c r="F397" s="3">
        <f>'Data Aset'!C399</f>
        <v/>
      </c>
      <c r="G397" s="3">
        <f>'Data Aset'!J399</f>
        <v/>
      </c>
      <c r="H397" s="5">
        <f>'Data Aset'!M399</f>
        <v/>
      </c>
      <c r="I397" s="3">
        <f>'Data Aset'!O399</f>
        <v/>
      </c>
      <c r="J397" s="5" t="n">
        <v>0</v>
      </c>
      <c r="K397" s="3" t="inlineStr">
        <is>
          <t>Garis Lurus</t>
        </is>
      </c>
      <c r="L397" s="5">
        <f>IFERROR(M397/12,"")</f>
        <v/>
      </c>
      <c r="M397" s="5">
        <f>IFERROR((H397-J397)/I397,"")</f>
        <v/>
      </c>
      <c r="N397" s="5">
        <f>IFERROR(M397,"")</f>
        <v/>
      </c>
      <c r="O397" s="5">
        <f>IFERROR(H397-N397,"")</f>
        <v/>
      </c>
      <c r="P397" s="3" t="inlineStr">
        <is>
          <t>Belum dihitung</t>
        </is>
      </c>
      <c r="Q397" s="3" t="n"/>
    </row>
    <row r="398">
      <c r="A398" s="3" t="n">
        <v>397</v>
      </c>
      <c r="B398" s="3" t="inlineStr">
        <is>
          <t>Desember 2025</t>
        </is>
      </c>
      <c r="C398" s="3">
        <f>'Data Aset'!B400</f>
        <v/>
      </c>
      <c r="D398" s="3">
        <f>'Data Aset'!F400</f>
        <v/>
      </c>
      <c r="E398" s="3" t="inlineStr">
        <is>
          <t>Inventaris Ruangan</t>
        </is>
      </c>
      <c r="F398" s="3">
        <f>'Data Aset'!C400</f>
        <v/>
      </c>
      <c r="G398" s="3">
        <f>'Data Aset'!J400</f>
        <v/>
      </c>
      <c r="H398" s="5">
        <f>'Data Aset'!M400</f>
        <v/>
      </c>
      <c r="I398" s="3">
        <f>'Data Aset'!O400</f>
        <v/>
      </c>
      <c r="J398" s="5" t="n">
        <v>0</v>
      </c>
      <c r="K398" s="3" t="inlineStr">
        <is>
          <t>Garis Lurus</t>
        </is>
      </c>
      <c r="L398" s="5">
        <f>IFERROR(M398/12,"")</f>
        <v/>
      </c>
      <c r="M398" s="5">
        <f>IFERROR((H398-J398)/I398,"")</f>
        <v/>
      </c>
      <c r="N398" s="5">
        <f>IFERROR(M398,"")</f>
        <v/>
      </c>
      <c r="O398" s="5">
        <f>IFERROR(H398-N398,"")</f>
        <v/>
      </c>
      <c r="P398" s="3" t="inlineStr">
        <is>
          <t>Belum dihitung</t>
        </is>
      </c>
      <c r="Q398" s="3" t="n"/>
    </row>
    <row r="399">
      <c r="A399" s="3" t="n">
        <v>398</v>
      </c>
      <c r="B399" s="3" t="inlineStr">
        <is>
          <t>Desember 2025</t>
        </is>
      </c>
      <c r="C399" s="3">
        <f>'Data Aset'!B401</f>
        <v/>
      </c>
      <c r="D399" s="3">
        <f>'Data Aset'!F401</f>
        <v/>
      </c>
      <c r="E399" s="3" t="inlineStr">
        <is>
          <t>Inventaris Ruangan</t>
        </is>
      </c>
      <c r="F399" s="3">
        <f>'Data Aset'!C401</f>
        <v/>
      </c>
      <c r="G399" s="3">
        <f>'Data Aset'!J401</f>
        <v/>
      </c>
      <c r="H399" s="5">
        <f>'Data Aset'!M401</f>
        <v/>
      </c>
      <c r="I399" s="3">
        <f>'Data Aset'!O401</f>
        <v/>
      </c>
      <c r="J399" s="5" t="n">
        <v>0</v>
      </c>
      <c r="K399" s="3" t="inlineStr">
        <is>
          <t>Garis Lurus</t>
        </is>
      </c>
      <c r="L399" s="5">
        <f>IFERROR(M399/12,"")</f>
        <v/>
      </c>
      <c r="M399" s="5">
        <f>IFERROR((H399-J399)/I399,"")</f>
        <v/>
      </c>
      <c r="N399" s="5">
        <f>IFERROR(M399,"")</f>
        <v/>
      </c>
      <c r="O399" s="5">
        <f>IFERROR(H399-N399,"")</f>
        <v/>
      </c>
      <c r="P399" s="3" t="inlineStr">
        <is>
          <t>Belum dihitung</t>
        </is>
      </c>
      <c r="Q399" s="3" t="n"/>
    </row>
    <row r="400">
      <c r="A400" s="3" t="n">
        <v>399</v>
      </c>
      <c r="B400" s="3" t="inlineStr">
        <is>
          <t>Desember 2025</t>
        </is>
      </c>
      <c r="C400" s="3">
        <f>'Data Aset'!B402</f>
        <v/>
      </c>
      <c r="D400" s="3">
        <f>'Data Aset'!F402</f>
        <v/>
      </c>
      <c r="E400" s="3" t="inlineStr">
        <is>
          <t>Inventaris Ruangan</t>
        </is>
      </c>
      <c r="F400" s="3">
        <f>'Data Aset'!C402</f>
        <v/>
      </c>
      <c r="G400" s="3">
        <f>'Data Aset'!J402</f>
        <v/>
      </c>
      <c r="H400" s="5">
        <f>'Data Aset'!M402</f>
        <v/>
      </c>
      <c r="I400" s="3">
        <f>'Data Aset'!O402</f>
        <v/>
      </c>
      <c r="J400" s="5" t="n">
        <v>0</v>
      </c>
      <c r="K400" s="3" t="inlineStr">
        <is>
          <t>Garis Lurus</t>
        </is>
      </c>
      <c r="L400" s="5">
        <f>IFERROR(M400/12,"")</f>
        <v/>
      </c>
      <c r="M400" s="5">
        <f>IFERROR((H400-J400)/I400,"")</f>
        <v/>
      </c>
      <c r="N400" s="5">
        <f>IFERROR(M400,"")</f>
        <v/>
      </c>
      <c r="O400" s="5">
        <f>IFERROR(H400-N400,"")</f>
        <v/>
      </c>
      <c r="P400" s="3" t="inlineStr">
        <is>
          <t>Belum dihitung</t>
        </is>
      </c>
      <c r="Q400" s="3" t="n"/>
    </row>
    <row r="401">
      <c r="A401" s="3" t="n">
        <v>400</v>
      </c>
      <c r="B401" s="3" t="inlineStr">
        <is>
          <t>Desember 2025</t>
        </is>
      </c>
      <c r="C401" s="3">
        <f>'Data Aset'!B403</f>
        <v/>
      </c>
      <c r="D401" s="3">
        <f>'Data Aset'!F403</f>
        <v/>
      </c>
      <c r="E401" s="3" t="inlineStr">
        <is>
          <t>Inventaris Ruangan</t>
        </is>
      </c>
      <c r="F401" s="3">
        <f>'Data Aset'!C403</f>
        <v/>
      </c>
      <c r="G401" s="3">
        <f>'Data Aset'!J403</f>
        <v/>
      </c>
      <c r="H401" s="5">
        <f>'Data Aset'!M403</f>
        <v/>
      </c>
      <c r="I401" s="3">
        <f>'Data Aset'!O403</f>
        <v/>
      </c>
      <c r="J401" s="5" t="n">
        <v>0</v>
      </c>
      <c r="K401" s="3" t="inlineStr">
        <is>
          <t>Garis Lurus</t>
        </is>
      </c>
      <c r="L401" s="5">
        <f>IFERROR(M401/12,"")</f>
        <v/>
      </c>
      <c r="M401" s="5">
        <f>IFERROR((H401-J401)/I401,"")</f>
        <v/>
      </c>
      <c r="N401" s="5">
        <f>IFERROR(M401,"")</f>
        <v/>
      </c>
      <c r="O401" s="5">
        <f>IFERROR(H401-N401,"")</f>
        <v/>
      </c>
      <c r="P401" s="3" t="inlineStr">
        <is>
          <t>Belum dihitung</t>
        </is>
      </c>
      <c r="Q401" s="3" t="n"/>
    </row>
    <row r="402">
      <c r="A402" s="3" t="n">
        <v>401</v>
      </c>
      <c r="B402" s="3" t="inlineStr">
        <is>
          <t>Desember 2025</t>
        </is>
      </c>
      <c r="C402" s="3">
        <f>'Data Aset'!B404</f>
        <v/>
      </c>
      <c r="D402" s="3">
        <f>'Data Aset'!F404</f>
        <v/>
      </c>
      <c r="E402" s="3" t="inlineStr">
        <is>
          <t>Inventaris Ruangan</t>
        </is>
      </c>
      <c r="F402" s="3">
        <f>'Data Aset'!C404</f>
        <v/>
      </c>
      <c r="G402" s="3">
        <f>'Data Aset'!J404</f>
        <v/>
      </c>
      <c r="H402" s="5">
        <f>'Data Aset'!M404</f>
        <v/>
      </c>
      <c r="I402" s="3">
        <f>'Data Aset'!O404</f>
        <v/>
      </c>
      <c r="J402" s="5" t="n">
        <v>0</v>
      </c>
      <c r="K402" s="3" t="inlineStr">
        <is>
          <t>Garis Lurus</t>
        </is>
      </c>
      <c r="L402" s="5">
        <f>IFERROR(M402/12,"")</f>
        <v/>
      </c>
      <c r="M402" s="5">
        <f>IFERROR((H402-J402)/I402,"")</f>
        <v/>
      </c>
      <c r="N402" s="5">
        <f>IFERROR(M402,"")</f>
        <v/>
      </c>
      <c r="O402" s="5">
        <f>IFERROR(H402-N402,"")</f>
        <v/>
      </c>
      <c r="P402" s="3" t="inlineStr">
        <is>
          <t>Belum dihitung</t>
        </is>
      </c>
      <c r="Q402" s="3" t="n"/>
    </row>
    <row r="403">
      <c r="A403" s="3" t="n">
        <v>402</v>
      </c>
      <c r="B403" s="3" t="inlineStr">
        <is>
          <t>Desember 2025</t>
        </is>
      </c>
      <c r="C403" s="3">
        <f>'Data Aset'!B405</f>
        <v/>
      </c>
      <c r="D403" s="3">
        <f>'Data Aset'!F405</f>
        <v/>
      </c>
      <c r="E403" s="3" t="inlineStr">
        <is>
          <t>Inventaris Ruangan</t>
        </is>
      </c>
      <c r="F403" s="3">
        <f>'Data Aset'!C405</f>
        <v/>
      </c>
      <c r="G403" s="3">
        <f>'Data Aset'!J405</f>
        <v/>
      </c>
      <c r="H403" s="5">
        <f>'Data Aset'!M405</f>
        <v/>
      </c>
      <c r="I403" s="3">
        <f>'Data Aset'!O405</f>
        <v/>
      </c>
      <c r="J403" s="5" t="n">
        <v>0</v>
      </c>
      <c r="K403" s="3" t="inlineStr">
        <is>
          <t>Garis Lurus</t>
        </is>
      </c>
      <c r="L403" s="5">
        <f>IFERROR(M403/12,"")</f>
        <v/>
      </c>
      <c r="M403" s="5">
        <f>IFERROR((H403-J403)/I403,"")</f>
        <v/>
      </c>
      <c r="N403" s="5">
        <f>IFERROR(M403,"")</f>
        <v/>
      </c>
      <c r="O403" s="5">
        <f>IFERROR(H403-N403,"")</f>
        <v/>
      </c>
      <c r="P403" s="3" t="inlineStr">
        <is>
          <t>Belum dihitung</t>
        </is>
      </c>
      <c r="Q403" s="3" t="n"/>
    </row>
    <row r="404">
      <c r="A404" s="3" t="n">
        <v>403</v>
      </c>
      <c r="B404" s="3" t="inlineStr">
        <is>
          <t>Desember 2025</t>
        </is>
      </c>
      <c r="C404" s="3">
        <f>'Data Aset'!B406</f>
        <v/>
      </c>
      <c r="D404" s="3">
        <f>'Data Aset'!F406</f>
        <v/>
      </c>
      <c r="E404" s="3" t="inlineStr">
        <is>
          <t>Inventaris Ruangan</t>
        </is>
      </c>
      <c r="F404" s="3">
        <f>'Data Aset'!C406</f>
        <v/>
      </c>
      <c r="G404" s="3">
        <f>'Data Aset'!J406</f>
        <v/>
      </c>
      <c r="H404" s="5">
        <f>'Data Aset'!M406</f>
        <v/>
      </c>
      <c r="I404" s="3">
        <f>'Data Aset'!O406</f>
        <v/>
      </c>
      <c r="J404" s="5" t="n">
        <v>0</v>
      </c>
      <c r="K404" s="3" t="inlineStr">
        <is>
          <t>Garis Lurus</t>
        </is>
      </c>
      <c r="L404" s="5">
        <f>IFERROR(M404/12,"")</f>
        <v/>
      </c>
      <c r="M404" s="5">
        <f>IFERROR((H404-J404)/I404,"")</f>
        <v/>
      </c>
      <c r="N404" s="5">
        <f>IFERROR(M404,"")</f>
        <v/>
      </c>
      <c r="O404" s="5">
        <f>IFERROR(H404-N404,"")</f>
        <v/>
      </c>
      <c r="P404" s="3" t="inlineStr">
        <is>
          <t>Belum dihitung</t>
        </is>
      </c>
      <c r="Q404" s="3" t="n"/>
    </row>
    <row r="405">
      <c r="A405" s="3" t="n">
        <v>404</v>
      </c>
      <c r="B405" s="3" t="inlineStr">
        <is>
          <t>Desember 2025</t>
        </is>
      </c>
      <c r="C405" s="3">
        <f>'Data Aset'!B407</f>
        <v/>
      </c>
      <c r="D405" s="3">
        <f>'Data Aset'!F407</f>
        <v/>
      </c>
      <c r="E405" s="3" t="inlineStr">
        <is>
          <t>Inventaris Ruangan</t>
        </is>
      </c>
      <c r="F405" s="3">
        <f>'Data Aset'!C407</f>
        <v/>
      </c>
      <c r="G405" s="3">
        <f>'Data Aset'!J407</f>
        <v/>
      </c>
      <c r="H405" s="5">
        <f>'Data Aset'!M407</f>
        <v/>
      </c>
      <c r="I405" s="3">
        <f>'Data Aset'!O407</f>
        <v/>
      </c>
      <c r="J405" s="5" t="n">
        <v>0</v>
      </c>
      <c r="K405" s="3" t="inlineStr">
        <is>
          <t>Garis Lurus</t>
        </is>
      </c>
      <c r="L405" s="5">
        <f>IFERROR(M405/12,"")</f>
        <v/>
      </c>
      <c r="M405" s="5">
        <f>IFERROR((H405-J405)/I405,"")</f>
        <v/>
      </c>
      <c r="N405" s="5">
        <f>IFERROR(M405,"")</f>
        <v/>
      </c>
      <c r="O405" s="5">
        <f>IFERROR(H405-N405,"")</f>
        <v/>
      </c>
      <c r="P405" s="3" t="inlineStr">
        <is>
          <t>Belum dihitung</t>
        </is>
      </c>
      <c r="Q405" s="3" t="n"/>
    </row>
    <row r="406">
      <c r="A406" s="3" t="n">
        <v>405</v>
      </c>
      <c r="B406" s="3" t="inlineStr">
        <is>
          <t>Desember 2025</t>
        </is>
      </c>
      <c r="C406" s="3">
        <f>'Data Aset'!B408</f>
        <v/>
      </c>
      <c r="D406" s="3">
        <f>'Data Aset'!F408</f>
        <v/>
      </c>
      <c r="E406" s="3" t="inlineStr">
        <is>
          <t>Inventaris Ruangan</t>
        </is>
      </c>
      <c r="F406" s="3">
        <f>'Data Aset'!C408</f>
        <v/>
      </c>
      <c r="G406" s="3">
        <f>'Data Aset'!J408</f>
        <v/>
      </c>
      <c r="H406" s="5">
        <f>'Data Aset'!M408</f>
        <v/>
      </c>
      <c r="I406" s="3">
        <f>'Data Aset'!O408</f>
        <v/>
      </c>
      <c r="J406" s="5" t="n">
        <v>0</v>
      </c>
      <c r="K406" s="3" t="inlineStr">
        <is>
          <t>Garis Lurus</t>
        </is>
      </c>
      <c r="L406" s="5">
        <f>IFERROR(M406/12,"")</f>
        <v/>
      </c>
      <c r="M406" s="5">
        <f>IFERROR((H406-J406)/I406,"")</f>
        <v/>
      </c>
      <c r="N406" s="5">
        <f>IFERROR(M406,"")</f>
        <v/>
      </c>
      <c r="O406" s="5">
        <f>IFERROR(H406-N406,"")</f>
        <v/>
      </c>
      <c r="P406" s="3" t="inlineStr">
        <is>
          <t>Belum dihitung</t>
        </is>
      </c>
      <c r="Q406" s="3" t="n"/>
    </row>
    <row r="407">
      <c r="A407" s="3" t="n">
        <v>406</v>
      </c>
      <c r="B407" s="3" t="inlineStr">
        <is>
          <t>Desember 2025</t>
        </is>
      </c>
      <c r="C407" s="3">
        <f>'Data Aset'!B409</f>
        <v/>
      </c>
      <c r="D407" s="3">
        <f>'Data Aset'!F409</f>
        <v/>
      </c>
      <c r="E407" s="3" t="inlineStr">
        <is>
          <t>Inventaris Ruangan</t>
        </is>
      </c>
      <c r="F407" s="3">
        <f>'Data Aset'!C409</f>
        <v/>
      </c>
      <c r="G407" s="3">
        <f>'Data Aset'!J409</f>
        <v/>
      </c>
      <c r="H407" s="5">
        <f>'Data Aset'!M409</f>
        <v/>
      </c>
      <c r="I407" s="3">
        <f>'Data Aset'!O409</f>
        <v/>
      </c>
      <c r="J407" s="5" t="n">
        <v>0</v>
      </c>
      <c r="K407" s="3" t="inlineStr">
        <is>
          <t>Garis Lurus</t>
        </is>
      </c>
      <c r="L407" s="5">
        <f>IFERROR(M407/12,"")</f>
        <v/>
      </c>
      <c r="M407" s="5">
        <f>IFERROR((H407-J407)/I407,"")</f>
        <v/>
      </c>
      <c r="N407" s="5">
        <f>IFERROR(M407,"")</f>
        <v/>
      </c>
      <c r="O407" s="5">
        <f>IFERROR(H407-N407,"")</f>
        <v/>
      </c>
      <c r="P407" s="3" t="inlineStr">
        <is>
          <t>Belum dihitung</t>
        </is>
      </c>
      <c r="Q407" s="3" t="n"/>
    </row>
    <row r="408">
      <c r="A408" s="3" t="n">
        <v>407</v>
      </c>
      <c r="B408" s="3" t="inlineStr">
        <is>
          <t>Desember 2025</t>
        </is>
      </c>
      <c r="C408" s="3">
        <f>'Data Aset'!B410</f>
        <v/>
      </c>
      <c r="D408" s="3">
        <f>'Data Aset'!F410</f>
        <v/>
      </c>
      <c r="E408" s="3" t="inlineStr">
        <is>
          <t>Inventaris Ruangan</t>
        </is>
      </c>
      <c r="F408" s="3">
        <f>'Data Aset'!C410</f>
        <v/>
      </c>
      <c r="G408" s="3">
        <f>'Data Aset'!J410</f>
        <v/>
      </c>
      <c r="H408" s="5">
        <f>'Data Aset'!M410</f>
        <v/>
      </c>
      <c r="I408" s="3">
        <f>'Data Aset'!O410</f>
        <v/>
      </c>
      <c r="J408" s="5" t="n">
        <v>0</v>
      </c>
      <c r="K408" s="3" t="inlineStr">
        <is>
          <t>Garis Lurus</t>
        </is>
      </c>
      <c r="L408" s="5">
        <f>IFERROR(M408/12,"")</f>
        <v/>
      </c>
      <c r="M408" s="5">
        <f>IFERROR((H408-J408)/I408,"")</f>
        <v/>
      </c>
      <c r="N408" s="5">
        <f>IFERROR(M408,"")</f>
        <v/>
      </c>
      <c r="O408" s="5">
        <f>IFERROR(H408-N408,"")</f>
        <v/>
      </c>
      <c r="P408" s="3" t="inlineStr">
        <is>
          <t>Belum dihitung</t>
        </is>
      </c>
      <c r="Q408" s="3" t="n"/>
    </row>
    <row r="409">
      <c r="A409" s="3" t="n">
        <v>408</v>
      </c>
      <c r="B409" s="3" t="inlineStr">
        <is>
          <t>Desember 2025</t>
        </is>
      </c>
      <c r="C409" s="3">
        <f>'Data Aset'!B411</f>
        <v/>
      </c>
      <c r="D409" s="3">
        <f>'Data Aset'!F411</f>
        <v/>
      </c>
      <c r="E409" s="3" t="inlineStr">
        <is>
          <t>Inventaris Ruangan</t>
        </is>
      </c>
      <c r="F409" s="3">
        <f>'Data Aset'!C411</f>
        <v/>
      </c>
      <c r="G409" s="3">
        <f>'Data Aset'!J411</f>
        <v/>
      </c>
      <c r="H409" s="5">
        <f>'Data Aset'!M411</f>
        <v/>
      </c>
      <c r="I409" s="3">
        <f>'Data Aset'!O411</f>
        <v/>
      </c>
      <c r="J409" s="5" t="n">
        <v>0</v>
      </c>
      <c r="K409" s="3" t="inlineStr">
        <is>
          <t>Garis Lurus</t>
        </is>
      </c>
      <c r="L409" s="5">
        <f>IFERROR(M409/12,"")</f>
        <v/>
      </c>
      <c r="M409" s="5">
        <f>IFERROR((H409-J409)/I409,"")</f>
        <v/>
      </c>
      <c r="N409" s="5">
        <f>IFERROR(M409,"")</f>
        <v/>
      </c>
      <c r="O409" s="5">
        <f>IFERROR(H409-N409,"")</f>
        <v/>
      </c>
      <c r="P409" s="3" t="inlineStr">
        <is>
          <t>Belum dihitung</t>
        </is>
      </c>
      <c r="Q409" s="3" t="n"/>
    </row>
    <row r="410">
      <c r="A410" s="3" t="n">
        <v>409</v>
      </c>
      <c r="B410" s="3" t="inlineStr">
        <is>
          <t>Desember 2025</t>
        </is>
      </c>
      <c r="C410" s="3">
        <f>'Data Aset'!B412</f>
        <v/>
      </c>
      <c r="D410" s="3">
        <f>'Data Aset'!F412</f>
        <v/>
      </c>
      <c r="E410" s="3" t="inlineStr">
        <is>
          <t>Inventaris Ruangan</t>
        </is>
      </c>
      <c r="F410" s="3">
        <f>'Data Aset'!C412</f>
        <v/>
      </c>
      <c r="G410" s="3">
        <f>'Data Aset'!J412</f>
        <v/>
      </c>
      <c r="H410" s="5">
        <f>'Data Aset'!M412</f>
        <v/>
      </c>
      <c r="I410" s="3">
        <f>'Data Aset'!O412</f>
        <v/>
      </c>
      <c r="J410" s="5" t="n">
        <v>0</v>
      </c>
      <c r="K410" s="3" t="inlineStr">
        <is>
          <t>Garis Lurus</t>
        </is>
      </c>
      <c r="L410" s="5">
        <f>IFERROR(M410/12,"")</f>
        <v/>
      </c>
      <c r="M410" s="5">
        <f>IFERROR((H410-J410)/I410,"")</f>
        <v/>
      </c>
      <c r="N410" s="5">
        <f>IFERROR(M410,"")</f>
        <v/>
      </c>
      <c r="O410" s="5">
        <f>IFERROR(H410-N410,"")</f>
        <v/>
      </c>
      <c r="P410" s="3" t="inlineStr">
        <is>
          <t>Belum dihitung</t>
        </is>
      </c>
      <c r="Q410" s="3" t="n"/>
    </row>
    <row r="411">
      <c r="A411" s="3" t="n">
        <v>410</v>
      </c>
      <c r="B411" s="3" t="inlineStr">
        <is>
          <t>Desember 2025</t>
        </is>
      </c>
      <c r="C411" s="3">
        <f>'Data Aset'!B413</f>
        <v/>
      </c>
      <c r="D411" s="3">
        <f>'Data Aset'!F413</f>
        <v/>
      </c>
      <c r="E411" s="3" t="inlineStr">
        <is>
          <t>Inventaris Ruangan</t>
        </is>
      </c>
      <c r="F411" s="3">
        <f>'Data Aset'!C413</f>
        <v/>
      </c>
      <c r="G411" s="3">
        <f>'Data Aset'!J413</f>
        <v/>
      </c>
      <c r="H411" s="5">
        <f>'Data Aset'!M413</f>
        <v/>
      </c>
      <c r="I411" s="3">
        <f>'Data Aset'!O413</f>
        <v/>
      </c>
      <c r="J411" s="5" t="n">
        <v>0</v>
      </c>
      <c r="K411" s="3" t="inlineStr">
        <is>
          <t>Garis Lurus</t>
        </is>
      </c>
      <c r="L411" s="5">
        <f>IFERROR(M411/12,"")</f>
        <v/>
      </c>
      <c r="M411" s="5">
        <f>IFERROR((H411-J411)/I411,"")</f>
        <v/>
      </c>
      <c r="N411" s="5">
        <f>IFERROR(M411,"")</f>
        <v/>
      </c>
      <c r="O411" s="5">
        <f>IFERROR(H411-N411,"")</f>
        <v/>
      </c>
      <c r="P411" s="3" t="inlineStr">
        <is>
          <t>Belum dihitung</t>
        </is>
      </c>
      <c r="Q411" s="3" t="n"/>
    </row>
    <row r="412">
      <c r="A412" s="3" t="n">
        <v>411</v>
      </c>
      <c r="B412" s="3" t="inlineStr">
        <is>
          <t>Desember 2025</t>
        </is>
      </c>
      <c r="C412" s="3">
        <f>'Data Aset'!B414</f>
        <v/>
      </c>
      <c r="D412" s="3">
        <f>'Data Aset'!F414</f>
        <v/>
      </c>
      <c r="E412" s="3" t="inlineStr">
        <is>
          <t>Inventaris Ruangan</t>
        </is>
      </c>
      <c r="F412" s="3">
        <f>'Data Aset'!C414</f>
        <v/>
      </c>
      <c r="G412" s="3">
        <f>'Data Aset'!J414</f>
        <v/>
      </c>
      <c r="H412" s="5">
        <f>'Data Aset'!M414</f>
        <v/>
      </c>
      <c r="I412" s="3">
        <f>'Data Aset'!O414</f>
        <v/>
      </c>
      <c r="J412" s="5" t="n">
        <v>0</v>
      </c>
      <c r="K412" s="3" t="inlineStr">
        <is>
          <t>Garis Lurus</t>
        </is>
      </c>
      <c r="L412" s="5">
        <f>IFERROR(M412/12,"")</f>
        <v/>
      </c>
      <c r="M412" s="5">
        <f>IFERROR((H412-J412)/I412,"")</f>
        <v/>
      </c>
      <c r="N412" s="5">
        <f>IFERROR(M412,"")</f>
        <v/>
      </c>
      <c r="O412" s="5">
        <f>IFERROR(H412-N412,"")</f>
        <v/>
      </c>
      <c r="P412" s="3" t="inlineStr">
        <is>
          <t>Belum dihitung</t>
        </is>
      </c>
      <c r="Q412" s="3" t="n"/>
    </row>
    <row r="413">
      <c r="A413" s="3" t="n">
        <v>412</v>
      </c>
      <c r="B413" s="3" t="inlineStr">
        <is>
          <t>Desember 2025</t>
        </is>
      </c>
      <c r="C413" s="3">
        <f>'Data Aset'!B415</f>
        <v/>
      </c>
      <c r="D413" s="3">
        <f>'Data Aset'!F415</f>
        <v/>
      </c>
      <c r="E413" s="3" t="inlineStr">
        <is>
          <t>Inventaris Ruangan</t>
        </is>
      </c>
      <c r="F413" s="3">
        <f>'Data Aset'!C415</f>
        <v/>
      </c>
      <c r="G413" s="3">
        <f>'Data Aset'!J415</f>
        <v/>
      </c>
      <c r="H413" s="5">
        <f>'Data Aset'!M415</f>
        <v/>
      </c>
      <c r="I413" s="3">
        <f>'Data Aset'!O415</f>
        <v/>
      </c>
      <c r="J413" s="5" t="n">
        <v>0</v>
      </c>
      <c r="K413" s="3" t="inlineStr">
        <is>
          <t>Garis Lurus</t>
        </is>
      </c>
      <c r="L413" s="5">
        <f>IFERROR(M413/12,"")</f>
        <v/>
      </c>
      <c r="M413" s="5">
        <f>IFERROR((H413-J413)/I413,"")</f>
        <v/>
      </c>
      <c r="N413" s="5">
        <f>IFERROR(M413,"")</f>
        <v/>
      </c>
      <c r="O413" s="5">
        <f>IFERROR(H413-N413,"")</f>
        <v/>
      </c>
      <c r="P413" s="3" t="inlineStr">
        <is>
          <t>Belum dihitung</t>
        </is>
      </c>
      <c r="Q413" s="3" t="n"/>
    </row>
    <row r="414">
      <c r="A414" s="3" t="n">
        <v>413</v>
      </c>
      <c r="B414" s="3" t="inlineStr">
        <is>
          <t>Desember 2025</t>
        </is>
      </c>
      <c r="C414" s="3">
        <f>'Data Aset'!B416</f>
        <v/>
      </c>
      <c r="D414" s="3">
        <f>'Data Aset'!F416</f>
        <v/>
      </c>
      <c r="E414" s="3" t="inlineStr">
        <is>
          <t>Inventaris Ruangan</t>
        </is>
      </c>
      <c r="F414" s="3">
        <f>'Data Aset'!C416</f>
        <v/>
      </c>
      <c r="G414" s="3">
        <f>'Data Aset'!J416</f>
        <v/>
      </c>
      <c r="H414" s="5">
        <f>'Data Aset'!M416</f>
        <v/>
      </c>
      <c r="I414" s="3">
        <f>'Data Aset'!O416</f>
        <v/>
      </c>
      <c r="J414" s="5" t="n">
        <v>0</v>
      </c>
      <c r="K414" s="3" t="inlineStr">
        <is>
          <t>Garis Lurus</t>
        </is>
      </c>
      <c r="L414" s="5">
        <f>IFERROR(M414/12,"")</f>
        <v/>
      </c>
      <c r="M414" s="5">
        <f>IFERROR((H414-J414)/I414,"")</f>
        <v/>
      </c>
      <c r="N414" s="5">
        <f>IFERROR(M414,"")</f>
        <v/>
      </c>
      <c r="O414" s="5">
        <f>IFERROR(H414-N414,"")</f>
        <v/>
      </c>
      <c r="P414" s="3" t="inlineStr">
        <is>
          <t>Belum dihitung</t>
        </is>
      </c>
      <c r="Q414" s="3" t="n"/>
    </row>
    <row r="415">
      <c r="A415" s="3" t="n">
        <v>414</v>
      </c>
      <c r="B415" s="3" t="inlineStr">
        <is>
          <t>Desember 2025</t>
        </is>
      </c>
      <c r="C415" s="3">
        <f>'Data Aset'!B417</f>
        <v/>
      </c>
      <c r="D415" s="3">
        <f>'Data Aset'!F417</f>
        <v/>
      </c>
      <c r="E415" s="3" t="inlineStr">
        <is>
          <t>Inventaris Ruangan</t>
        </is>
      </c>
      <c r="F415" s="3">
        <f>'Data Aset'!C417</f>
        <v/>
      </c>
      <c r="G415" s="3">
        <f>'Data Aset'!J417</f>
        <v/>
      </c>
      <c r="H415" s="5">
        <f>'Data Aset'!M417</f>
        <v/>
      </c>
      <c r="I415" s="3">
        <f>'Data Aset'!O417</f>
        <v/>
      </c>
      <c r="J415" s="5" t="n">
        <v>0</v>
      </c>
      <c r="K415" s="3" t="inlineStr">
        <is>
          <t>Garis Lurus</t>
        </is>
      </c>
      <c r="L415" s="5">
        <f>IFERROR(M415/12,"")</f>
        <v/>
      </c>
      <c r="M415" s="5">
        <f>IFERROR((H415-J415)/I415,"")</f>
        <v/>
      </c>
      <c r="N415" s="5">
        <f>IFERROR(M415,"")</f>
        <v/>
      </c>
      <c r="O415" s="5">
        <f>IFERROR(H415-N415,"")</f>
        <v/>
      </c>
      <c r="P415" s="3" t="inlineStr">
        <is>
          <t>Belum dihitung</t>
        </is>
      </c>
      <c r="Q415" s="3" t="n"/>
    </row>
    <row r="416">
      <c r="A416" s="3" t="n">
        <v>415</v>
      </c>
      <c r="B416" s="3" t="inlineStr">
        <is>
          <t>Desember 2025</t>
        </is>
      </c>
      <c r="C416" s="3">
        <f>'Data Aset'!B418</f>
        <v/>
      </c>
      <c r="D416" s="3">
        <f>'Data Aset'!F418</f>
        <v/>
      </c>
      <c r="E416" s="3" t="inlineStr">
        <is>
          <t>Inventaris Ruangan</t>
        </is>
      </c>
      <c r="F416" s="3">
        <f>'Data Aset'!C418</f>
        <v/>
      </c>
      <c r="G416" s="3">
        <f>'Data Aset'!J418</f>
        <v/>
      </c>
      <c r="H416" s="5">
        <f>'Data Aset'!M418</f>
        <v/>
      </c>
      <c r="I416" s="3">
        <f>'Data Aset'!O418</f>
        <v/>
      </c>
      <c r="J416" s="5" t="n">
        <v>0</v>
      </c>
      <c r="K416" s="3" t="inlineStr">
        <is>
          <t>Garis Lurus</t>
        </is>
      </c>
      <c r="L416" s="5">
        <f>IFERROR(M416/12,"")</f>
        <v/>
      </c>
      <c r="M416" s="5">
        <f>IFERROR((H416-J416)/I416,"")</f>
        <v/>
      </c>
      <c r="N416" s="5">
        <f>IFERROR(M416,"")</f>
        <v/>
      </c>
      <c r="O416" s="5">
        <f>IFERROR(H416-N416,"")</f>
        <v/>
      </c>
      <c r="P416" s="3" t="inlineStr">
        <is>
          <t>Belum dihitung</t>
        </is>
      </c>
      <c r="Q416" s="3" t="n"/>
    </row>
    <row r="417">
      <c r="A417" s="3" t="n">
        <v>416</v>
      </c>
      <c r="B417" s="3" t="inlineStr">
        <is>
          <t>Desember 2025</t>
        </is>
      </c>
      <c r="C417" s="3">
        <f>'Data Aset'!B419</f>
        <v/>
      </c>
      <c r="D417" s="3">
        <f>'Data Aset'!F419</f>
        <v/>
      </c>
      <c r="E417" s="3" t="inlineStr">
        <is>
          <t>Inventaris Ruangan</t>
        </is>
      </c>
      <c r="F417" s="3">
        <f>'Data Aset'!C419</f>
        <v/>
      </c>
      <c r="G417" s="3">
        <f>'Data Aset'!J419</f>
        <v/>
      </c>
      <c r="H417" s="5">
        <f>'Data Aset'!M419</f>
        <v/>
      </c>
      <c r="I417" s="3">
        <f>'Data Aset'!O419</f>
        <v/>
      </c>
      <c r="J417" s="5" t="n">
        <v>0</v>
      </c>
      <c r="K417" s="3" t="inlineStr">
        <is>
          <t>Garis Lurus</t>
        </is>
      </c>
      <c r="L417" s="5">
        <f>IFERROR(M417/12,"")</f>
        <v/>
      </c>
      <c r="M417" s="5">
        <f>IFERROR((H417-J417)/I417,"")</f>
        <v/>
      </c>
      <c r="N417" s="5">
        <f>IFERROR(M417,"")</f>
        <v/>
      </c>
      <c r="O417" s="5">
        <f>IFERROR(H417-N417,"")</f>
        <v/>
      </c>
      <c r="P417" s="3" t="inlineStr">
        <is>
          <t>Belum dihitung</t>
        </is>
      </c>
      <c r="Q417" s="3" t="n"/>
    </row>
    <row r="418">
      <c r="A418" s="3" t="n">
        <v>417</v>
      </c>
      <c r="B418" s="3" t="inlineStr">
        <is>
          <t>Desember 2025</t>
        </is>
      </c>
      <c r="C418" s="3">
        <f>'Data Aset'!B420</f>
        <v/>
      </c>
      <c r="D418" s="3">
        <f>'Data Aset'!F420</f>
        <v/>
      </c>
      <c r="E418" s="3" t="inlineStr">
        <is>
          <t>Inventaris Ruangan</t>
        </is>
      </c>
      <c r="F418" s="3">
        <f>'Data Aset'!C420</f>
        <v/>
      </c>
      <c r="G418" s="3">
        <f>'Data Aset'!J420</f>
        <v/>
      </c>
      <c r="H418" s="5">
        <f>'Data Aset'!M420</f>
        <v/>
      </c>
      <c r="I418" s="3">
        <f>'Data Aset'!O420</f>
        <v/>
      </c>
      <c r="J418" s="5" t="n">
        <v>0</v>
      </c>
      <c r="K418" s="3" t="inlineStr">
        <is>
          <t>Garis Lurus</t>
        </is>
      </c>
      <c r="L418" s="5">
        <f>IFERROR(M418/12,"")</f>
        <v/>
      </c>
      <c r="M418" s="5">
        <f>IFERROR((H418-J418)/I418,"")</f>
        <v/>
      </c>
      <c r="N418" s="5">
        <f>IFERROR(M418,"")</f>
        <v/>
      </c>
      <c r="O418" s="5">
        <f>IFERROR(H418-N418,"")</f>
        <v/>
      </c>
      <c r="P418" s="3" t="inlineStr">
        <is>
          <t>Belum dihitung</t>
        </is>
      </c>
      <c r="Q418" s="3" t="n"/>
    </row>
    <row r="419">
      <c r="A419" s="3" t="n">
        <v>418</v>
      </c>
      <c r="B419" s="3" t="inlineStr">
        <is>
          <t>Desember 2025</t>
        </is>
      </c>
      <c r="C419" s="3">
        <f>'Data Aset'!B421</f>
        <v/>
      </c>
      <c r="D419" s="3">
        <f>'Data Aset'!F421</f>
        <v/>
      </c>
      <c r="E419" s="3" t="inlineStr">
        <is>
          <t>Inventaris Ruangan</t>
        </is>
      </c>
      <c r="F419" s="3">
        <f>'Data Aset'!C421</f>
        <v/>
      </c>
      <c r="G419" s="3">
        <f>'Data Aset'!J421</f>
        <v/>
      </c>
      <c r="H419" s="5">
        <f>'Data Aset'!M421</f>
        <v/>
      </c>
      <c r="I419" s="3">
        <f>'Data Aset'!O421</f>
        <v/>
      </c>
      <c r="J419" s="5" t="n">
        <v>0</v>
      </c>
      <c r="K419" s="3" t="inlineStr">
        <is>
          <t>Garis Lurus</t>
        </is>
      </c>
      <c r="L419" s="5">
        <f>IFERROR(M419/12,"")</f>
        <v/>
      </c>
      <c r="M419" s="5">
        <f>IFERROR((H419-J419)/I419,"")</f>
        <v/>
      </c>
      <c r="N419" s="5">
        <f>IFERROR(M419,"")</f>
        <v/>
      </c>
      <c r="O419" s="5">
        <f>IFERROR(H419-N419,"")</f>
        <v/>
      </c>
      <c r="P419" s="3" t="inlineStr">
        <is>
          <t>Belum dihitung</t>
        </is>
      </c>
      <c r="Q419" s="3" t="n"/>
    </row>
    <row r="420">
      <c r="A420" s="3" t="n">
        <v>419</v>
      </c>
      <c r="B420" s="3" t="inlineStr">
        <is>
          <t>Desember 2025</t>
        </is>
      </c>
      <c r="C420" s="3">
        <f>'Data Aset'!B422</f>
        <v/>
      </c>
      <c r="D420" s="3">
        <f>'Data Aset'!F422</f>
        <v/>
      </c>
      <c r="E420" s="3" t="inlineStr">
        <is>
          <t>Inventaris Ruangan</t>
        </is>
      </c>
      <c r="F420" s="3">
        <f>'Data Aset'!C422</f>
        <v/>
      </c>
      <c r="G420" s="3">
        <f>'Data Aset'!J422</f>
        <v/>
      </c>
      <c r="H420" s="5">
        <f>'Data Aset'!M422</f>
        <v/>
      </c>
      <c r="I420" s="3">
        <f>'Data Aset'!O422</f>
        <v/>
      </c>
      <c r="J420" s="5" t="n">
        <v>0</v>
      </c>
      <c r="K420" s="3" t="inlineStr">
        <is>
          <t>Garis Lurus</t>
        </is>
      </c>
      <c r="L420" s="5">
        <f>IFERROR(M420/12,"")</f>
        <v/>
      </c>
      <c r="M420" s="5">
        <f>IFERROR((H420-J420)/I420,"")</f>
        <v/>
      </c>
      <c r="N420" s="5">
        <f>IFERROR(M420,"")</f>
        <v/>
      </c>
      <c r="O420" s="5">
        <f>IFERROR(H420-N420,"")</f>
        <v/>
      </c>
      <c r="P420" s="3" t="inlineStr">
        <is>
          <t>Belum dihitung</t>
        </is>
      </c>
      <c r="Q420" s="3" t="n"/>
    </row>
    <row r="421">
      <c r="A421" s="3" t="n">
        <v>420</v>
      </c>
      <c r="B421" s="3" t="inlineStr">
        <is>
          <t>Desember 2025</t>
        </is>
      </c>
      <c r="C421" s="3">
        <f>'Data Aset'!B423</f>
        <v/>
      </c>
      <c r="D421" s="3">
        <f>'Data Aset'!F423</f>
        <v/>
      </c>
      <c r="E421" s="3" t="inlineStr">
        <is>
          <t>Inventaris Ruangan</t>
        </is>
      </c>
      <c r="F421" s="3">
        <f>'Data Aset'!C423</f>
        <v/>
      </c>
      <c r="G421" s="3">
        <f>'Data Aset'!J423</f>
        <v/>
      </c>
      <c r="H421" s="5">
        <f>'Data Aset'!M423</f>
        <v/>
      </c>
      <c r="I421" s="3">
        <f>'Data Aset'!O423</f>
        <v/>
      </c>
      <c r="J421" s="5" t="n">
        <v>0</v>
      </c>
      <c r="K421" s="3" t="inlineStr">
        <is>
          <t>Garis Lurus</t>
        </is>
      </c>
      <c r="L421" s="5">
        <f>IFERROR(M421/12,"")</f>
        <v/>
      </c>
      <c r="M421" s="5">
        <f>IFERROR((H421-J421)/I421,"")</f>
        <v/>
      </c>
      <c r="N421" s="5">
        <f>IFERROR(M421,"")</f>
        <v/>
      </c>
      <c r="O421" s="5">
        <f>IFERROR(H421-N421,"")</f>
        <v/>
      </c>
      <c r="P421" s="3" t="inlineStr">
        <is>
          <t>Belum dihitung</t>
        </is>
      </c>
      <c r="Q421" s="3" t="n"/>
    </row>
    <row r="422">
      <c r="A422" s="3" t="n">
        <v>421</v>
      </c>
      <c r="B422" s="3" t="inlineStr">
        <is>
          <t>Desember 2025</t>
        </is>
      </c>
      <c r="C422" s="3">
        <f>'Data Aset'!B424</f>
        <v/>
      </c>
      <c r="D422" s="3">
        <f>'Data Aset'!F424</f>
        <v/>
      </c>
      <c r="E422" s="3" t="inlineStr">
        <is>
          <t>Inventaris Ruangan</t>
        </is>
      </c>
      <c r="F422" s="3">
        <f>'Data Aset'!C424</f>
        <v/>
      </c>
      <c r="G422" s="3">
        <f>'Data Aset'!J424</f>
        <v/>
      </c>
      <c r="H422" s="5">
        <f>'Data Aset'!M424</f>
        <v/>
      </c>
      <c r="I422" s="3">
        <f>'Data Aset'!O424</f>
        <v/>
      </c>
      <c r="J422" s="5" t="n">
        <v>0</v>
      </c>
      <c r="K422" s="3" t="inlineStr">
        <is>
          <t>Garis Lurus</t>
        </is>
      </c>
      <c r="L422" s="5">
        <f>IFERROR(M422/12,"")</f>
        <v/>
      </c>
      <c r="M422" s="5">
        <f>IFERROR((H422-J422)/I422,"")</f>
        <v/>
      </c>
      <c r="N422" s="5">
        <f>IFERROR(M422,"")</f>
        <v/>
      </c>
      <c r="O422" s="5">
        <f>IFERROR(H422-N422,"")</f>
        <v/>
      </c>
      <c r="P422" s="3" t="inlineStr">
        <is>
          <t>Belum dihitung</t>
        </is>
      </c>
      <c r="Q422" s="3" t="n"/>
    </row>
    <row r="423">
      <c r="A423" s="3" t="n">
        <v>422</v>
      </c>
      <c r="B423" s="3" t="inlineStr">
        <is>
          <t>Desember 2025</t>
        </is>
      </c>
      <c r="C423" s="3">
        <f>'Data Aset'!B425</f>
        <v/>
      </c>
      <c r="D423" s="3">
        <f>'Data Aset'!F425</f>
        <v/>
      </c>
      <c r="E423" s="3" t="inlineStr">
        <is>
          <t>Inventaris Ruangan</t>
        </is>
      </c>
      <c r="F423" s="3">
        <f>'Data Aset'!C425</f>
        <v/>
      </c>
      <c r="G423" s="3">
        <f>'Data Aset'!J425</f>
        <v/>
      </c>
      <c r="H423" s="5">
        <f>'Data Aset'!M425</f>
        <v/>
      </c>
      <c r="I423" s="3">
        <f>'Data Aset'!O425</f>
        <v/>
      </c>
      <c r="J423" s="5" t="n">
        <v>0</v>
      </c>
      <c r="K423" s="3" t="inlineStr">
        <is>
          <t>Garis Lurus</t>
        </is>
      </c>
      <c r="L423" s="5">
        <f>IFERROR(M423/12,"")</f>
        <v/>
      </c>
      <c r="M423" s="5">
        <f>IFERROR((H423-J423)/I423,"")</f>
        <v/>
      </c>
      <c r="N423" s="5">
        <f>IFERROR(M423,"")</f>
        <v/>
      </c>
      <c r="O423" s="5">
        <f>IFERROR(H423-N423,"")</f>
        <v/>
      </c>
      <c r="P423" s="3" t="inlineStr">
        <is>
          <t>Belum dihitung</t>
        </is>
      </c>
      <c r="Q423" s="3" t="n"/>
    </row>
    <row r="424">
      <c r="A424" s="3" t="n">
        <v>423</v>
      </c>
      <c r="B424" s="3" t="inlineStr">
        <is>
          <t>Desember 2025</t>
        </is>
      </c>
      <c r="C424" s="3">
        <f>'Data Aset'!B426</f>
        <v/>
      </c>
      <c r="D424" s="3">
        <f>'Data Aset'!F426</f>
        <v/>
      </c>
      <c r="E424" s="3" t="inlineStr">
        <is>
          <t>Inventaris Ruangan</t>
        </is>
      </c>
      <c r="F424" s="3">
        <f>'Data Aset'!C426</f>
        <v/>
      </c>
      <c r="G424" s="3">
        <f>'Data Aset'!J426</f>
        <v/>
      </c>
      <c r="H424" s="5">
        <f>'Data Aset'!M426</f>
        <v/>
      </c>
      <c r="I424" s="3">
        <f>'Data Aset'!O426</f>
        <v/>
      </c>
      <c r="J424" s="5" t="n">
        <v>0</v>
      </c>
      <c r="K424" s="3" t="inlineStr">
        <is>
          <t>Garis Lurus</t>
        </is>
      </c>
      <c r="L424" s="5">
        <f>IFERROR(M424/12,"")</f>
        <v/>
      </c>
      <c r="M424" s="5">
        <f>IFERROR((H424-J424)/I424,"")</f>
        <v/>
      </c>
      <c r="N424" s="5">
        <f>IFERROR(M424,"")</f>
        <v/>
      </c>
      <c r="O424" s="5">
        <f>IFERROR(H424-N424,"")</f>
        <v/>
      </c>
      <c r="P424" s="3" t="inlineStr">
        <is>
          <t>Belum dihitung</t>
        </is>
      </c>
      <c r="Q424" s="3" t="n"/>
    </row>
    <row r="425">
      <c r="A425" s="3" t="n">
        <v>424</v>
      </c>
      <c r="B425" s="3" t="inlineStr">
        <is>
          <t>Desember 2025</t>
        </is>
      </c>
      <c r="C425" s="3">
        <f>'Data Aset'!B427</f>
        <v/>
      </c>
      <c r="D425" s="3">
        <f>'Data Aset'!F427</f>
        <v/>
      </c>
      <c r="E425" s="3" t="inlineStr">
        <is>
          <t>Inventaris Ruangan</t>
        </is>
      </c>
      <c r="F425" s="3">
        <f>'Data Aset'!C427</f>
        <v/>
      </c>
      <c r="G425" s="3">
        <f>'Data Aset'!J427</f>
        <v/>
      </c>
      <c r="H425" s="5">
        <f>'Data Aset'!M427</f>
        <v/>
      </c>
      <c r="I425" s="3">
        <f>'Data Aset'!O427</f>
        <v/>
      </c>
      <c r="J425" s="5" t="n">
        <v>0</v>
      </c>
      <c r="K425" s="3" t="inlineStr">
        <is>
          <t>Garis Lurus</t>
        </is>
      </c>
      <c r="L425" s="5">
        <f>IFERROR(M425/12,"")</f>
        <v/>
      </c>
      <c r="M425" s="5">
        <f>IFERROR((H425-J425)/I425,"")</f>
        <v/>
      </c>
      <c r="N425" s="5">
        <f>IFERROR(M425,"")</f>
        <v/>
      </c>
      <c r="O425" s="5">
        <f>IFERROR(H425-N425,"")</f>
        <v/>
      </c>
      <c r="P425" s="3" t="inlineStr">
        <is>
          <t>Belum dihitung</t>
        </is>
      </c>
      <c r="Q425" s="3" t="n"/>
    </row>
    <row r="426">
      <c r="A426" s="3" t="n">
        <v>425</v>
      </c>
      <c r="B426" s="3" t="inlineStr">
        <is>
          <t>Desember 2025</t>
        </is>
      </c>
      <c r="C426" s="3">
        <f>'Data Aset'!B428</f>
        <v/>
      </c>
      <c r="D426" s="3">
        <f>'Data Aset'!F428</f>
        <v/>
      </c>
      <c r="E426" s="3" t="inlineStr">
        <is>
          <t>Inventaris Ruangan</t>
        </is>
      </c>
      <c r="F426" s="3">
        <f>'Data Aset'!C428</f>
        <v/>
      </c>
      <c r="G426" s="3">
        <f>'Data Aset'!J428</f>
        <v/>
      </c>
      <c r="H426" s="5">
        <f>'Data Aset'!M428</f>
        <v/>
      </c>
      <c r="I426" s="3">
        <f>'Data Aset'!O428</f>
        <v/>
      </c>
      <c r="J426" s="5" t="n">
        <v>0</v>
      </c>
      <c r="K426" s="3" t="inlineStr">
        <is>
          <t>Garis Lurus</t>
        </is>
      </c>
      <c r="L426" s="5">
        <f>IFERROR(M426/12,"")</f>
        <v/>
      </c>
      <c r="M426" s="5">
        <f>IFERROR((H426-J426)/I426,"")</f>
        <v/>
      </c>
      <c r="N426" s="5">
        <f>IFERROR(M426,"")</f>
        <v/>
      </c>
      <c r="O426" s="5">
        <f>IFERROR(H426-N426,"")</f>
        <v/>
      </c>
      <c r="P426" s="3" t="inlineStr">
        <is>
          <t>Belum dihitung</t>
        </is>
      </c>
      <c r="Q426" s="3" t="n"/>
    </row>
    <row r="427">
      <c r="A427" s="3" t="n">
        <v>426</v>
      </c>
      <c r="B427" s="3" t="inlineStr">
        <is>
          <t>Desember 2025</t>
        </is>
      </c>
      <c r="C427" s="3">
        <f>'Data Aset'!B429</f>
        <v/>
      </c>
      <c r="D427" s="3">
        <f>'Data Aset'!F429</f>
        <v/>
      </c>
      <c r="E427" s="3" t="inlineStr">
        <is>
          <t>Inventaris Ruangan</t>
        </is>
      </c>
      <c r="F427" s="3">
        <f>'Data Aset'!C429</f>
        <v/>
      </c>
      <c r="G427" s="3">
        <f>'Data Aset'!J429</f>
        <v/>
      </c>
      <c r="H427" s="5">
        <f>'Data Aset'!M429</f>
        <v/>
      </c>
      <c r="I427" s="3">
        <f>'Data Aset'!O429</f>
        <v/>
      </c>
      <c r="J427" s="5" t="n">
        <v>0</v>
      </c>
      <c r="K427" s="3" t="inlineStr">
        <is>
          <t>Garis Lurus</t>
        </is>
      </c>
      <c r="L427" s="5">
        <f>IFERROR(M427/12,"")</f>
        <v/>
      </c>
      <c r="M427" s="5">
        <f>IFERROR((H427-J427)/I427,"")</f>
        <v/>
      </c>
      <c r="N427" s="5">
        <f>IFERROR(M427,"")</f>
        <v/>
      </c>
      <c r="O427" s="5">
        <f>IFERROR(H427-N427,"")</f>
        <v/>
      </c>
      <c r="P427" s="3" t="inlineStr">
        <is>
          <t>Belum dihitung</t>
        </is>
      </c>
      <c r="Q427" s="3" t="n"/>
    </row>
    <row r="428">
      <c r="A428" s="3" t="n">
        <v>427</v>
      </c>
      <c r="B428" s="3" t="inlineStr">
        <is>
          <t>Desember 2025</t>
        </is>
      </c>
      <c r="C428" s="3">
        <f>'Data Aset'!B430</f>
        <v/>
      </c>
      <c r="D428" s="3">
        <f>'Data Aset'!F430</f>
        <v/>
      </c>
      <c r="E428" s="3" t="inlineStr">
        <is>
          <t>Inventaris Ruangan</t>
        </is>
      </c>
      <c r="F428" s="3">
        <f>'Data Aset'!C430</f>
        <v/>
      </c>
      <c r="G428" s="3">
        <f>'Data Aset'!J430</f>
        <v/>
      </c>
      <c r="H428" s="5">
        <f>'Data Aset'!M430</f>
        <v/>
      </c>
      <c r="I428" s="3">
        <f>'Data Aset'!O430</f>
        <v/>
      </c>
      <c r="J428" s="5" t="n">
        <v>0</v>
      </c>
      <c r="K428" s="3" t="inlineStr">
        <is>
          <t>Garis Lurus</t>
        </is>
      </c>
      <c r="L428" s="5">
        <f>IFERROR(M428/12,"")</f>
        <v/>
      </c>
      <c r="M428" s="5">
        <f>IFERROR((H428-J428)/I428,"")</f>
        <v/>
      </c>
      <c r="N428" s="5">
        <f>IFERROR(M428,"")</f>
        <v/>
      </c>
      <c r="O428" s="5">
        <f>IFERROR(H428-N428,"")</f>
        <v/>
      </c>
      <c r="P428" s="3" t="inlineStr">
        <is>
          <t>Belum dihitung</t>
        </is>
      </c>
      <c r="Q428" s="3" t="n"/>
    </row>
    <row r="429">
      <c r="A429" s="3" t="n">
        <v>428</v>
      </c>
      <c r="B429" s="3" t="inlineStr">
        <is>
          <t>Desember 2025</t>
        </is>
      </c>
      <c r="C429" s="3">
        <f>'Data Aset'!B431</f>
        <v/>
      </c>
      <c r="D429" s="3">
        <f>'Data Aset'!F431</f>
        <v/>
      </c>
      <c r="E429" s="3" t="inlineStr">
        <is>
          <t>Inventaris Ruangan</t>
        </is>
      </c>
      <c r="F429" s="3">
        <f>'Data Aset'!C431</f>
        <v/>
      </c>
      <c r="G429" s="3">
        <f>'Data Aset'!J431</f>
        <v/>
      </c>
      <c r="H429" s="5">
        <f>'Data Aset'!M431</f>
        <v/>
      </c>
      <c r="I429" s="3">
        <f>'Data Aset'!O431</f>
        <v/>
      </c>
      <c r="J429" s="5" t="n">
        <v>0</v>
      </c>
      <c r="K429" s="3" t="inlineStr">
        <is>
          <t>Garis Lurus</t>
        </is>
      </c>
      <c r="L429" s="5">
        <f>IFERROR(M429/12,"")</f>
        <v/>
      </c>
      <c r="M429" s="5">
        <f>IFERROR((H429-J429)/I429,"")</f>
        <v/>
      </c>
      <c r="N429" s="5">
        <f>IFERROR(M429,"")</f>
        <v/>
      </c>
      <c r="O429" s="5">
        <f>IFERROR(H429-N429,"")</f>
        <v/>
      </c>
      <c r="P429" s="3" t="inlineStr">
        <is>
          <t>Belum dihitung</t>
        </is>
      </c>
      <c r="Q429" s="3" t="n"/>
    </row>
    <row r="430">
      <c r="A430" s="3" t="n">
        <v>429</v>
      </c>
      <c r="B430" s="3" t="inlineStr">
        <is>
          <t>Desember 2025</t>
        </is>
      </c>
      <c r="C430" s="3">
        <f>'Data Aset'!B432</f>
        <v/>
      </c>
      <c r="D430" s="3">
        <f>'Data Aset'!F432</f>
        <v/>
      </c>
      <c r="E430" s="3" t="inlineStr">
        <is>
          <t>Inventaris Ruangan</t>
        </is>
      </c>
      <c r="F430" s="3">
        <f>'Data Aset'!C432</f>
        <v/>
      </c>
      <c r="G430" s="3">
        <f>'Data Aset'!J432</f>
        <v/>
      </c>
      <c r="H430" s="5">
        <f>'Data Aset'!M432</f>
        <v/>
      </c>
      <c r="I430" s="3">
        <f>'Data Aset'!O432</f>
        <v/>
      </c>
      <c r="J430" s="5" t="n">
        <v>0</v>
      </c>
      <c r="K430" s="3" t="inlineStr">
        <is>
          <t>Garis Lurus</t>
        </is>
      </c>
      <c r="L430" s="5">
        <f>IFERROR(M430/12,"")</f>
        <v/>
      </c>
      <c r="M430" s="5">
        <f>IFERROR((H430-J430)/I430,"")</f>
        <v/>
      </c>
      <c r="N430" s="5">
        <f>IFERROR(M430,"")</f>
        <v/>
      </c>
      <c r="O430" s="5">
        <f>IFERROR(H430-N430,"")</f>
        <v/>
      </c>
      <c r="P430" s="3" t="inlineStr">
        <is>
          <t>Belum dihitung</t>
        </is>
      </c>
      <c r="Q430" s="3" t="n"/>
    </row>
    <row r="431">
      <c r="A431" s="3" t="n">
        <v>430</v>
      </c>
      <c r="B431" s="3" t="inlineStr">
        <is>
          <t>Desember 2025</t>
        </is>
      </c>
      <c r="C431" s="3">
        <f>'Data Aset'!B433</f>
        <v/>
      </c>
      <c r="D431" s="3">
        <f>'Data Aset'!F433</f>
        <v/>
      </c>
      <c r="E431" s="3" t="inlineStr">
        <is>
          <t>Inventaris Ruangan</t>
        </is>
      </c>
      <c r="F431" s="3">
        <f>'Data Aset'!C433</f>
        <v/>
      </c>
      <c r="G431" s="3">
        <f>'Data Aset'!J433</f>
        <v/>
      </c>
      <c r="H431" s="5">
        <f>'Data Aset'!M433</f>
        <v/>
      </c>
      <c r="I431" s="3">
        <f>'Data Aset'!O433</f>
        <v/>
      </c>
      <c r="J431" s="5" t="n">
        <v>0</v>
      </c>
      <c r="K431" s="3" t="inlineStr">
        <is>
          <t>Garis Lurus</t>
        </is>
      </c>
      <c r="L431" s="5">
        <f>IFERROR(M431/12,"")</f>
        <v/>
      </c>
      <c r="M431" s="5">
        <f>IFERROR((H431-J431)/I431,"")</f>
        <v/>
      </c>
      <c r="N431" s="5">
        <f>IFERROR(M431,"")</f>
        <v/>
      </c>
      <c r="O431" s="5">
        <f>IFERROR(H431-N431,"")</f>
        <v/>
      </c>
      <c r="P431" s="3" t="inlineStr">
        <is>
          <t>Belum dihitung</t>
        </is>
      </c>
      <c r="Q431" s="3" t="n"/>
    </row>
    <row r="432">
      <c r="A432" s="3" t="n">
        <v>431</v>
      </c>
      <c r="B432" s="3" t="inlineStr">
        <is>
          <t>Desember 2025</t>
        </is>
      </c>
      <c r="C432" s="3">
        <f>'Data Aset'!B434</f>
        <v/>
      </c>
      <c r="D432" s="3">
        <f>'Data Aset'!F434</f>
        <v/>
      </c>
      <c r="E432" s="3" t="inlineStr">
        <is>
          <t>Inventaris Ruangan</t>
        </is>
      </c>
      <c r="F432" s="3">
        <f>'Data Aset'!C434</f>
        <v/>
      </c>
      <c r="G432" s="3">
        <f>'Data Aset'!J434</f>
        <v/>
      </c>
      <c r="H432" s="5">
        <f>'Data Aset'!M434</f>
        <v/>
      </c>
      <c r="I432" s="3">
        <f>'Data Aset'!O434</f>
        <v/>
      </c>
      <c r="J432" s="5" t="n">
        <v>0</v>
      </c>
      <c r="K432" s="3" t="inlineStr">
        <is>
          <t>Garis Lurus</t>
        </is>
      </c>
      <c r="L432" s="5">
        <f>IFERROR(M432/12,"")</f>
        <v/>
      </c>
      <c r="M432" s="5">
        <f>IFERROR((H432-J432)/I432,"")</f>
        <v/>
      </c>
      <c r="N432" s="5">
        <f>IFERROR(M432,"")</f>
        <v/>
      </c>
      <c r="O432" s="5">
        <f>IFERROR(H432-N432,"")</f>
        <v/>
      </c>
      <c r="P432" s="3" t="inlineStr">
        <is>
          <t>Belum dihitung</t>
        </is>
      </c>
      <c r="Q432" s="3" t="n"/>
    </row>
    <row r="433">
      <c r="A433" s="3" t="n">
        <v>432</v>
      </c>
      <c r="B433" s="3" t="inlineStr">
        <is>
          <t>Desember 2025</t>
        </is>
      </c>
      <c r="C433" s="3">
        <f>'Data Aset'!B435</f>
        <v/>
      </c>
      <c r="D433" s="3">
        <f>'Data Aset'!F435</f>
        <v/>
      </c>
      <c r="E433" s="3" t="inlineStr">
        <is>
          <t>Inventaris Ruangan</t>
        </is>
      </c>
      <c r="F433" s="3">
        <f>'Data Aset'!C435</f>
        <v/>
      </c>
      <c r="G433" s="3">
        <f>'Data Aset'!J435</f>
        <v/>
      </c>
      <c r="H433" s="5">
        <f>'Data Aset'!M435</f>
        <v/>
      </c>
      <c r="I433" s="3">
        <f>'Data Aset'!O435</f>
        <v/>
      </c>
      <c r="J433" s="5" t="n">
        <v>0</v>
      </c>
      <c r="K433" s="3" t="inlineStr">
        <is>
          <t>Garis Lurus</t>
        </is>
      </c>
      <c r="L433" s="5">
        <f>IFERROR(M433/12,"")</f>
        <v/>
      </c>
      <c r="M433" s="5">
        <f>IFERROR((H433-J433)/I433,"")</f>
        <v/>
      </c>
      <c r="N433" s="5">
        <f>IFERROR(M433,"")</f>
        <v/>
      </c>
      <c r="O433" s="5">
        <f>IFERROR(H433-N433,"")</f>
        <v/>
      </c>
      <c r="P433" s="3" t="inlineStr">
        <is>
          <t>Belum dihitung</t>
        </is>
      </c>
      <c r="Q433" s="3" t="n"/>
    </row>
    <row r="434">
      <c r="A434" s="3" t="n">
        <v>433</v>
      </c>
      <c r="B434" s="3" t="inlineStr">
        <is>
          <t>Desember 2025</t>
        </is>
      </c>
      <c r="C434" s="3">
        <f>'Data Aset'!B436</f>
        <v/>
      </c>
      <c r="D434" s="3">
        <f>'Data Aset'!F436</f>
        <v/>
      </c>
      <c r="E434" s="3" t="inlineStr">
        <is>
          <t>Inventaris Ruangan</t>
        </is>
      </c>
      <c r="F434" s="3">
        <f>'Data Aset'!C436</f>
        <v/>
      </c>
      <c r="G434" s="3">
        <f>'Data Aset'!J436</f>
        <v/>
      </c>
      <c r="H434" s="5">
        <f>'Data Aset'!M436</f>
        <v/>
      </c>
      <c r="I434" s="3">
        <f>'Data Aset'!O436</f>
        <v/>
      </c>
      <c r="J434" s="5" t="n">
        <v>0</v>
      </c>
      <c r="K434" s="3" t="inlineStr">
        <is>
          <t>Garis Lurus</t>
        </is>
      </c>
      <c r="L434" s="5">
        <f>IFERROR(M434/12,"")</f>
        <v/>
      </c>
      <c r="M434" s="5">
        <f>IFERROR((H434-J434)/I434,"")</f>
        <v/>
      </c>
      <c r="N434" s="5">
        <f>IFERROR(M434,"")</f>
        <v/>
      </c>
      <c r="O434" s="5">
        <f>IFERROR(H434-N434,"")</f>
        <v/>
      </c>
      <c r="P434" s="3" t="inlineStr">
        <is>
          <t>Belum dihitung</t>
        </is>
      </c>
      <c r="Q434" s="3" t="n"/>
    </row>
    <row r="435">
      <c r="A435" s="3" t="n">
        <v>434</v>
      </c>
      <c r="B435" s="3" t="inlineStr">
        <is>
          <t>Desember 2025</t>
        </is>
      </c>
      <c r="C435" s="3">
        <f>'Data Aset'!B437</f>
        <v/>
      </c>
      <c r="D435" s="3">
        <f>'Data Aset'!F437</f>
        <v/>
      </c>
      <c r="E435" s="3" t="inlineStr">
        <is>
          <t>Inventaris Ruangan</t>
        </is>
      </c>
      <c r="F435" s="3">
        <f>'Data Aset'!C437</f>
        <v/>
      </c>
      <c r="G435" s="3">
        <f>'Data Aset'!J437</f>
        <v/>
      </c>
      <c r="H435" s="5">
        <f>'Data Aset'!M437</f>
        <v/>
      </c>
      <c r="I435" s="3">
        <f>'Data Aset'!O437</f>
        <v/>
      </c>
      <c r="J435" s="5" t="n">
        <v>0</v>
      </c>
      <c r="K435" s="3" t="inlineStr">
        <is>
          <t>Garis Lurus</t>
        </is>
      </c>
      <c r="L435" s="5">
        <f>IFERROR(M435/12,"")</f>
        <v/>
      </c>
      <c r="M435" s="5">
        <f>IFERROR((H435-J435)/I435,"")</f>
        <v/>
      </c>
      <c r="N435" s="5">
        <f>IFERROR(M435,"")</f>
        <v/>
      </c>
      <c r="O435" s="5">
        <f>IFERROR(H435-N435,"")</f>
        <v/>
      </c>
      <c r="P435" s="3" t="inlineStr">
        <is>
          <t>Belum dihitung</t>
        </is>
      </c>
      <c r="Q435" s="3" t="n"/>
    </row>
    <row r="436">
      <c r="A436" s="3" t="n">
        <v>435</v>
      </c>
      <c r="B436" s="3" t="inlineStr">
        <is>
          <t>Desember 2025</t>
        </is>
      </c>
      <c r="C436" s="3">
        <f>'Data Aset'!B438</f>
        <v/>
      </c>
      <c r="D436" s="3">
        <f>'Data Aset'!F438</f>
        <v/>
      </c>
      <c r="E436" s="3" t="inlineStr">
        <is>
          <t>Inventaris Ruangan</t>
        </is>
      </c>
      <c r="F436" s="3">
        <f>'Data Aset'!C438</f>
        <v/>
      </c>
      <c r="G436" s="3">
        <f>'Data Aset'!J438</f>
        <v/>
      </c>
      <c r="H436" s="5">
        <f>'Data Aset'!M438</f>
        <v/>
      </c>
      <c r="I436" s="3">
        <f>'Data Aset'!O438</f>
        <v/>
      </c>
      <c r="J436" s="5" t="n">
        <v>0</v>
      </c>
      <c r="K436" s="3" t="inlineStr">
        <is>
          <t>Garis Lurus</t>
        </is>
      </c>
      <c r="L436" s="5">
        <f>IFERROR(M436/12,"")</f>
        <v/>
      </c>
      <c r="M436" s="5">
        <f>IFERROR((H436-J436)/I436,"")</f>
        <v/>
      </c>
      <c r="N436" s="5">
        <f>IFERROR(M436,"")</f>
        <v/>
      </c>
      <c r="O436" s="5">
        <f>IFERROR(H436-N436,"")</f>
        <v/>
      </c>
      <c r="P436" s="3" t="inlineStr">
        <is>
          <t>Belum dihitung</t>
        </is>
      </c>
      <c r="Q436" s="3" t="n"/>
    </row>
    <row r="437">
      <c r="A437" s="3" t="n">
        <v>436</v>
      </c>
      <c r="B437" s="3" t="inlineStr">
        <is>
          <t>Desember 2025</t>
        </is>
      </c>
      <c r="C437" s="3">
        <f>'Data Aset'!B439</f>
        <v/>
      </c>
      <c r="D437" s="3">
        <f>'Data Aset'!F439</f>
        <v/>
      </c>
      <c r="E437" s="3" t="inlineStr">
        <is>
          <t>Inventaris Ruangan</t>
        </is>
      </c>
      <c r="F437" s="3">
        <f>'Data Aset'!C439</f>
        <v/>
      </c>
      <c r="G437" s="3">
        <f>'Data Aset'!J439</f>
        <v/>
      </c>
      <c r="H437" s="5">
        <f>'Data Aset'!M439</f>
        <v/>
      </c>
      <c r="I437" s="3">
        <f>'Data Aset'!O439</f>
        <v/>
      </c>
      <c r="J437" s="5" t="n">
        <v>0</v>
      </c>
      <c r="K437" s="3" t="inlineStr">
        <is>
          <t>Garis Lurus</t>
        </is>
      </c>
      <c r="L437" s="5">
        <f>IFERROR(M437/12,"")</f>
        <v/>
      </c>
      <c r="M437" s="5">
        <f>IFERROR((H437-J437)/I437,"")</f>
        <v/>
      </c>
      <c r="N437" s="5">
        <f>IFERROR(M437,"")</f>
        <v/>
      </c>
      <c r="O437" s="5">
        <f>IFERROR(H437-N437,"")</f>
        <v/>
      </c>
      <c r="P437" s="3" t="inlineStr">
        <is>
          <t>Belum dihitung</t>
        </is>
      </c>
      <c r="Q437" s="3" t="n"/>
    </row>
    <row r="438">
      <c r="A438" s="3" t="n">
        <v>437</v>
      </c>
      <c r="B438" s="3" t="inlineStr">
        <is>
          <t>Desember 2025</t>
        </is>
      </c>
      <c r="C438" s="3">
        <f>'Data Aset'!B440</f>
        <v/>
      </c>
      <c r="D438" s="3">
        <f>'Data Aset'!F440</f>
        <v/>
      </c>
      <c r="E438" s="3" t="inlineStr">
        <is>
          <t>Inventaris Ruangan</t>
        </is>
      </c>
      <c r="F438" s="3">
        <f>'Data Aset'!C440</f>
        <v/>
      </c>
      <c r="G438" s="3">
        <f>'Data Aset'!J440</f>
        <v/>
      </c>
      <c r="H438" s="5">
        <f>'Data Aset'!M440</f>
        <v/>
      </c>
      <c r="I438" s="3">
        <f>'Data Aset'!O440</f>
        <v/>
      </c>
      <c r="J438" s="5" t="n">
        <v>0</v>
      </c>
      <c r="K438" s="3" t="inlineStr">
        <is>
          <t>Garis Lurus</t>
        </is>
      </c>
      <c r="L438" s="5">
        <f>IFERROR(M438/12,"")</f>
        <v/>
      </c>
      <c r="M438" s="5">
        <f>IFERROR((H438-J438)/I438,"")</f>
        <v/>
      </c>
      <c r="N438" s="5">
        <f>IFERROR(M438,"")</f>
        <v/>
      </c>
      <c r="O438" s="5">
        <f>IFERROR(H438-N438,"")</f>
        <v/>
      </c>
      <c r="P438" s="3" t="inlineStr">
        <is>
          <t>Belum dihitung</t>
        </is>
      </c>
      <c r="Q438" s="3" t="n"/>
    </row>
    <row r="439">
      <c r="A439" s="3" t="n">
        <v>438</v>
      </c>
      <c r="B439" s="3" t="inlineStr">
        <is>
          <t>Desember 2025</t>
        </is>
      </c>
      <c r="C439" s="3">
        <f>'Data Aset'!B441</f>
        <v/>
      </c>
      <c r="D439" s="3">
        <f>'Data Aset'!F441</f>
        <v/>
      </c>
      <c r="E439" s="3" t="inlineStr">
        <is>
          <t>Inventaris Ruangan</t>
        </is>
      </c>
      <c r="F439" s="3">
        <f>'Data Aset'!C441</f>
        <v/>
      </c>
      <c r="G439" s="3">
        <f>'Data Aset'!J441</f>
        <v/>
      </c>
      <c r="H439" s="5">
        <f>'Data Aset'!M441</f>
        <v/>
      </c>
      <c r="I439" s="3">
        <f>'Data Aset'!O441</f>
        <v/>
      </c>
      <c r="J439" s="5" t="n">
        <v>0</v>
      </c>
      <c r="K439" s="3" t="inlineStr">
        <is>
          <t>Garis Lurus</t>
        </is>
      </c>
      <c r="L439" s="5">
        <f>IFERROR(M439/12,"")</f>
        <v/>
      </c>
      <c r="M439" s="5">
        <f>IFERROR((H439-J439)/I439,"")</f>
        <v/>
      </c>
      <c r="N439" s="5">
        <f>IFERROR(M439,"")</f>
        <v/>
      </c>
      <c r="O439" s="5">
        <f>IFERROR(H439-N439,"")</f>
        <v/>
      </c>
      <c r="P439" s="3" t="inlineStr">
        <is>
          <t>Belum dihitung</t>
        </is>
      </c>
      <c r="Q439" s="3" t="n"/>
    </row>
    <row r="440">
      <c r="A440" s="3" t="n">
        <v>439</v>
      </c>
      <c r="B440" s="3" t="inlineStr">
        <is>
          <t>Desember 2025</t>
        </is>
      </c>
      <c r="C440" s="3">
        <f>'Data Aset'!B442</f>
        <v/>
      </c>
      <c r="D440" s="3">
        <f>'Data Aset'!F442</f>
        <v/>
      </c>
      <c r="E440" s="3" t="inlineStr">
        <is>
          <t>Inventaris Ruangan</t>
        </is>
      </c>
      <c r="F440" s="3">
        <f>'Data Aset'!C442</f>
        <v/>
      </c>
      <c r="G440" s="3">
        <f>'Data Aset'!J442</f>
        <v/>
      </c>
      <c r="H440" s="5">
        <f>'Data Aset'!M442</f>
        <v/>
      </c>
      <c r="I440" s="3">
        <f>'Data Aset'!O442</f>
        <v/>
      </c>
      <c r="J440" s="5" t="n">
        <v>0</v>
      </c>
      <c r="K440" s="3" t="inlineStr">
        <is>
          <t>Garis Lurus</t>
        </is>
      </c>
      <c r="L440" s="5">
        <f>IFERROR(M440/12,"")</f>
        <v/>
      </c>
      <c r="M440" s="5">
        <f>IFERROR((H440-J440)/I440,"")</f>
        <v/>
      </c>
      <c r="N440" s="5">
        <f>IFERROR(M440,"")</f>
        <v/>
      </c>
      <c r="O440" s="5">
        <f>IFERROR(H440-N440,"")</f>
        <v/>
      </c>
      <c r="P440" s="3" t="inlineStr">
        <is>
          <t>Belum dihitung</t>
        </is>
      </c>
      <c r="Q440" s="3" t="n"/>
    </row>
    <row r="441">
      <c r="A441" s="3" t="n">
        <v>440</v>
      </c>
      <c r="B441" s="3" t="inlineStr">
        <is>
          <t>Desember 2025</t>
        </is>
      </c>
      <c r="C441" s="3">
        <f>'Data Aset'!B443</f>
        <v/>
      </c>
      <c r="D441" s="3">
        <f>'Data Aset'!F443</f>
        <v/>
      </c>
      <c r="E441" s="3" t="inlineStr">
        <is>
          <t>Inventaris Ruangan</t>
        </is>
      </c>
      <c r="F441" s="3">
        <f>'Data Aset'!C443</f>
        <v/>
      </c>
      <c r="G441" s="3">
        <f>'Data Aset'!J443</f>
        <v/>
      </c>
      <c r="H441" s="5">
        <f>'Data Aset'!M443</f>
        <v/>
      </c>
      <c r="I441" s="3">
        <f>'Data Aset'!O443</f>
        <v/>
      </c>
      <c r="J441" s="5" t="n">
        <v>0</v>
      </c>
      <c r="K441" s="3" t="inlineStr">
        <is>
          <t>Garis Lurus</t>
        </is>
      </c>
      <c r="L441" s="5">
        <f>IFERROR(M441/12,"")</f>
        <v/>
      </c>
      <c r="M441" s="5">
        <f>IFERROR((H441-J441)/I441,"")</f>
        <v/>
      </c>
      <c r="N441" s="5">
        <f>IFERROR(M441,"")</f>
        <v/>
      </c>
      <c r="O441" s="5">
        <f>IFERROR(H441-N441,"")</f>
        <v/>
      </c>
      <c r="P441" s="3" t="inlineStr">
        <is>
          <t>Belum dihitung</t>
        </is>
      </c>
      <c r="Q441" s="3" t="n"/>
    </row>
    <row r="442">
      <c r="A442" s="3" t="n">
        <v>441</v>
      </c>
      <c r="B442" s="3" t="inlineStr">
        <is>
          <t>Desember 2025</t>
        </is>
      </c>
      <c r="C442" s="3">
        <f>'Data Aset'!B444</f>
        <v/>
      </c>
      <c r="D442" s="3">
        <f>'Data Aset'!F444</f>
        <v/>
      </c>
      <c r="E442" s="3" t="inlineStr">
        <is>
          <t>Inventaris Ruangan</t>
        </is>
      </c>
      <c r="F442" s="3">
        <f>'Data Aset'!C444</f>
        <v/>
      </c>
      <c r="G442" s="3">
        <f>'Data Aset'!J444</f>
        <v/>
      </c>
      <c r="H442" s="5">
        <f>'Data Aset'!M444</f>
        <v/>
      </c>
      <c r="I442" s="3">
        <f>'Data Aset'!O444</f>
        <v/>
      </c>
      <c r="J442" s="5" t="n">
        <v>0</v>
      </c>
      <c r="K442" s="3" t="inlineStr">
        <is>
          <t>Garis Lurus</t>
        </is>
      </c>
      <c r="L442" s="5">
        <f>IFERROR(M442/12,"")</f>
        <v/>
      </c>
      <c r="M442" s="5">
        <f>IFERROR((H442-J442)/I442,"")</f>
        <v/>
      </c>
      <c r="N442" s="5">
        <f>IFERROR(M442,"")</f>
        <v/>
      </c>
      <c r="O442" s="5">
        <f>IFERROR(H442-N442,"")</f>
        <v/>
      </c>
      <c r="P442" s="3" t="inlineStr">
        <is>
          <t>Belum dihitung</t>
        </is>
      </c>
      <c r="Q442" s="3" t="n"/>
    </row>
    <row r="443">
      <c r="A443" s="3" t="n">
        <v>442</v>
      </c>
      <c r="B443" s="3" t="inlineStr">
        <is>
          <t>Desember 2025</t>
        </is>
      </c>
      <c r="C443" s="3">
        <f>'Data Aset'!B445</f>
        <v/>
      </c>
      <c r="D443" s="3">
        <f>'Data Aset'!F445</f>
        <v/>
      </c>
      <c r="E443" s="3" t="inlineStr">
        <is>
          <t>Inventaris Ruangan</t>
        </is>
      </c>
      <c r="F443" s="3">
        <f>'Data Aset'!C445</f>
        <v/>
      </c>
      <c r="G443" s="3">
        <f>'Data Aset'!J445</f>
        <v/>
      </c>
      <c r="H443" s="5">
        <f>'Data Aset'!M445</f>
        <v/>
      </c>
      <c r="I443" s="3">
        <f>'Data Aset'!O445</f>
        <v/>
      </c>
      <c r="J443" s="5" t="n">
        <v>0</v>
      </c>
      <c r="K443" s="3" t="inlineStr">
        <is>
          <t>Garis Lurus</t>
        </is>
      </c>
      <c r="L443" s="5">
        <f>IFERROR(M443/12,"")</f>
        <v/>
      </c>
      <c r="M443" s="5">
        <f>IFERROR((H443-J443)/I443,"")</f>
        <v/>
      </c>
      <c r="N443" s="5">
        <f>IFERROR(M443,"")</f>
        <v/>
      </c>
      <c r="O443" s="5">
        <f>IFERROR(H443-N443,"")</f>
        <v/>
      </c>
      <c r="P443" s="3" t="inlineStr">
        <is>
          <t>Belum dihitung</t>
        </is>
      </c>
      <c r="Q443" s="3" t="n"/>
    </row>
    <row r="444">
      <c r="A444" s="3" t="n">
        <v>443</v>
      </c>
      <c r="B444" s="3" t="inlineStr">
        <is>
          <t>Desember 2025</t>
        </is>
      </c>
      <c r="C444" s="3">
        <f>'Data Aset'!B446</f>
        <v/>
      </c>
      <c r="D444" s="3">
        <f>'Data Aset'!F446</f>
        <v/>
      </c>
      <c r="E444" s="3" t="inlineStr">
        <is>
          <t>Inventaris Ruangan</t>
        </is>
      </c>
      <c r="F444" s="3">
        <f>'Data Aset'!C446</f>
        <v/>
      </c>
      <c r="G444" s="3">
        <f>'Data Aset'!J446</f>
        <v/>
      </c>
      <c r="H444" s="5">
        <f>'Data Aset'!M446</f>
        <v/>
      </c>
      <c r="I444" s="3">
        <f>'Data Aset'!O446</f>
        <v/>
      </c>
      <c r="J444" s="5" t="n">
        <v>0</v>
      </c>
      <c r="K444" s="3" t="inlineStr">
        <is>
          <t>Garis Lurus</t>
        </is>
      </c>
      <c r="L444" s="5">
        <f>IFERROR(M444/12,"")</f>
        <v/>
      </c>
      <c r="M444" s="5">
        <f>IFERROR((H444-J444)/I444,"")</f>
        <v/>
      </c>
      <c r="N444" s="5">
        <f>IFERROR(M444,"")</f>
        <v/>
      </c>
      <c r="O444" s="5">
        <f>IFERROR(H444-N444,"")</f>
        <v/>
      </c>
      <c r="P444" s="3" t="inlineStr">
        <is>
          <t>Belum dihitung</t>
        </is>
      </c>
      <c r="Q444" s="3" t="n"/>
    </row>
    <row r="445">
      <c r="A445" s="3" t="n">
        <v>444</v>
      </c>
      <c r="B445" s="3" t="inlineStr">
        <is>
          <t>Desember 2025</t>
        </is>
      </c>
      <c r="C445" s="3">
        <f>'Data Aset'!B447</f>
        <v/>
      </c>
      <c r="D445" s="3">
        <f>'Data Aset'!F447</f>
        <v/>
      </c>
      <c r="E445" s="3" t="inlineStr">
        <is>
          <t>Inventaris Ruangan</t>
        </is>
      </c>
      <c r="F445" s="3">
        <f>'Data Aset'!C447</f>
        <v/>
      </c>
      <c r="G445" s="3">
        <f>'Data Aset'!J447</f>
        <v/>
      </c>
      <c r="H445" s="5">
        <f>'Data Aset'!M447</f>
        <v/>
      </c>
      <c r="I445" s="3">
        <f>'Data Aset'!O447</f>
        <v/>
      </c>
      <c r="J445" s="5" t="n">
        <v>0</v>
      </c>
      <c r="K445" s="3" t="inlineStr">
        <is>
          <t>Garis Lurus</t>
        </is>
      </c>
      <c r="L445" s="5">
        <f>IFERROR(M445/12,"")</f>
        <v/>
      </c>
      <c r="M445" s="5">
        <f>IFERROR((H445-J445)/I445,"")</f>
        <v/>
      </c>
      <c r="N445" s="5">
        <f>IFERROR(M445,"")</f>
        <v/>
      </c>
      <c r="O445" s="5">
        <f>IFERROR(H445-N445,"")</f>
        <v/>
      </c>
      <c r="P445" s="3" t="inlineStr">
        <is>
          <t>Belum dihitung</t>
        </is>
      </c>
      <c r="Q445" s="3" t="n"/>
    </row>
    <row r="446">
      <c r="A446" s="3" t="n">
        <v>445</v>
      </c>
      <c r="B446" s="3" t="inlineStr">
        <is>
          <t>Desember 2025</t>
        </is>
      </c>
      <c r="C446" s="3">
        <f>'Data Aset'!B448</f>
        <v/>
      </c>
      <c r="D446" s="3">
        <f>'Data Aset'!F448</f>
        <v/>
      </c>
      <c r="E446" s="3" t="inlineStr">
        <is>
          <t>Inventaris Ruangan</t>
        </is>
      </c>
      <c r="F446" s="3">
        <f>'Data Aset'!C448</f>
        <v/>
      </c>
      <c r="G446" s="3">
        <f>'Data Aset'!J448</f>
        <v/>
      </c>
      <c r="H446" s="5">
        <f>'Data Aset'!M448</f>
        <v/>
      </c>
      <c r="I446" s="3">
        <f>'Data Aset'!O448</f>
        <v/>
      </c>
      <c r="J446" s="5" t="n">
        <v>0</v>
      </c>
      <c r="K446" s="3" t="inlineStr">
        <is>
          <t>Garis Lurus</t>
        </is>
      </c>
      <c r="L446" s="5">
        <f>IFERROR(M446/12,"")</f>
        <v/>
      </c>
      <c r="M446" s="5">
        <f>IFERROR((H446-J446)/I446,"")</f>
        <v/>
      </c>
      <c r="N446" s="5">
        <f>IFERROR(M446,"")</f>
        <v/>
      </c>
      <c r="O446" s="5">
        <f>IFERROR(H446-N446,"")</f>
        <v/>
      </c>
      <c r="P446" s="3" t="inlineStr">
        <is>
          <t>Belum dihitung</t>
        </is>
      </c>
      <c r="Q446" s="3" t="n"/>
    </row>
    <row r="447">
      <c r="A447" s="3" t="n">
        <v>446</v>
      </c>
      <c r="B447" s="3" t="inlineStr">
        <is>
          <t>Desember 2025</t>
        </is>
      </c>
      <c r="C447" s="3">
        <f>'Data Aset'!B449</f>
        <v/>
      </c>
      <c r="D447" s="3">
        <f>'Data Aset'!F449</f>
        <v/>
      </c>
      <c r="E447" s="3" t="inlineStr">
        <is>
          <t>Inventaris Ruangan</t>
        </is>
      </c>
      <c r="F447" s="3">
        <f>'Data Aset'!C449</f>
        <v/>
      </c>
      <c r="G447" s="3">
        <f>'Data Aset'!J449</f>
        <v/>
      </c>
      <c r="H447" s="5">
        <f>'Data Aset'!M449</f>
        <v/>
      </c>
      <c r="I447" s="3">
        <f>'Data Aset'!O449</f>
        <v/>
      </c>
      <c r="J447" s="5" t="n">
        <v>0</v>
      </c>
      <c r="K447" s="3" t="inlineStr">
        <is>
          <t>Garis Lurus</t>
        </is>
      </c>
      <c r="L447" s="5">
        <f>IFERROR(M447/12,"")</f>
        <v/>
      </c>
      <c r="M447" s="5">
        <f>IFERROR((H447-J447)/I447,"")</f>
        <v/>
      </c>
      <c r="N447" s="5">
        <f>IFERROR(M447,"")</f>
        <v/>
      </c>
      <c r="O447" s="5">
        <f>IFERROR(H447-N447,"")</f>
        <v/>
      </c>
      <c r="P447" s="3" t="inlineStr">
        <is>
          <t>Belum dihitung</t>
        </is>
      </c>
      <c r="Q447" s="3" t="n"/>
    </row>
    <row r="448">
      <c r="A448" s="3" t="n">
        <v>447</v>
      </c>
      <c r="B448" s="3" t="inlineStr">
        <is>
          <t>Desember 2025</t>
        </is>
      </c>
      <c r="C448" s="3">
        <f>'Data Aset'!B450</f>
        <v/>
      </c>
      <c r="D448" s="3">
        <f>'Data Aset'!F450</f>
        <v/>
      </c>
      <c r="E448" s="3" t="inlineStr">
        <is>
          <t>Inventaris Ruangan</t>
        </is>
      </c>
      <c r="F448" s="3">
        <f>'Data Aset'!C450</f>
        <v/>
      </c>
      <c r="G448" s="3">
        <f>'Data Aset'!J450</f>
        <v/>
      </c>
      <c r="H448" s="5">
        <f>'Data Aset'!M450</f>
        <v/>
      </c>
      <c r="I448" s="3">
        <f>'Data Aset'!O450</f>
        <v/>
      </c>
      <c r="J448" s="5" t="n">
        <v>0</v>
      </c>
      <c r="K448" s="3" t="inlineStr">
        <is>
          <t>Garis Lurus</t>
        </is>
      </c>
      <c r="L448" s="5">
        <f>IFERROR(M448/12,"")</f>
        <v/>
      </c>
      <c r="M448" s="5">
        <f>IFERROR((H448-J448)/I448,"")</f>
        <v/>
      </c>
      <c r="N448" s="5">
        <f>IFERROR(M448,"")</f>
        <v/>
      </c>
      <c r="O448" s="5">
        <f>IFERROR(H448-N448,"")</f>
        <v/>
      </c>
      <c r="P448" s="3" t="inlineStr">
        <is>
          <t>Belum dihitung</t>
        </is>
      </c>
      <c r="Q448" s="3" t="n"/>
    </row>
    <row r="449">
      <c r="A449" s="3" t="n">
        <v>448</v>
      </c>
      <c r="B449" s="3" t="inlineStr">
        <is>
          <t>Desember 2025</t>
        </is>
      </c>
      <c r="C449" s="3">
        <f>'Data Aset'!B451</f>
        <v/>
      </c>
      <c r="D449" s="3">
        <f>'Data Aset'!F451</f>
        <v/>
      </c>
      <c r="E449" s="3" t="inlineStr">
        <is>
          <t>Inventaris Ruangan</t>
        </is>
      </c>
      <c r="F449" s="3">
        <f>'Data Aset'!C451</f>
        <v/>
      </c>
      <c r="G449" s="3">
        <f>'Data Aset'!J451</f>
        <v/>
      </c>
      <c r="H449" s="5">
        <f>'Data Aset'!M451</f>
        <v/>
      </c>
      <c r="I449" s="3">
        <f>'Data Aset'!O451</f>
        <v/>
      </c>
      <c r="J449" s="5" t="n">
        <v>0</v>
      </c>
      <c r="K449" s="3" t="inlineStr">
        <is>
          <t>Garis Lurus</t>
        </is>
      </c>
      <c r="L449" s="5">
        <f>IFERROR(M449/12,"")</f>
        <v/>
      </c>
      <c r="M449" s="5">
        <f>IFERROR((H449-J449)/I449,"")</f>
        <v/>
      </c>
      <c r="N449" s="5">
        <f>IFERROR(M449,"")</f>
        <v/>
      </c>
      <c r="O449" s="5">
        <f>IFERROR(H449-N449,"")</f>
        <v/>
      </c>
      <c r="P449" s="3" t="inlineStr">
        <is>
          <t>Belum dihitung</t>
        </is>
      </c>
      <c r="Q449" s="3" t="n"/>
    </row>
    <row r="450">
      <c r="A450" s="3" t="n">
        <v>449</v>
      </c>
      <c r="B450" s="3" t="inlineStr">
        <is>
          <t>Desember 2025</t>
        </is>
      </c>
      <c r="C450" s="3">
        <f>'Data Aset'!B452</f>
        <v/>
      </c>
      <c r="D450" s="3">
        <f>'Data Aset'!F452</f>
        <v/>
      </c>
      <c r="E450" s="3" t="inlineStr">
        <is>
          <t>Inventaris Ruangan</t>
        </is>
      </c>
      <c r="F450" s="3">
        <f>'Data Aset'!C452</f>
        <v/>
      </c>
      <c r="G450" s="3">
        <f>'Data Aset'!J452</f>
        <v/>
      </c>
      <c r="H450" s="5">
        <f>'Data Aset'!M452</f>
        <v/>
      </c>
      <c r="I450" s="3">
        <f>'Data Aset'!O452</f>
        <v/>
      </c>
      <c r="J450" s="5" t="n">
        <v>0</v>
      </c>
      <c r="K450" s="3" t="inlineStr">
        <is>
          <t>Garis Lurus</t>
        </is>
      </c>
      <c r="L450" s="5">
        <f>IFERROR(M450/12,"")</f>
        <v/>
      </c>
      <c r="M450" s="5">
        <f>IFERROR((H450-J450)/I450,"")</f>
        <v/>
      </c>
      <c r="N450" s="5">
        <f>IFERROR(M450,"")</f>
        <v/>
      </c>
      <c r="O450" s="5">
        <f>IFERROR(H450-N450,"")</f>
        <v/>
      </c>
      <c r="P450" s="3" t="inlineStr">
        <is>
          <t>Belum dihitung</t>
        </is>
      </c>
      <c r="Q450" s="3" t="n"/>
    </row>
    <row r="451">
      <c r="A451" s="3" t="n">
        <v>450</v>
      </c>
      <c r="B451" s="3" t="inlineStr">
        <is>
          <t>Desember 2025</t>
        </is>
      </c>
      <c r="C451" s="3">
        <f>'Data Aset'!B453</f>
        <v/>
      </c>
      <c r="D451" s="3">
        <f>'Data Aset'!F453</f>
        <v/>
      </c>
      <c r="E451" s="3" t="inlineStr">
        <is>
          <t>Inventaris Ruangan</t>
        </is>
      </c>
      <c r="F451" s="3">
        <f>'Data Aset'!C453</f>
        <v/>
      </c>
      <c r="G451" s="3">
        <f>'Data Aset'!J453</f>
        <v/>
      </c>
      <c r="H451" s="5">
        <f>'Data Aset'!M453</f>
        <v/>
      </c>
      <c r="I451" s="3">
        <f>'Data Aset'!O453</f>
        <v/>
      </c>
      <c r="J451" s="5" t="n">
        <v>0</v>
      </c>
      <c r="K451" s="3" t="inlineStr">
        <is>
          <t>Garis Lurus</t>
        </is>
      </c>
      <c r="L451" s="5">
        <f>IFERROR(M451/12,"")</f>
        <v/>
      </c>
      <c r="M451" s="5">
        <f>IFERROR((H451-J451)/I451,"")</f>
        <v/>
      </c>
      <c r="N451" s="5">
        <f>IFERROR(M451,"")</f>
        <v/>
      </c>
      <c r="O451" s="5">
        <f>IFERROR(H451-N451,"")</f>
        <v/>
      </c>
      <c r="P451" s="3" t="inlineStr">
        <is>
          <t>Belum dihitung</t>
        </is>
      </c>
      <c r="Q451" s="3" t="n"/>
    </row>
    <row r="452">
      <c r="A452" s="3" t="n">
        <v>451</v>
      </c>
      <c r="B452" s="3" t="inlineStr">
        <is>
          <t>Desember 2025</t>
        </is>
      </c>
      <c r="C452" s="3">
        <f>'Data Aset'!B454</f>
        <v/>
      </c>
      <c r="D452" s="3">
        <f>'Data Aset'!F454</f>
        <v/>
      </c>
      <c r="E452" s="3" t="inlineStr">
        <is>
          <t>Inventaris Ruangan</t>
        </is>
      </c>
      <c r="F452" s="3">
        <f>'Data Aset'!C454</f>
        <v/>
      </c>
      <c r="G452" s="3">
        <f>'Data Aset'!J454</f>
        <v/>
      </c>
      <c r="H452" s="5">
        <f>'Data Aset'!M454</f>
        <v/>
      </c>
      <c r="I452" s="3">
        <f>'Data Aset'!O454</f>
        <v/>
      </c>
      <c r="J452" s="5" t="n">
        <v>0</v>
      </c>
      <c r="K452" s="3" t="inlineStr">
        <is>
          <t>Garis Lurus</t>
        </is>
      </c>
      <c r="L452" s="5">
        <f>IFERROR(M452/12,"")</f>
        <v/>
      </c>
      <c r="M452" s="5">
        <f>IFERROR((H452-J452)/I452,"")</f>
        <v/>
      </c>
      <c r="N452" s="5">
        <f>IFERROR(M452,"")</f>
        <v/>
      </c>
      <c r="O452" s="5">
        <f>IFERROR(H452-N452,"")</f>
        <v/>
      </c>
      <c r="P452" s="3" t="inlineStr">
        <is>
          <t>Belum dihitung</t>
        </is>
      </c>
      <c r="Q452" s="3" t="n"/>
    </row>
    <row r="453">
      <c r="A453" s="3" t="n">
        <v>452</v>
      </c>
      <c r="B453" s="3" t="inlineStr">
        <is>
          <t>Desember 2025</t>
        </is>
      </c>
      <c r="C453" s="3">
        <f>'Data Aset'!B455</f>
        <v/>
      </c>
      <c r="D453" s="3">
        <f>'Data Aset'!F455</f>
        <v/>
      </c>
      <c r="E453" s="3" t="inlineStr">
        <is>
          <t>Inventaris Ruangan</t>
        </is>
      </c>
      <c r="F453" s="3">
        <f>'Data Aset'!C455</f>
        <v/>
      </c>
      <c r="G453" s="3">
        <f>'Data Aset'!J455</f>
        <v/>
      </c>
      <c r="H453" s="5">
        <f>'Data Aset'!M455</f>
        <v/>
      </c>
      <c r="I453" s="3">
        <f>'Data Aset'!O455</f>
        <v/>
      </c>
      <c r="J453" s="5" t="n">
        <v>0</v>
      </c>
      <c r="K453" s="3" t="inlineStr">
        <is>
          <t>Garis Lurus</t>
        </is>
      </c>
      <c r="L453" s="5">
        <f>IFERROR(M453/12,"")</f>
        <v/>
      </c>
      <c r="M453" s="5">
        <f>IFERROR((H453-J453)/I453,"")</f>
        <v/>
      </c>
      <c r="N453" s="5">
        <f>IFERROR(M453,"")</f>
        <v/>
      </c>
      <c r="O453" s="5">
        <f>IFERROR(H453-N453,"")</f>
        <v/>
      </c>
      <c r="P453" s="3" t="inlineStr">
        <is>
          <t>Belum dihitung</t>
        </is>
      </c>
      <c r="Q453" s="3" t="n"/>
    </row>
    <row r="454">
      <c r="A454" s="3" t="n">
        <v>453</v>
      </c>
      <c r="B454" s="3" t="inlineStr">
        <is>
          <t>Desember 2025</t>
        </is>
      </c>
      <c r="C454" s="3">
        <f>'Data Aset'!B456</f>
        <v/>
      </c>
      <c r="D454" s="3">
        <f>'Data Aset'!F456</f>
        <v/>
      </c>
      <c r="E454" s="3" t="inlineStr">
        <is>
          <t>Inventaris Ruangan</t>
        </is>
      </c>
      <c r="F454" s="3">
        <f>'Data Aset'!C456</f>
        <v/>
      </c>
      <c r="G454" s="3">
        <f>'Data Aset'!J456</f>
        <v/>
      </c>
      <c r="H454" s="5">
        <f>'Data Aset'!M456</f>
        <v/>
      </c>
      <c r="I454" s="3">
        <f>'Data Aset'!O456</f>
        <v/>
      </c>
      <c r="J454" s="5" t="n">
        <v>0</v>
      </c>
      <c r="K454" s="3" t="inlineStr">
        <is>
          <t>Garis Lurus</t>
        </is>
      </c>
      <c r="L454" s="5">
        <f>IFERROR(M454/12,"")</f>
        <v/>
      </c>
      <c r="M454" s="5">
        <f>IFERROR((H454-J454)/I454,"")</f>
        <v/>
      </c>
      <c r="N454" s="5">
        <f>IFERROR(M454,"")</f>
        <v/>
      </c>
      <c r="O454" s="5">
        <f>IFERROR(H454-N454,"")</f>
        <v/>
      </c>
      <c r="P454" s="3" t="inlineStr">
        <is>
          <t>Belum dihitung</t>
        </is>
      </c>
      <c r="Q454" s="3" t="n"/>
    </row>
    <row r="455">
      <c r="A455" s="3" t="n">
        <v>454</v>
      </c>
      <c r="B455" s="3" t="inlineStr">
        <is>
          <t>Desember 2025</t>
        </is>
      </c>
      <c r="C455" s="3">
        <f>'Data Aset'!B457</f>
        <v/>
      </c>
      <c r="D455" s="3">
        <f>'Data Aset'!F457</f>
        <v/>
      </c>
      <c r="E455" s="3" t="inlineStr">
        <is>
          <t>Inventaris Ruangan</t>
        </is>
      </c>
      <c r="F455" s="3">
        <f>'Data Aset'!C457</f>
        <v/>
      </c>
      <c r="G455" s="3">
        <f>'Data Aset'!J457</f>
        <v/>
      </c>
      <c r="H455" s="5">
        <f>'Data Aset'!M457</f>
        <v/>
      </c>
      <c r="I455" s="3">
        <f>'Data Aset'!O457</f>
        <v/>
      </c>
      <c r="J455" s="5" t="n">
        <v>0</v>
      </c>
      <c r="K455" s="3" t="inlineStr">
        <is>
          <t>Garis Lurus</t>
        </is>
      </c>
      <c r="L455" s="5">
        <f>IFERROR(M455/12,"")</f>
        <v/>
      </c>
      <c r="M455" s="5">
        <f>IFERROR((H455-J455)/I455,"")</f>
        <v/>
      </c>
      <c r="N455" s="5">
        <f>IFERROR(M455,"")</f>
        <v/>
      </c>
      <c r="O455" s="5">
        <f>IFERROR(H455-N455,"")</f>
        <v/>
      </c>
      <c r="P455" s="3" t="inlineStr">
        <is>
          <t>Belum dihitung</t>
        </is>
      </c>
      <c r="Q455" s="3" t="n"/>
    </row>
    <row r="456">
      <c r="A456" s="3" t="n">
        <v>455</v>
      </c>
      <c r="B456" s="3" t="inlineStr">
        <is>
          <t>Desember 2025</t>
        </is>
      </c>
      <c r="C456" s="3">
        <f>'Data Aset'!B458</f>
        <v/>
      </c>
      <c r="D456" s="3">
        <f>'Data Aset'!F458</f>
        <v/>
      </c>
      <c r="E456" s="3" t="inlineStr">
        <is>
          <t>Inventaris Ruangan</t>
        </is>
      </c>
      <c r="F456" s="3">
        <f>'Data Aset'!C458</f>
        <v/>
      </c>
      <c r="G456" s="3">
        <f>'Data Aset'!J458</f>
        <v/>
      </c>
      <c r="H456" s="5">
        <f>'Data Aset'!M458</f>
        <v/>
      </c>
      <c r="I456" s="3">
        <f>'Data Aset'!O458</f>
        <v/>
      </c>
      <c r="J456" s="5" t="n">
        <v>0</v>
      </c>
      <c r="K456" s="3" t="inlineStr">
        <is>
          <t>Garis Lurus</t>
        </is>
      </c>
      <c r="L456" s="5">
        <f>IFERROR(M456/12,"")</f>
        <v/>
      </c>
      <c r="M456" s="5">
        <f>IFERROR((H456-J456)/I456,"")</f>
        <v/>
      </c>
      <c r="N456" s="5">
        <f>IFERROR(M456,"")</f>
        <v/>
      </c>
      <c r="O456" s="5">
        <f>IFERROR(H456-N456,"")</f>
        <v/>
      </c>
      <c r="P456" s="3" t="inlineStr">
        <is>
          <t>Belum dihitung</t>
        </is>
      </c>
      <c r="Q456" s="3" t="n"/>
    </row>
    <row r="457">
      <c r="A457" s="3" t="n">
        <v>456</v>
      </c>
      <c r="B457" s="3" t="inlineStr">
        <is>
          <t>Desember 2025</t>
        </is>
      </c>
      <c r="C457" s="3">
        <f>'Data Aset'!B459</f>
        <v/>
      </c>
      <c r="D457" s="3">
        <f>'Data Aset'!F459</f>
        <v/>
      </c>
      <c r="E457" s="3" t="inlineStr">
        <is>
          <t>Inventaris Ruangan</t>
        </is>
      </c>
      <c r="F457" s="3">
        <f>'Data Aset'!C459</f>
        <v/>
      </c>
      <c r="G457" s="3">
        <f>'Data Aset'!J459</f>
        <v/>
      </c>
      <c r="H457" s="5">
        <f>'Data Aset'!M459</f>
        <v/>
      </c>
      <c r="I457" s="3">
        <f>'Data Aset'!O459</f>
        <v/>
      </c>
      <c r="J457" s="5" t="n">
        <v>0</v>
      </c>
      <c r="K457" s="3" t="inlineStr">
        <is>
          <t>Garis Lurus</t>
        </is>
      </c>
      <c r="L457" s="5">
        <f>IFERROR(M457/12,"")</f>
        <v/>
      </c>
      <c r="M457" s="5">
        <f>IFERROR((H457-J457)/I457,"")</f>
        <v/>
      </c>
      <c r="N457" s="5">
        <f>IFERROR(M457,"")</f>
        <v/>
      </c>
      <c r="O457" s="5">
        <f>IFERROR(H457-N457,"")</f>
        <v/>
      </c>
      <c r="P457" s="3" t="inlineStr">
        <is>
          <t>Belum dihitung</t>
        </is>
      </c>
      <c r="Q457" s="3" t="n"/>
    </row>
    <row r="458">
      <c r="A458" s="3" t="n">
        <v>457</v>
      </c>
      <c r="B458" s="3" t="inlineStr">
        <is>
          <t>Desember 2025</t>
        </is>
      </c>
      <c r="C458" s="3">
        <f>'Data Aset'!B460</f>
        <v/>
      </c>
      <c r="D458" s="3">
        <f>'Data Aset'!F460</f>
        <v/>
      </c>
      <c r="E458" s="3" t="inlineStr">
        <is>
          <t>Inventaris Ruangan</t>
        </is>
      </c>
      <c r="F458" s="3">
        <f>'Data Aset'!C460</f>
        <v/>
      </c>
      <c r="G458" s="3">
        <f>'Data Aset'!J460</f>
        <v/>
      </c>
      <c r="H458" s="5">
        <f>'Data Aset'!M460</f>
        <v/>
      </c>
      <c r="I458" s="3">
        <f>'Data Aset'!O460</f>
        <v/>
      </c>
      <c r="J458" s="5" t="n">
        <v>0</v>
      </c>
      <c r="K458" s="3" t="inlineStr">
        <is>
          <t>Garis Lurus</t>
        </is>
      </c>
      <c r="L458" s="5">
        <f>IFERROR(M458/12,"")</f>
        <v/>
      </c>
      <c r="M458" s="5">
        <f>IFERROR((H458-J458)/I458,"")</f>
        <v/>
      </c>
      <c r="N458" s="5">
        <f>IFERROR(M458,"")</f>
        <v/>
      </c>
      <c r="O458" s="5">
        <f>IFERROR(H458-N458,"")</f>
        <v/>
      </c>
      <c r="P458" s="3" t="inlineStr">
        <is>
          <t>Belum dihitung</t>
        </is>
      </c>
      <c r="Q458" s="3" t="n"/>
    </row>
    <row r="459">
      <c r="A459" s="3" t="n">
        <v>458</v>
      </c>
      <c r="B459" s="3" t="inlineStr">
        <is>
          <t>Desember 2025</t>
        </is>
      </c>
      <c r="C459" s="3">
        <f>'Data Aset'!B461</f>
        <v/>
      </c>
      <c r="D459" s="3">
        <f>'Data Aset'!F461</f>
        <v/>
      </c>
      <c r="E459" s="3" t="inlineStr">
        <is>
          <t>Inventaris Ruangan</t>
        </is>
      </c>
      <c r="F459" s="3">
        <f>'Data Aset'!C461</f>
        <v/>
      </c>
      <c r="G459" s="3">
        <f>'Data Aset'!J461</f>
        <v/>
      </c>
      <c r="H459" s="5">
        <f>'Data Aset'!M461</f>
        <v/>
      </c>
      <c r="I459" s="3">
        <f>'Data Aset'!O461</f>
        <v/>
      </c>
      <c r="J459" s="5" t="n">
        <v>0</v>
      </c>
      <c r="K459" s="3" t="inlineStr">
        <is>
          <t>Garis Lurus</t>
        </is>
      </c>
      <c r="L459" s="5">
        <f>IFERROR(M459/12,"")</f>
        <v/>
      </c>
      <c r="M459" s="5">
        <f>IFERROR((H459-J459)/I459,"")</f>
        <v/>
      </c>
      <c r="N459" s="5">
        <f>IFERROR(M459,"")</f>
        <v/>
      </c>
      <c r="O459" s="5">
        <f>IFERROR(H459-N459,"")</f>
        <v/>
      </c>
      <c r="P459" s="3" t="inlineStr">
        <is>
          <t>Belum dihitung</t>
        </is>
      </c>
      <c r="Q459" s="3" t="n"/>
    </row>
    <row r="460">
      <c r="A460" s="3" t="n">
        <v>459</v>
      </c>
      <c r="B460" s="3" t="inlineStr">
        <is>
          <t>Desember 2025</t>
        </is>
      </c>
      <c r="C460" s="3">
        <f>'Data Aset'!B462</f>
        <v/>
      </c>
      <c r="D460" s="3">
        <f>'Data Aset'!F462</f>
        <v/>
      </c>
      <c r="E460" s="3" t="inlineStr">
        <is>
          <t>Inventaris Ruangan</t>
        </is>
      </c>
      <c r="F460" s="3">
        <f>'Data Aset'!C462</f>
        <v/>
      </c>
      <c r="G460" s="3">
        <f>'Data Aset'!J462</f>
        <v/>
      </c>
      <c r="H460" s="5">
        <f>'Data Aset'!M462</f>
        <v/>
      </c>
      <c r="I460" s="3">
        <f>'Data Aset'!O462</f>
        <v/>
      </c>
      <c r="J460" s="5" t="n">
        <v>0</v>
      </c>
      <c r="K460" s="3" t="inlineStr">
        <is>
          <t>Garis Lurus</t>
        </is>
      </c>
      <c r="L460" s="5">
        <f>IFERROR(M460/12,"")</f>
        <v/>
      </c>
      <c r="M460" s="5">
        <f>IFERROR((H460-J460)/I460,"")</f>
        <v/>
      </c>
      <c r="N460" s="5">
        <f>IFERROR(M460,"")</f>
        <v/>
      </c>
      <c r="O460" s="5">
        <f>IFERROR(H460-N460,"")</f>
        <v/>
      </c>
      <c r="P460" s="3" t="inlineStr">
        <is>
          <t>Belum dihitung</t>
        </is>
      </c>
      <c r="Q460" s="3" t="n"/>
    </row>
    <row r="461">
      <c r="A461" s="3" t="n">
        <v>460</v>
      </c>
      <c r="B461" s="3" t="inlineStr">
        <is>
          <t>Desember 2025</t>
        </is>
      </c>
      <c r="C461" s="3">
        <f>'Data Aset'!B463</f>
        <v/>
      </c>
      <c r="D461" s="3">
        <f>'Data Aset'!F463</f>
        <v/>
      </c>
      <c r="E461" s="3" t="inlineStr">
        <is>
          <t>Inventaris Ruangan</t>
        </is>
      </c>
      <c r="F461" s="3">
        <f>'Data Aset'!C463</f>
        <v/>
      </c>
      <c r="G461" s="3">
        <f>'Data Aset'!J463</f>
        <v/>
      </c>
      <c r="H461" s="5">
        <f>'Data Aset'!M463</f>
        <v/>
      </c>
      <c r="I461" s="3">
        <f>'Data Aset'!O463</f>
        <v/>
      </c>
      <c r="J461" s="5" t="n">
        <v>0</v>
      </c>
      <c r="K461" s="3" t="inlineStr">
        <is>
          <t>Garis Lurus</t>
        </is>
      </c>
      <c r="L461" s="5">
        <f>IFERROR(M461/12,"")</f>
        <v/>
      </c>
      <c r="M461" s="5">
        <f>IFERROR((H461-J461)/I461,"")</f>
        <v/>
      </c>
      <c r="N461" s="5">
        <f>IFERROR(M461,"")</f>
        <v/>
      </c>
      <c r="O461" s="5">
        <f>IFERROR(H461-N461,"")</f>
        <v/>
      </c>
      <c r="P461" s="3" t="inlineStr">
        <is>
          <t>Belum dihitung</t>
        </is>
      </c>
      <c r="Q461" s="3" t="n"/>
    </row>
    <row r="462">
      <c r="A462" s="3" t="n">
        <v>461</v>
      </c>
      <c r="B462" s="3" t="inlineStr">
        <is>
          <t>Desember 2025</t>
        </is>
      </c>
      <c r="C462" s="3">
        <f>'Data Aset'!B464</f>
        <v/>
      </c>
      <c r="D462" s="3">
        <f>'Data Aset'!F464</f>
        <v/>
      </c>
      <c r="E462" s="3" t="inlineStr">
        <is>
          <t>Inventaris Ruangan</t>
        </is>
      </c>
      <c r="F462" s="3">
        <f>'Data Aset'!C464</f>
        <v/>
      </c>
      <c r="G462" s="3">
        <f>'Data Aset'!J464</f>
        <v/>
      </c>
      <c r="H462" s="5">
        <f>'Data Aset'!M464</f>
        <v/>
      </c>
      <c r="I462" s="3">
        <f>'Data Aset'!O464</f>
        <v/>
      </c>
      <c r="J462" s="5" t="n">
        <v>0</v>
      </c>
      <c r="K462" s="3" t="inlineStr">
        <is>
          <t>Garis Lurus</t>
        </is>
      </c>
      <c r="L462" s="5">
        <f>IFERROR(M462/12,"")</f>
        <v/>
      </c>
      <c r="M462" s="5">
        <f>IFERROR((H462-J462)/I462,"")</f>
        <v/>
      </c>
      <c r="N462" s="5">
        <f>IFERROR(M462,"")</f>
        <v/>
      </c>
      <c r="O462" s="5">
        <f>IFERROR(H462-N462,"")</f>
        <v/>
      </c>
      <c r="P462" s="3" t="inlineStr">
        <is>
          <t>Belum dihitung</t>
        </is>
      </c>
      <c r="Q462" s="3" t="n"/>
    </row>
    <row r="463">
      <c r="A463" s="3" t="n">
        <v>462</v>
      </c>
      <c r="B463" s="3" t="inlineStr">
        <is>
          <t>Desember 2025</t>
        </is>
      </c>
      <c r="C463" s="3">
        <f>'Data Aset'!B465</f>
        <v/>
      </c>
      <c r="D463" s="3">
        <f>'Data Aset'!F465</f>
        <v/>
      </c>
      <c r="E463" s="3" t="inlineStr">
        <is>
          <t>Inventaris Ruangan</t>
        </is>
      </c>
      <c r="F463" s="3">
        <f>'Data Aset'!C465</f>
        <v/>
      </c>
      <c r="G463" s="3">
        <f>'Data Aset'!J465</f>
        <v/>
      </c>
      <c r="H463" s="5">
        <f>'Data Aset'!M465</f>
        <v/>
      </c>
      <c r="I463" s="3">
        <f>'Data Aset'!O465</f>
        <v/>
      </c>
      <c r="J463" s="5" t="n">
        <v>0</v>
      </c>
      <c r="K463" s="3" t="inlineStr">
        <is>
          <t>Garis Lurus</t>
        </is>
      </c>
      <c r="L463" s="5">
        <f>IFERROR(M463/12,"")</f>
        <v/>
      </c>
      <c r="M463" s="5">
        <f>IFERROR((H463-J463)/I463,"")</f>
        <v/>
      </c>
      <c r="N463" s="5">
        <f>IFERROR(M463,"")</f>
        <v/>
      </c>
      <c r="O463" s="5">
        <f>IFERROR(H463-N463,"")</f>
        <v/>
      </c>
      <c r="P463" s="3" t="inlineStr">
        <is>
          <t>Belum dihitung</t>
        </is>
      </c>
      <c r="Q463" s="3" t="n"/>
    </row>
    <row r="464">
      <c r="A464" s="3" t="n">
        <v>463</v>
      </c>
      <c r="B464" s="3" t="inlineStr">
        <is>
          <t>Desember 2025</t>
        </is>
      </c>
      <c r="C464" s="3">
        <f>'Data Aset'!B466</f>
        <v/>
      </c>
      <c r="D464" s="3">
        <f>'Data Aset'!F466</f>
        <v/>
      </c>
      <c r="E464" s="3" t="inlineStr">
        <is>
          <t>Inventaris Ruangan</t>
        </is>
      </c>
      <c r="F464" s="3">
        <f>'Data Aset'!C466</f>
        <v/>
      </c>
      <c r="G464" s="3">
        <f>'Data Aset'!J466</f>
        <v/>
      </c>
      <c r="H464" s="5">
        <f>'Data Aset'!M466</f>
        <v/>
      </c>
      <c r="I464" s="3">
        <f>'Data Aset'!O466</f>
        <v/>
      </c>
      <c r="J464" s="5" t="n">
        <v>0</v>
      </c>
      <c r="K464" s="3" t="inlineStr">
        <is>
          <t>Garis Lurus</t>
        </is>
      </c>
      <c r="L464" s="5">
        <f>IFERROR(M464/12,"")</f>
        <v/>
      </c>
      <c r="M464" s="5">
        <f>IFERROR((H464-J464)/I464,"")</f>
        <v/>
      </c>
      <c r="N464" s="5">
        <f>IFERROR(M464,"")</f>
        <v/>
      </c>
      <c r="O464" s="5">
        <f>IFERROR(H464-N464,"")</f>
        <v/>
      </c>
      <c r="P464" s="3" t="inlineStr">
        <is>
          <t>Belum dihitung</t>
        </is>
      </c>
      <c r="Q464" s="3" t="n"/>
    </row>
    <row r="465">
      <c r="A465" s="3" t="n">
        <v>464</v>
      </c>
      <c r="B465" s="3" t="inlineStr">
        <is>
          <t>Desember 2025</t>
        </is>
      </c>
      <c r="C465" s="3">
        <f>'Data Aset'!B467</f>
        <v/>
      </c>
      <c r="D465" s="3">
        <f>'Data Aset'!F467</f>
        <v/>
      </c>
      <c r="E465" s="3" t="inlineStr">
        <is>
          <t>Inventaris Ruangan</t>
        </is>
      </c>
      <c r="F465" s="3">
        <f>'Data Aset'!C467</f>
        <v/>
      </c>
      <c r="G465" s="3">
        <f>'Data Aset'!J467</f>
        <v/>
      </c>
      <c r="H465" s="5">
        <f>'Data Aset'!M467</f>
        <v/>
      </c>
      <c r="I465" s="3">
        <f>'Data Aset'!O467</f>
        <v/>
      </c>
      <c r="J465" s="5" t="n">
        <v>0</v>
      </c>
      <c r="K465" s="3" t="inlineStr">
        <is>
          <t>Garis Lurus</t>
        </is>
      </c>
      <c r="L465" s="5">
        <f>IFERROR(M465/12,"")</f>
        <v/>
      </c>
      <c r="M465" s="5">
        <f>IFERROR((H465-J465)/I465,"")</f>
        <v/>
      </c>
      <c r="N465" s="5">
        <f>IFERROR(M465,"")</f>
        <v/>
      </c>
      <c r="O465" s="5">
        <f>IFERROR(H465-N465,"")</f>
        <v/>
      </c>
      <c r="P465" s="3" t="inlineStr">
        <is>
          <t>Belum dihitung</t>
        </is>
      </c>
      <c r="Q465" s="3" t="n"/>
    </row>
    <row r="466">
      <c r="A466" s="3" t="n">
        <v>465</v>
      </c>
      <c r="B466" s="3" t="inlineStr">
        <is>
          <t>Desember 2025</t>
        </is>
      </c>
      <c r="C466" s="3">
        <f>'Data Aset'!B468</f>
        <v/>
      </c>
      <c r="D466" s="3">
        <f>'Data Aset'!F468</f>
        <v/>
      </c>
      <c r="E466" s="3" t="inlineStr">
        <is>
          <t>Inventaris Ruangan</t>
        </is>
      </c>
      <c r="F466" s="3">
        <f>'Data Aset'!C468</f>
        <v/>
      </c>
      <c r="G466" s="3">
        <f>'Data Aset'!J468</f>
        <v/>
      </c>
      <c r="H466" s="5">
        <f>'Data Aset'!M468</f>
        <v/>
      </c>
      <c r="I466" s="3">
        <f>'Data Aset'!O468</f>
        <v/>
      </c>
      <c r="J466" s="5" t="n">
        <v>0</v>
      </c>
      <c r="K466" s="3" t="inlineStr">
        <is>
          <t>Garis Lurus</t>
        </is>
      </c>
      <c r="L466" s="5">
        <f>IFERROR(M466/12,"")</f>
        <v/>
      </c>
      <c r="M466" s="5">
        <f>IFERROR((H466-J466)/I466,"")</f>
        <v/>
      </c>
      <c r="N466" s="5">
        <f>IFERROR(M466,"")</f>
        <v/>
      </c>
      <c r="O466" s="5">
        <f>IFERROR(H466-N466,"")</f>
        <v/>
      </c>
      <c r="P466" s="3" t="inlineStr">
        <is>
          <t>Belum dihitung</t>
        </is>
      </c>
      <c r="Q466" s="3" t="n"/>
    </row>
    <row r="467">
      <c r="A467" s="3" t="n">
        <v>466</v>
      </c>
      <c r="B467" s="3" t="inlineStr">
        <is>
          <t>Desember 2025</t>
        </is>
      </c>
      <c r="C467" s="3">
        <f>'Data Aset'!B469</f>
        <v/>
      </c>
      <c r="D467" s="3">
        <f>'Data Aset'!F469</f>
        <v/>
      </c>
      <c r="E467" s="3" t="inlineStr">
        <is>
          <t>Inventaris Ruangan</t>
        </is>
      </c>
      <c r="F467" s="3">
        <f>'Data Aset'!C469</f>
        <v/>
      </c>
      <c r="G467" s="3">
        <f>'Data Aset'!J469</f>
        <v/>
      </c>
      <c r="H467" s="5">
        <f>'Data Aset'!M469</f>
        <v/>
      </c>
      <c r="I467" s="3">
        <f>'Data Aset'!O469</f>
        <v/>
      </c>
      <c r="J467" s="5" t="n">
        <v>0</v>
      </c>
      <c r="K467" s="3" t="inlineStr">
        <is>
          <t>Garis Lurus</t>
        </is>
      </c>
      <c r="L467" s="5">
        <f>IFERROR(M467/12,"")</f>
        <v/>
      </c>
      <c r="M467" s="5">
        <f>IFERROR((H467-J467)/I467,"")</f>
        <v/>
      </c>
      <c r="N467" s="5">
        <f>IFERROR(M467,"")</f>
        <v/>
      </c>
      <c r="O467" s="5">
        <f>IFERROR(H467-N467,"")</f>
        <v/>
      </c>
      <c r="P467" s="3" t="inlineStr">
        <is>
          <t>Belum dihitung</t>
        </is>
      </c>
      <c r="Q467" s="3" t="n"/>
    </row>
    <row r="468">
      <c r="A468" s="3" t="n">
        <v>467</v>
      </c>
      <c r="B468" s="3" t="inlineStr">
        <is>
          <t>Desember 2025</t>
        </is>
      </c>
      <c r="C468" s="3">
        <f>'Data Aset'!B470</f>
        <v/>
      </c>
      <c r="D468" s="3">
        <f>'Data Aset'!F470</f>
        <v/>
      </c>
      <c r="E468" s="3" t="inlineStr">
        <is>
          <t>Inventaris Ruangan</t>
        </is>
      </c>
      <c r="F468" s="3">
        <f>'Data Aset'!C470</f>
        <v/>
      </c>
      <c r="G468" s="3">
        <f>'Data Aset'!J470</f>
        <v/>
      </c>
      <c r="H468" s="5">
        <f>'Data Aset'!M470</f>
        <v/>
      </c>
      <c r="I468" s="3">
        <f>'Data Aset'!O470</f>
        <v/>
      </c>
      <c r="J468" s="5" t="n">
        <v>0</v>
      </c>
      <c r="K468" s="3" t="inlineStr">
        <is>
          <t>Garis Lurus</t>
        </is>
      </c>
      <c r="L468" s="5">
        <f>IFERROR(M468/12,"")</f>
        <v/>
      </c>
      <c r="M468" s="5">
        <f>IFERROR((H468-J468)/I468,"")</f>
        <v/>
      </c>
      <c r="N468" s="5">
        <f>IFERROR(M468,"")</f>
        <v/>
      </c>
      <c r="O468" s="5">
        <f>IFERROR(H468-N468,"")</f>
        <v/>
      </c>
      <c r="P468" s="3" t="inlineStr">
        <is>
          <t>Belum dihitung</t>
        </is>
      </c>
      <c r="Q468" s="3" t="n"/>
    </row>
    <row r="469">
      <c r="A469" s="3" t="n">
        <v>468</v>
      </c>
      <c r="B469" s="3" t="inlineStr">
        <is>
          <t>Desember 2025</t>
        </is>
      </c>
      <c r="C469" s="3">
        <f>'Data Aset'!B471</f>
        <v/>
      </c>
      <c r="D469" s="3">
        <f>'Data Aset'!F471</f>
        <v/>
      </c>
      <c r="E469" s="3" t="inlineStr">
        <is>
          <t>Inventaris Ruangan</t>
        </is>
      </c>
      <c r="F469" s="3">
        <f>'Data Aset'!C471</f>
        <v/>
      </c>
      <c r="G469" s="3">
        <f>'Data Aset'!J471</f>
        <v/>
      </c>
      <c r="H469" s="5">
        <f>'Data Aset'!M471</f>
        <v/>
      </c>
      <c r="I469" s="3">
        <f>'Data Aset'!O471</f>
        <v/>
      </c>
      <c r="J469" s="5" t="n">
        <v>0</v>
      </c>
      <c r="K469" s="3" t="inlineStr">
        <is>
          <t>Garis Lurus</t>
        </is>
      </c>
      <c r="L469" s="5">
        <f>IFERROR(M469/12,"")</f>
        <v/>
      </c>
      <c r="M469" s="5">
        <f>IFERROR((H469-J469)/I469,"")</f>
        <v/>
      </c>
      <c r="N469" s="5">
        <f>IFERROR(M469,"")</f>
        <v/>
      </c>
      <c r="O469" s="5">
        <f>IFERROR(H469-N469,"")</f>
        <v/>
      </c>
      <c r="P469" s="3" t="inlineStr">
        <is>
          <t>Belum dihitung</t>
        </is>
      </c>
      <c r="Q469" s="3" t="n"/>
    </row>
    <row r="470">
      <c r="A470" s="3" t="n">
        <v>469</v>
      </c>
      <c r="B470" s="3" t="inlineStr">
        <is>
          <t>Desember 2025</t>
        </is>
      </c>
      <c r="C470" s="3">
        <f>'Data Aset'!B472</f>
        <v/>
      </c>
      <c r="D470" s="3">
        <f>'Data Aset'!F472</f>
        <v/>
      </c>
      <c r="E470" s="3" t="inlineStr">
        <is>
          <t>Inventaris Ruangan</t>
        </is>
      </c>
      <c r="F470" s="3">
        <f>'Data Aset'!C472</f>
        <v/>
      </c>
      <c r="G470" s="3">
        <f>'Data Aset'!J472</f>
        <v/>
      </c>
      <c r="H470" s="5">
        <f>'Data Aset'!M472</f>
        <v/>
      </c>
      <c r="I470" s="3">
        <f>'Data Aset'!O472</f>
        <v/>
      </c>
      <c r="J470" s="5" t="n">
        <v>0</v>
      </c>
      <c r="K470" s="3" t="inlineStr">
        <is>
          <t>Garis Lurus</t>
        </is>
      </c>
      <c r="L470" s="5">
        <f>IFERROR(M470/12,"")</f>
        <v/>
      </c>
      <c r="M470" s="5">
        <f>IFERROR((H470-J470)/I470,"")</f>
        <v/>
      </c>
      <c r="N470" s="5">
        <f>IFERROR(M470,"")</f>
        <v/>
      </c>
      <c r="O470" s="5">
        <f>IFERROR(H470-N470,"")</f>
        <v/>
      </c>
      <c r="P470" s="3" t="inlineStr">
        <is>
          <t>Belum dihitung</t>
        </is>
      </c>
      <c r="Q470" s="3" t="n"/>
    </row>
    <row r="471">
      <c r="A471" s="3" t="n">
        <v>470</v>
      </c>
      <c r="B471" s="3" t="inlineStr">
        <is>
          <t>Desember 2025</t>
        </is>
      </c>
      <c r="C471" s="3">
        <f>'Data Aset'!B473</f>
        <v/>
      </c>
      <c r="D471" s="3">
        <f>'Data Aset'!F473</f>
        <v/>
      </c>
      <c r="E471" s="3" t="inlineStr">
        <is>
          <t>Inventaris Ruangan</t>
        </is>
      </c>
      <c r="F471" s="3">
        <f>'Data Aset'!C473</f>
        <v/>
      </c>
      <c r="G471" s="3">
        <f>'Data Aset'!J473</f>
        <v/>
      </c>
      <c r="H471" s="5">
        <f>'Data Aset'!M473</f>
        <v/>
      </c>
      <c r="I471" s="3">
        <f>'Data Aset'!O473</f>
        <v/>
      </c>
      <c r="J471" s="5" t="n">
        <v>0</v>
      </c>
      <c r="K471" s="3" t="inlineStr">
        <is>
          <t>Garis Lurus</t>
        </is>
      </c>
      <c r="L471" s="5">
        <f>IFERROR(M471/12,"")</f>
        <v/>
      </c>
      <c r="M471" s="5">
        <f>IFERROR((H471-J471)/I471,"")</f>
        <v/>
      </c>
      <c r="N471" s="5">
        <f>IFERROR(M471,"")</f>
        <v/>
      </c>
      <c r="O471" s="5">
        <f>IFERROR(H471-N471,"")</f>
        <v/>
      </c>
      <c r="P471" s="3" t="inlineStr">
        <is>
          <t>Belum dihitung</t>
        </is>
      </c>
      <c r="Q471" s="3" t="n"/>
    </row>
    <row r="472">
      <c r="A472" s="3" t="n">
        <v>471</v>
      </c>
      <c r="B472" s="3" t="inlineStr">
        <is>
          <t>Desember 2025</t>
        </is>
      </c>
      <c r="C472" s="3">
        <f>'Data Aset'!B474</f>
        <v/>
      </c>
      <c r="D472" s="3">
        <f>'Data Aset'!F474</f>
        <v/>
      </c>
      <c r="E472" s="3" t="inlineStr">
        <is>
          <t>Inventaris Ruangan</t>
        </is>
      </c>
      <c r="F472" s="3">
        <f>'Data Aset'!C474</f>
        <v/>
      </c>
      <c r="G472" s="3">
        <f>'Data Aset'!J474</f>
        <v/>
      </c>
      <c r="H472" s="5">
        <f>'Data Aset'!M474</f>
        <v/>
      </c>
      <c r="I472" s="3">
        <f>'Data Aset'!O474</f>
        <v/>
      </c>
      <c r="J472" s="5" t="n">
        <v>0</v>
      </c>
      <c r="K472" s="3" t="inlineStr">
        <is>
          <t>Garis Lurus</t>
        </is>
      </c>
      <c r="L472" s="5">
        <f>IFERROR(M472/12,"")</f>
        <v/>
      </c>
      <c r="M472" s="5">
        <f>IFERROR((H472-J472)/I472,"")</f>
        <v/>
      </c>
      <c r="N472" s="5">
        <f>IFERROR(M472,"")</f>
        <v/>
      </c>
      <c r="O472" s="5">
        <f>IFERROR(H472-N472,"")</f>
        <v/>
      </c>
      <c r="P472" s="3" t="inlineStr">
        <is>
          <t>Belum dihitung</t>
        </is>
      </c>
      <c r="Q472" s="3" t="n"/>
    </row>
    <row r="473">
      <c r="A473" s="3" t="n">
        <v>472</v>
      </c>
      <c r="B473" s="3" t="inlineStr">
        <is>
          <t>Desember 2025</t>
        </is>
      </c>
      <c r="C473" s="3">
        <f>'Data Aset'!B475</f>
        <v/>
      </c>
      <c r="D473" s="3">
        <f>'Data Aset'!F475</f>
        <v/>
      </c>
      <c r="E473" s="3" t="inlineStr">
        <is>
          <t>Inventaris Ruangan</t>
        </is>
      </c>
      <c r="F473" s="3">
        <f>'Data Aset'!C475</f>
        <v/>
      </c>
      <c r="G473" s="3">
        <f>'Data Aset'!J475</f>
        <v/>
      </c>
      <c r="H473" s="5">
        <f>'Data Aset'!M475</f>
        <v/>
      </c>
      <c r="I473" s="3">
        <f>'Data Aset'!O475</f>
        <v/>
      </c>
      <c r="J473" s="5" t="n">
        <v>0</v>
      </c>
      <c r="K473" s="3" t="inlineStr">
        <is>
          <t>Garis Lurus</t>
        </is>
      </c>
      <c r="L473" s="5">
        <f>IFERROR(M473/12,"")</f>
        <v/>
      </c>
      <c r="M473" s="5">
        <f>IFERROR((H473-J473)/I473,"")</f>
        <v/>
      </c>
      <c r="N473" s="5">
        <f>IFERROR(M473,"")</f>
        <v/>
      </c>
      <c r="O473" s="5">
        <f>IFERROR(H473-N473,"")</f>
        <v/>
      </c>
      <c r="P473" s="3" t="inlineStr">
        <is>
          <t>Belum dihitung</t>
        </is>
      </c>
      <c r="Q473" s="3" t="n"/>
    </row>
    <row r="474">
      <c r="A474" s="3" t="n">
        <v>473</v>
      </c>
      <c r="B474" s="3" t="inlineStr">
        <is>
          <t>Desember 2025</t>
        </is>
      </c>
      <c r="C474" s="3">
        <f>'Data Aset'!B476</f>
        <v/>
      </c>
      <c r="D474" s="3">
        <f>'Data Aset'!F476</f>
        <v/>
      </c>
      <c r="E474" s="3" t="inlineStr">
        <is>
          <t>Inventaris Ruangan</t>
        </is>
      </c>
      <c r="F474" s="3">
        <f>'Data Aset'!C476</f>
        <v/>
      </c>
      <c r="G474" s="3">
        <f>'Data Aset'!J476</f>
        <v/>
      </c>
      <c r="H474" s="5">
        <f>'Data Aset'!M476</f>
        <v/>
      </c>
      <c r="I474" s="3">
        <f>'Data Aset'!O476</f>
        <v/>
      </c>
      <c r="J474" s="5" t="n">
        <v>0</v>
      </c>
      <c r="K474" s="3" t="inlineStr">
        <is>
          <t>Garis Lurus</t>
        </is>
      </c>
      <c r="L474" s="5">
        <f>IFERROR(M474/12,"")</f>
        <v/>
      </c>
      <c r="M474" s="5">
        <f>IFERROR((H474-J474)/I474,"")</f>
        <v/>
      </c>
      <c r="N474" s="5">
        <f>IFERROR(M474,"")</f>
        <v/>
      </c>
      <c r="O474" s="5">
        <f>IFERROR(H474-N474,"")</f>
        <v/>
      </c>
      <c r="P474" s="3" t="inlineStr">
        <is>
          <t>Belum dihitung</t>
        </is>
      </c>
      <c r="Q474" s="3" t="n"/>
    </row>
    <row r="475">
      <c r="A475" s="3" t="n">
        <v>474</v>
      </c>
      <c r="B475" s="3" t="inlineStr">
        <is>
          <t>Desember 2025</t>
        </is>
      </c>
      <c r="C475" s="3">
        <f>'Data Aset'!B477</f>
        <v/>
      </c>
      <c r="D475" s="3">
        <f>'Data Aset'!F477</f>
        <v/>
      </c>
      <c r="E475" s="3" t="inlineStr">
        <is>
          <t>Inventaris Ruangan</t>
        </is>
      </c>
      <c r="F475" s="3">
        <f>'Data Aset'!C477</f>
        <v/>
      </c>
      <c r="G475" s="3">
        <f>'Data Aset'!J477</f>
        <v/>
      </c>
      <c r="H475" s="5">
        <f>'Data Aset'!M477</f>
        <v/>
      </c>
      <c r="I475" s="3">
        <f>'Data Aset'!O477</f>
        <v/>
      </c>
      <c r="J475" s="5" t="n">
        <v>0</v>
      </c>
      <c r="K475" s="3" t="inlineStr">
        <is>
          <t>Garis Lurus</t>
        </is>
      </c>
      <c r="L475" s="5">
        <f>IFERROR(M475/12,"")</f>
        <v/>
      </c>
      <c r="M475" s="5">
        <f>IFERROR((H475-J475)/I475,"")</f>
        <v/>
      </c>
      <c r="N475" s="5">
        <f>IFERROR(M475,"")</f>
        <v/>
      </c>
      <c r="O475" s="5">
        <f>IFERROR(H475-N475,"")</f>
        <v/>
      </c>
      <c r="P475" s="3" t="inlineStr">
        <is>
          <t>Belum dihitung</t>
        </is>
      </c>
      <c r="Q475" s="3" t="n"/>
    </row>
    <row r="476">
      <c r="A476" s="3" t="n">
        <v>475</v>
      </c>
      <c r="B476" s="3" t="inlineStr">
        <is>
          <t>Desember 2025</t>
        </is>
      </c>
      <c r="C476" s="3">
        <f>'Data Aset'!B478</f>
        <v/>
      </c>
      <c r="D476" s="3">
        <f>'Data Aset'!F478</f>
        <v/>
      </c>
      <c r="E476" s="3" t="inlineStr">
        <is>
          <t>Inventaris Ruangan</t>
        </is>
      </c>
      <c r="F476" s="3">
        <f>'Data Aset'!C478</f>
        <v/>
      </c>
      <c r="G476" s="3">
        <f>'Data Aset'!J478</f>
        <v/>
      </c>
      <c r="H476" s="5">
        <f>'Data Aset'!M478</f>
        <v/>
      </c>
      <c r="I476" s="3">
        <f>'Data Aset'!O478</f>
        <v/>
      </c>
      <c r="J476" s="5" t="n">
        <v>0</v>
      </c>
      <c r="K476" s="3" t="inlineStr">
        <is>
          <t>Garis Lurus</t>
        </is>
      </c>
      <c r="L476" s="5">
        <f>IFERROR(M476/12,"")</f>
        <v/>
      </c>
      <c r="M476" s="5">
        <f>IFERROR((H476-J476)/I476,"")</f>
        <v/>
      </c>
      <c r="N476" s="5">
        <f>IFERROR(M476,"")</f>
        <v/>
      </c>
      <c r="O476" s="5">
        <f>IFERROR(H476-N476,"")</f>
        <v/>
      </c>
      <c r="P476" s="3" t="inlineStr">
        <is>
          <t>Belum dihitung</t>
        </is>
      </c>
      <c r="Q476" s="3" t="n"/>
    </row>
    <row r="477">
      <c r="A477" s="3" t="n">
        <v>476</v>
      </c>
      <c r="B477" s="3" t="inlineStr">
        <is>
          <t>Desember 2025</t>
        </is>
      </c>
      <c r="C477" s="3">
        <f>'Data Aset'!B479</f>
        <v/>
      </c>
      <c r="D477" s="3">
        <f>'Data Aset'!F479</f>
        <v/>
      </c>
      <c r="E477" s="3" t="inlineStr">
        <is>
          <t>Inventaris Ruangan</t>
        </is>
      </c>
      <c r="F477" s="3">
        <f>'Data Aset'!C479</f>
        <v/>
      </c>
      <c r="G477" s="3">
        <f>'Data Aset'!J479</f>
        <v/>
      </c>
      <c r="H477" s="5">
        <f>'Data Aset'!M479</f>
        <v/>
      </c>
      <c r="I477" s="3">
        <f>'Data Aset'!O479</f>
        <v/>
      </c>
      <c r="J477" s="5" t="n">
        <v>0</v>
      </c>
      <c r="K477" s="3" t="inlineStr">
        <is>
          <t>Garis Lurus</t>
        </is>
      </c>
      <c r="L477" s="5">
        <f>IFERROR(M477/12,"")</f>
        <v/>
      </c>
      <c r="M477" s="5">
        <f>IFERROR((H477-J477)/I477,"")</f>
        <v/>
      </c>
      <c r="N477" s="5">
        <f>IFERROR(M477,"")</f>
        <v/>
      </c>
      <c r="O477" s="5">
        <f>IFERROR(H477-N477,"")</f>
        <v/>
      </c>
      <c r="P477" s="3" t="inlineStr">
        <is>
          <t>Belum dihitung</t>
        </is>
      </c>
      <c r="Q477" s="3" t="n"/>
    </row>
    <row r="478">
      <c r="A478" s="3" t="n">
        <v>477</v>
      </c>
      <c r="B478" s="3" t="inlineStr">
        <is>
          <t>Desember 2025</t>
        </is>
      </c>
      <c r="C478" s="3">
        <f>'Data Aset'!B480</f>
        <v/>
      </c>
      <c r="D478" s="3">
        <f>'Data Aset'!F480</f>
        <v/>
      </c>
      <c r="E478" s="3" t="inlineStr">
        <is>
          <t>Inventaris Ruangan</t>
        </is>
      </c>
      <c r="F478" s="3">
        <f>'Data Aset'!C480</f>
        <v/>
      </c>
      <c r="G478" s="3">
        <f>'Data Aset'!J480</f>
        <v/>
      </c>
      <c r="H478" s="5">
        <f>'Data Aset'!M480</f>
        <v/>
      </c>
      <c r="I478" s="3">
        <f>'Data Aset'!O480</f>
        <v/>
      </c>
      <c r="J478" s="5" t="n">
        <v>0</v>
      </c>
      <c r="K478" s="3" t="inlineStr">
        <is>
          <t>Garis Lurus</t>
        </is>
      </c>
      <c r="L478" s="5">
        <f>IFERROR(M478/12,"")</f>
        <v/>
      </c>
      <c r="M478" s="5">
        <f>IFERROR((H478-J478)/I478,"")</f>
        <v/>
      </c>
      <c r="N478" s="5">
        <f>IFERROR(M478,"")</f>
        <v/>
      </c>
      <c r="O478" s="5">
        <f>IFERROR(H478-N478,"")</f>
        <v/>
      </c>
      <c r="P478" s="3" t="inlineStr">
        <is>
          <t>Belum dihitung</t>
        </is>
      </c>
      <c r="Q478" s="3" t="n"/>
    </row>
    <row r="479">
      <c r="A479" s="3" t="n">
        <v>478</v>
      </c>
      <c r="B479" s="3" t="inlineStr">
        <is>
          <t>Desember 2025</t>
        </is>
      </c>
      <c r="C479" s="3">
        <f>'Data Aset'!B481</f>
        <v/>
      </c>
      <c r="D479" s="3">
        <f>'Data Aset'!F481</f>
        <v/>
      </c>
      <c r="E479" s="3" t="inlineStr">
        <is>
          <t>Inventaris Ruangan</t>
        </is>
      </c>
      <c r="F479" s="3">
        <f>'Data Aset'!C481</f>
        <v/>
      </c>
      <c r="G479" s="3">
        <f>'Data Aset'!J481</f>
        <v/>
      </c>
      <c r="H479" s="5">
        <f>'Data Aset'!M481</f>
        <v/>
      </c>
      <c r="I479" s="3">
        <f>'Data Aset'!O481</f>
        <v/>
      </c>
      <c r="J479" s="5" t="n">
        <v>0</v>
      </c>
      <c r="K479" s="3" t="inlineStr">
        <is>
          <t>Garis Lurus</t>
        </is>
      </c>
      <c r="L479" s="5">
        <f>IFERROR(M479/12,"")</f>
        <v/>
      </c>
      <c r="M479" s="5">
        <f>IFERROR((H479-J479)/I479,"")</f>
        <v/>
      </c>
      <c r="N479" s="5">
        <f>IFERROR(M479,"")</f>
        <v/>
      </c>
      <c r="O479" s="5">
        <f>IFERROR(H479-N479,"")</f>
        <v/>
      </c>
      <c r="P479" s="3" t="inlineStr">
        <is>
          <t>Belum dihitung</t>
        </is>
      </c>
      <c r="Q479" s="3" t="n"/>
    </row>
    <row r="480">
      <c r="A480" s="3" t="n">
        <v>479</v>
      </c>
      <c r="B480" s="3" t="inlineStr">
        <is>
          <t>Desember 2025</t>
        </is>
      </c>
      <c r="C480" s="3">
        <f>'Data Aset'!B482</f>
        <v/>
      </c>
      <c r="D480" s="3">
        <f>'Data Aset'!F482</f>
        <v/>
      </c>
      <c r="E480" s="3" t="inlineStr">
        <is>
          <t>Inventaris Ruangan</t>
        </is>
      </c>
      <c r="F480" s="3">
        <f>'Data Aset'!C482</f>
        <v/>
      </c>
      <c r="G480" s="3">
        <f>'Data Aset'!J482</f>
        <v/>
      </c>
      <c r="H480" s="5">
        <f>'Data Aset'!M482</f>
        <v/>
      </c>
      <c r="I480" s="3">
        <f>'Data Aset'!O482</f>
        <v/>
      </c>
      <c r="J480" s="5" t="n">
        <v>0</v>
      </c>
      <c r="K480" s="3" t="inlineStr">
        <is>
          <t>Garis Lurus</t>
        </is>
      </c>
      <c r="L480" s="5">
        <f>IFERROR(M480/12,"")</f>
        <v/>
      </c>
      <c r="M480" s="5">
        <f>IFERROR((H480-J480)/I480,"")</f>
        <v/>
      </c>
      <c r="N480" s="5">
        <f>IFERROR(M480,"")</f>
        <v/>
      </c>
      <c r="O480" s="5">
        <f>IFERROR(H480-N480,"")</f>
        <v/>
      </c>
      <c r="P480" s="3" t="inlineStr">
        <is>
          <t>Belum dihitung</t>
        </is>
      </c>
      <c r="Q480" s="3" t="n"/>
    </row>
    <row r="481">
      <c r="A481" s="3" t="n">
        <v>480</v>
      </c>
      <c r="B481" s="3" t="inlineStr">
        <is>
          <t>Desember 2025</t>
        </is>
      </c>
      <c r="C481" s="3">
        <f>'Data Aset'!B483</f>
        <v/>
      </c>
      <c r="D481" s="3">
        <f>'Data Aset'!F483</f>
        <v/>
      </c>
      <c r="E481" s="3" t="inlineStr">
        <is>
          <t>Inventaris Ruangan</t>
        </is>
      </c>
      <c r="F481" s="3">
        <f>'Data Aset'!C483</f>
        <v/>
      </c>
      <c r="G481" s="3">
        <f>'Data Aset'!J483</f>
        <v/>
      </c>
      <c r="H481" s="5">
        <f>'Data Aset'!M483</f>
        <v/>
      </c>
      <c r="I481" s="3">
        <f>'Data Aset'!O483</f>
        <v/>
      </c>
      <c r="J481" s="5" t="n">
        <v>0</v>
      </c>
      <c r="K481" s="3" t="inlineStr">
        <is>
          <t>Garis Lurus</t>
        </is>
      </c>
      <c r="L481" s="5">
        <f>IFERROR(M481/12,"")</f>
        <v/>
      </c>
      <c r="M481" s="5">
        <f>IFERROR((H481-J481)/I481,"")</f>
        <v/>
      </c>
      <c r="N481" s="5">
        <f>IFERROR(M481,"")</f>
        <v/>
      </c>
      <c r="O481" s="5">
        <f>IFERROR(H481-N481,"")</f>
        <v/>
      </c>
      <c r="P481" s="3" t="inlineStr">
        <is>
          <t>Belum dihitung</t>
        </is>
      </c>
      <c r="Q481" s="3" t="n"/>
    </row>
    <row r="482">
      <c r="A482" s="3" t="n">
        <v>481</v>
      </c>
      <c r="B482" s="3" t="inlineStr">
        <is>
          <t>Desember 2025</t>
        </is>
      </c>
      <c r="C482" s="3">
        <f>'Data Aset'!B484</f>
        <v/>
      </c>
      <c r="D482" s="3">
        <f>'Data Aset'!F484</f>
        <v/>
      </c>
      <c r="E482" s="3" t="inlineStr">
        <is>
          <t>Inventaris Ruangan</t>
        </is>
      </c>
      <c r="F482" s="3">
        <f>'Data Aset'!C484</f>
        <v/>
      </c>
      <c r="G482" s="3">
        <f>'Data Aset'!J484</f>
        <v/>
      </c>
      <c r="H482" s="5">
        <f>'Data Aset'!M484</f>
        <v/>
      </c>
      <c r="I482" s="3">
        <f>'Data Aset'!O484</f>
        <v/>
      </c>
      <c r="J482" s="5" t="n">
        <v>0</v>
      </c>
      <c r="K482" s="3" t="inlineStr">
        <is>
          <t>Garis Lurus</t>
        </is>
      </c>
      <c r="L482" s="5">
        <f>IFERROR(M482/12,"")</f>
        <v/>
      </c>
      <c r="M482" s="5">
        <f>IFERROR((H482-J482)/I482,"")</f>
        <v/>
      </c>
      <c r="N482" s="5">
        <f>IFERROR(M482,"")</f>
        <v/>
      </c>
      <c r="O482" s="5">
        <f>IFERROR(H482-N482,"")</f>
        <v/>
      </c>
      <c r="P482" s="3" t="inlineStr">
        <is>
          <t>Belum dihitung</t>
        </is>
      </c>
      <c r="Q482" s="3" t="n"/>
    </row>
    <row r="483">
      <c r="A483" s="3" t="n">
        <v>482</v>
      </c>
      <c r="B483" s="3" t="inlineStr">
        <is>
          <t>Desember 2025</t>
        </is>
      </c>
      <c r="C483" s="3">
        <f>'Data Aset'!B485</f>
        <v/>
      </c>
      <c r="D483" s="3">
        <f>'Data Aset'!F485</f>
        <v/>
      </c>
      <c r="E483" s="3" t="inlineStr">
        <is>
          <t>Inventaris Ruangan</t>
        </is>
      </c>
      <c r="F483" s="3">
        <f>'Data Aset'!C485</f>
        <v/>
      </c>
      <c r="G483" s="3">
        <f>'Data Aset'!J485</f>
        <v/>
      </c>
      <c r="H483" s="5">
        <f>'Data Aset'!M485</f>
        <v/>
      </c>
      <c r="I483" s="3">
        <f>'Data Aset'!O485</f>
        <v/>
      </c>
      <c r="J483" s="5" t="n">
        <v>0</v>
      </c>
      <c r="K483" s="3" t="inlineStr">
        <is>
          <t>Garis Lurus</t>
        </is>
      </c>
      <c r="L483" s="5">
        <f>IFERROR(M483/12,"")</f>
        <v/>
      </c>
      <c r="M483" s="5">
        <f>IFERROR((H483-J483)/I483,"")</f>
        <v/>
      </c>
      <c r="N483" s="5">
        <f>IFERROR(M483,"")</f>
        <v/>
      </c>
      <c r="O483" s="5">
        <f>IFERROR(H483-N483,"")</f>
        <v/>
      </c>
      <c r="P483" s="3" t="inlineStr">
        <is>
          <t>Belum dihitung</t>
        </is>
      </c>
      <c r="Q483" s="3" t="n"/>
    </row>
    <row r="484">
      <c r="A484" s="3" t="n">
        <v>483</v>
      </c>
      <c r="B484" s="3" t="inlineStr">
        <is>
          <t>Desember 2025</t>
        </is>
      </c>
      <c r="C484" s="3">
        <f>'Data Aset'!B486</f>
        <v/>
      </c>
      <c r="D484" s="3">
        <f>'Data Aset'!F486</f>
        <v/>
      </c>
      <c r="E484" s="3" t="inlineStr">
        <is>
          <t>Inventaris Ruangan</t>
        </is>
      </c>
      <c r="F484" s="3">
        <f>'Data Aset'!C486</f>
        <v/>
      </c>
      <c r="G484" s="3">
        <f>'Data Aset'!J486</f>
        <v/>
      </c>
      <c r="H484" s="5">
        <f>'Data Aset'!M486</f>
        <v/>
      </c>
      <c r="I484" s="3">
        <f>'Data Aset'!O486</f>
        <v/>
      </c>
      <c r="J484" s="5" t="n">
        <v>0</v>
      </c>
      <c r="K484" s="3" t="inlineStr">
        <is>
          <t>Garis Lurus</t>
        </is>
      </c>
      <c r="L484" s="5">
        <f>IFERROR(M484/12,"")</f>
        <v/>
      </c>
      <c r="M484" s="5">
        <f>IFERROR((H484-J484)/I484,"")</f>
        <v/>
      </c>
      <c r="N484" s="5">
        <f>IFERROR(M484,"")</f>
        <v/>
      </c>
      <c r="O484" s="5">
        <f>IFERROR(H484-N484,"")</f>
        <v/>
      </c>
      <c r="P484" s="3" t="inlineStr">
        <is>
          <t>Belum dihitung</t>
        </is>
      </c>
      <c r="Q484" s="3" t="n"/>
    </row>
    <row r="485">
      <c r="A485" s="3" t="n">
        <v>484</v>
      </c>
      <c r="B485" s="3" t="inlineStr">
        <is>
          <t>Desember 2025</t>
        </is>
      </c>
      <c r="C485" s="3">
        <f>'Data Aset'!B487</f>
        <v/>
      </c>
      <c r="D485" s="3">
        <f>'Data Aset'!F487</f>
        <v/>
      </c>
      <c r="E485" s="3" t="inlineStr">
        <is>
          <t>Inventaris Ruangan</t>
        </is>
      </c>
      <c r="F485" s="3">
        <f>'Data Aset'!C487</f>
        <v/>
      </c>
      <c r="G485" s="3">
        <f>'Data Aset'!J487</f>
        <v/>
      </c>
      <c r="H485" s="5">
        <f>'Data Aset'!M487</f>
        <v/>
      </c>
      <c r="I485" s="3">
        <f>'Data Aset'!O487</f>
        <v/>
      </c>
      <c r="J485" s="5" t="n">
        <v>0</v>
      </c>
      <c r="K485" s="3" t="inlineStr">
        <is>
          <t>Garis Lurus</t>
        </is>
      </c>
      <c r="L485" s="5">
        <f>IFERROR(M485/12,"")</f>
        <v/>
      </c>
      <c r="M485" s="5">
        <f>IFERROR((H485-J485)/I485,"")</f>
        <v/>
      </c>
      <c r="N485" s="5">
        <f>IFERROR(M485,"")</f>
        <v/>
      </c>
      <c r="O485" s="5">
        <f>IFERROR(H485-N485,"")</f>
        <v/>
      </c>
      <c r="P485" s="3" t="inlineStr">
        <is>
          <t>Belum dihitung</t>
        </is>
      </c>
      <c r="Q485" s="3" t="n"/>
    </row>
    <row r="486">
      <c r="A486" s="3" t="n">
        <v>485</v>
      </c>
      <c r="B486" s="3" t="inlineStr">
        <is>
          <t>Desember 2025</t>
        </is>
      </c>
      <c r="C486" s="3">
        <f>'Data Aset'!B488</f>
        <v/>
      </c>
      <c r="D486" s="3">
        <f>'Data Aset'!F488</f>
        <v/>
      </c>
      <c r="E486" s="3" t="inlineStr">
        <is>
          <t>Inventaris Ruangan</t>
        </is>
      </c>
      <c r="F486" s="3">
        <f>'Data Aset'!C488</f>
        <v/>
      </c>
      <c r="G486" s="3">
        <f>'Data Aset'!J488</f>
        <v/>
      </c>
      <c r="H486" s="5">
        <f>'Data Aset'!M488</f>
        <v/>
      </c>
      <c r="I486" s="3">
        <f>'Data Aset'!O488</f>
        <v/>
      </c>
      <c r="J486" s="5" t="n">
        <v>0</v>
      </c>
      <c r="K486" s="3" t="inlineStr">
        <is>
          <t>Garis Lurus</t>
        </is>
      </c>
      <c r="L486" s="5">
        <f>IFERROR(M486/12,"")</f>
        <v/>
      </c>
      <c r="M486" s="5">
        <f>IFERROR((H486-J486)/I486,"")</f>
        <v/>
      </c>
      <c r="N486" s="5">
        <f>IFERROR(M486,"")</f>
        <v/>
      </c>
      <c r="O486" s="5">
        <f>IFERROR(H486-N486,"")</f>
        <v/>
      </c>
      <c r="P486" s="3" t="inlineStr">
        <is>
          <t>Belum dihitung</t>
        </is>
      </c>
      <c r="Q486" s="3" t="n"/>
    </row>
    <row r="487">
      <c r="A487" s="3" t="n">
        <v>486</v>
      </c>
      <c r="B487" s="3" t="inlineStr">
        <is>
          <t>Desember 2025</t>
        </is>
      </c>
      <c r="C487" s="3">
        <f>'Data Aset'!B489</f>
        <v/>
      </c>
      <c r="D487" s="3">
        <f>'Data Aset'!F489</f>
        <v/>
      </c>
      <c r="E487" s="3" t="inlineStr">
        <is>
          <t>Inventaris Ruangan</t>
        </is>
      </c>
      <c r="F487" s="3">
        <f>'Data Aset'!C489</f>
        <v/>
      </c>
      <c r="G487" s="3">
        <f>'Data Aset'!J489</f>
        <v/>
      </c>
      <c r="H487" s="5">
        <f>'Data Aset'!M489</f>
        <v/>
      </c>
      <c r="I487" s="3">
        <f>'Data Aset'!O489</f>
        <v/>
      </c>
      <c r="J487" s="5" t="n">
        <v>0</v>
      </c>
      <c r="K487" s="3" t="inlineStr">
        <is>
          <t>Garis Lurus</t>
        </is>
      </c>
      <c r="L487" s="5">
        <f>IFERROR(M487/12,"")</f>
        <v/>
      </c>
      <c r="M487" s="5">
        <f>IFERROR((H487-J487)/I487,"")</f>
        <v/>
      </c>
      <c r="N487" s="5">
        <f>IFERROR(M487,"")</f>
        <v/>
      </c>
      <c r="O487" s="5">
        <f>IFERROR(H487-N487,"")</f>
        <v/>
      </c>
      <c r="P487" s="3" t="inlineStr">
        <is>
          <t>Belum dihitung</t>
        </is>
      </c>
      <c r="Q487" s="3" t="n"/>
    </row>
    <row r="488">
      <c r="A488" s="3" t="n">
        <v>487</v>
      </c>
      <c r="B488" s="3" t="inlineStr">
        <is>
          <t>Desember 2025</t>
        </is>
      </c>
      <c r="C488" s="3">
        <f>'Data Aset'!B490</f>
        <v/>
      </c>
      <c r="D488" s="3">
        <f>'Data Aset'!F490</f>
        <v/>
      </c>
      <c r="E488" s="3" t="inlineStr">
        <is>
          <t>Inventaris Ruangan</t>
        </is>
      </c>
      <c r="F488" s="3">
        <f>'Data Aset'!C490</f>
        <v/>
      </c>
      <c r="G488" s="3">
        <f>'Data Aset'!J490</f>
        <v/>
      </c>
      <c r="H488" s="5">
        <f>'Data Aset'!M490</f>
        <v/>
      </c>
      <c r="I488" s="3">
        <f>'Data Aset'!O490</f>
        <v/>
      </c>
      <c r="J488" s="5" t="n">
        <v>0</v>
      </c>
      <c r="K488" s="3" t="inlineStr">
        <is>
          <t>Garis Lurus</t>
        </is>
      </c>
      <c r="L488" s="5">
        <f>IFERROR(M488/12,"")</f>
        <v/>
      </c>
      <c r="M488" s="5">
        <f>IFERROR((H488-J488)/I488,"")</f>
        <v/>
      </c>
      <c r="N488" s="5">
        <f>IFERROR(M488,"")</f>
        <v/>
      </c>
      <c r="O488" s="5">
        <f>IFERROR(H488-N488,"")</f>
        <v/>
      </c>
      <c r="P488" s="3" t="inlineStr">
        <is>
          <t>Belum dihitung</t>
        </is>
      </c>
      <c r="Q488" s="3" t="n"/>
    </row>
    <row r="489">
      <c r="A489" s="3" t="n">
        <v>488</v>
      </c>
      <c r="B489" s="3" t="inlineStr">
        <is>
          <t>Desember 2025</t>
        </is>
      </c>
      <c r="C489" s="3">
        <f>'Data Aset'!B491</f>
        <v/>
      </c>
      <c r="D489" s="3">
        <f>'Data Aset'!F491</f>
        <v/>
      </c>
      <c r="E489" s="3" t="inlineStr">
        <is>
          <t>Inventaris Ruangan</t>
        </is>
      </c>
      <c r="F489" s="3">
        <f>'Data Aset'!C491</f>
        <v/>
      </c>
      <c r="G489" s="3">
        <f>'Data Aset'!J491</f>
        <v/>
      </c>
      <c r="H489" s="5">
        <f>'Data Aset'!M491</f>
        <v/>
      </c>
      <c r="I489" s="3">
        <f>'Data Aset'!O491</f>
        <v/>
      </c>
      <c r="J489" s="5" t="n">
        <v>0</v>
      </c>
      <c r="K489" s="3" t="inlineStr">
        <is>
          <t>Garis Lurus</t>
        </is>
      </c>
      <c r="L489" s="5">
        <f>IFERROR(M489/12,"")</f>
        <v/>
      </c>
      <c r="M489" s="5">
        <f>IFERROR((H489-J489)/I489,"")</f>
        <v/>
      </c>
      <c r="N489" s="5">
        <f>IFERROR(M489,"")</f>
        <v/>
      </c>
      <c r="O489" s="5">
        <f>IFERROR(H489-N489,"")</f>
        <v/>
      </c>
      <c r="P489" s="3" t="inlineStr">
        <is>
          <t>Belum dihitung</t>
        </is>
      </c>
      <c r="Q489" s="3" t="n"/>
    </row>
    <row r="490">
      <c r="A490" s="3" t="n">
        <v>489</v>
      </c>
      <c r="B490" s="3" t="inlineStr">
        <is>
          <t>Desember 2025</t>
        </is>
      </c>
      <c r="C490" s="3">
        <f>'Data Aset'!B492</f>
        <v/>
      </c>
      <c r="D490" s="3">
        <f>'Data Aset'!F492</f>
        <v/>
      </c>
      <c r="E490" s="3" t="inlineStr">
        <is>
          <t>Inventaris Ruangan</t>
        </is>
      </c>
      <c r="F490" s="3">
        <f>'Data Aset'!C492</f>
        <v/>
      </c>
      <c r="G490" s="3">
        <f>'Data Aset'!J492</f>
        <v/>
      </c>
      <c r="H490" s="5">
        <f>'Data Aset'!M492</f>
        <v/>
      </c>
      <c r="I490" s="3">
        <f>'Data Aset'!O492</f>
        <v/>
      </c>
      <c r="J490" s="5" t="n">
        <v>0</v>
      </c>
      <c r="K490" s="3" t="inlineStr">
        <is>
          <t>Garis Lurus</t>
        </is>
      </c>
      <c r="L490" s="5">
        <f>IFERROR(M490/12,"")</f>
        <v/>
      </c>
      <c r="M490" s="5">
        <f>IFERROR((H490-J490)/I490,"")</f>
        <v/>
      </c>
      <c r="N490" s="5">
        <f>IFERROR(M490,"")</f>
        <v/>
      </c>
      <c r="O490" s="5">
        <f>IFERROR(H490-N490,"")</f>
        <v/>
      </c>
      <c r="P490" s="3" t="inlineStr">
        <is>
          <t>Belum dihitung</t>
        </is>
      </c>
      <c r="Q490" s="3" t="n"/>
    </row>
    <row r="491">
      <c r="A491" s="3" t="n">
        <v>490</v>
      </c>
      <c r="B491" s="3" t="inlineStr">
        <is>
          <t>Desember 2025</t>
        </is>
      </c>
      <c r="C491" s="3">
        <f>'Data Aset'!B493</f>
        <v/>
      </c>
      <c r="D491" s="3">
        <f>'Data Aset'!F493</f>
        <v/>
      </c>
      <c r="E491" s="3" t="inlineStr">
        <is>
          <t>Inventaris Ruangan</t>
        </is>
      </c>
      <c r="F491" s="3">
        <f>'Data Aset'!C493</f>
        <v/>
      </c>
      <c r="G491" s="3">
        <f>'Data Aset'!J493</f>
        <v/>
      </c>
      <c r="H491" s="5">
        <f>'Data Aset'!M493</f>
        <v/>
      </c>
      <c r="I491" s="3">
        <f>'Data Aset'!O493</f>
        <v/>
      </c>
      <c r="J491" s="5" t="n">
        <v>0</v>
      </c>
      <c r="K491" s="3" t="inlineStr">
        <is>
          <t>Garis Lurus</t>
        </is>
      </c>
      <c r="L491" s="5">
        <f>IFERROR(M491/12,"")</f>
        <v/>
      </c>
      <c r="M491" s="5">
        <f>IFERROR((H491-J491)/I491,"")</f>
        <v/>
      </c>
      <c r="N491" s="5">
        <f>IFERROR(M491,"")</f>
        <v/>
      </c>
      <c r="O491" s="5">
        <f>IFERROR(H491-N491,"")</f>
        <v/>
      </c>
      <c r="P491" s="3" t="inlineStr">
        <is>
          <t>Belum dihitung</t>
        </is>
      </c>
      <c r="Q491" s="3" t="n"/>
    </row>
    <row r="492">
      <c r="A492" s="3" t="n">
        <v>491</v>
      </c>
      <c r="B492" s="3" t="inlineStr">
        <is>
          <t>Desember 2025</t>
        </is>
      </c>
      <c r="C492" s="3">
        <f>'Data Aset'!B494</f>
        <v/>
      </c>
      <c r="D492" s="3">
        <f>'Data Aset'!F494</f>
        <v/>
      </c>
      <c r="E492" s="3" t="inlineStr">
        <is>
          <t>Inventaris Ruangan</t>
        </is>
      </c>
      <c r="F492" s="3">
        <f>'Data Aset'!C494</f>
        <v/>
      </c>
      <c r="G492" s="3">
        <f>'Data Aset'!J494</f>
        <v/>
      </c>
      <c r="H492" s="5">
        <f>'Data Aset'!M494</f>
        <v/>
      </c>
      <c r="I492" s="3">
        <f>'Data Aset'!O494</f>
        <v/>
      </c>
      <c r="J492" s="5" t="n">
        <v>0</v>
      </c>
      <c r="K492" s="3" t="inlineStr">
        <is>
          <t>Garis Lurus</t>
        </is>
      </c>
      <c r="L492" s="5">
        <f>IFERROR(M492/12,"")</f>
        <v/>
      </c>
      <c r="M492" s="5">
        <f>IFERROR((H492-J492)/I492,"")</f>
        <v/>
      </c>
      <c r="N492" s="5">
        <f>IFERROR(M492,"")</f>
        <v/>
      </c>
      <c r="O492" s="5">
        <f>IFERROR(H492-N492,"")</f>
        <v/>
      </c>
      <c r="P492" s="3" t="inlineStr">
        <is>
          <t>Belum dihitung</t>
        </is>
      </c>
      <c r="Q492" s="3" t="n"/>
    </row>
    <row r="493">
      <c r="A493" s="3" t="n">
        <v>492</v>
      </c>
      <c r="B493" s="3" t="inlineStr">
        <is>
          <t>Desember 2025</t>
        </is>
      </c>
      <c r="C493" s="3">
        <f>'Data Aset'!B495</f>
        <v/>
      </c>
      <c r="D493" s="3">
        <f>'Data Aset'!F495</f>
        <v/>
      </c>
      <c r="E493" s="3" t="inlineStr">
        <is>
          <t>Inventaris Ruangan</t>
        </is>
      </c>
      <c r="F493" s="3">
        <f>'Data Aset'!C495</f>
        <v/>
      </c>
      <c r="G493" s="3">
        <f>'Data Aset'!J495</f>
        <v/>
      </c>
      <c r="H493" s="5">
        <f>'Data Aset'!M495</f>
        <v/>
      </c>
      <c r="I493" s="3">
        <f>'Data Aset'!O495</f>
        <v/>
      </c>
      <c r="J493" s="5" t="n">
        <v>0</v>
      </c>
      <c r="K493" s="3" t="inlineStr">
        <is>
          <t>Garis Lurus</t>
        </is>
      </c>
      <c r="L493" s="5">
        <f>IFERROR(M493/12,"")</f>
        <v/>
      </c>
      <c r="M493" s="5">
        <f>IFERROR((H493-J493)/I493,"")</f>
        <v/>
      </c>
      <c r="N493" s="5">
        <f>IFERROR(M493,"")</f>
        <v/>
      </c>
      <c r="O493" s="5">
        <f>IFERROR(H493-N493,"")</f>
        <v/>
      </c>
      <c r="P493" s="3" t="inlineStr">
        <is>
          <t>Belum dihitung</t>
        </is>
      </c>
      <c r="Q493" s="3" t="n"/>
    </row>
    <row r="494">
      <c r="A494" s="3" t="n">
        <v>493</v>
      </c>
      <c r="B494" s="3" t="inlineStr">
        <is>
          <t>Desember 2025</t>
        </is>
      </c>
      <c r="C494" s="3">
        <f>'Data Aset'!B496</f>
        <v/>
      </c>
      <c r="D494" s="3">
        <f>'Data Aset'!F496</f>
        <v/>
      </c>
      <c r="E494" s="3" t="inlineStr">
        <is>
          <t>Inventaris Ruangan</t>
        </is>
      </c>
      <c r="F494" s="3">
        <f>'Data Aset'!C496</f>
        <v/>
      </c>
      <c r="G494" s="3">
        <f>'Data Aset'!J496</f>
        <v/>
      </c>
      <c r="H494" s="5">
        <f>'Data Aset'!M496</f>
        <v/>
      </c>
      <c r="I494" s="3">
        <f>'Data Aset'!O496</f>
        <v/>
      </c>
      <c r="J494" s="5" t="n">
        <v>0</v>
      </c>
      <c r="K494" s="3" t="inlineStr">
        <is>
          <t>Garis Lurus</t>
        </is>
      </c>
      <c r="L494" s="5">
        <f>IFERROR(M494/12,"")</f>
        <v/>
      </c>
      <c r="M494" s="5">
        <f>IFERROR((H494-J494)/I494,"")</f>
        <v/>
      </c>
      <c r="N494" s="5">
        <f>IFERROR(M494,"")</f>
        <v/>
      </c>
      <c r="O494" s="5">
        <f>IFERROR(H494-N494,"")</f>
        <v/>
      </c>
      <c r="P494" s="3" t="inlineStr">
        <is>
          <t>Belum dihitung</t>
        </is>
      </c>
      <c r="Q494" s="3" t="n"/>
    </row>
    <row r="495">
      <c r="A495" s="3" t="n">
        <v>494</v>
      </c>
      <c r="B495" s="3" t="inlineStr">
        <is>
          <t>Desember 2025</t>
        </is>
      </c>
      <c r="C495" s="3">
        <f>'Data Aset'!B497</f>
        <v/>
      </c>
      <c r="D495" s="3">
        <f>'Data Aset'!F497</f>
        <v/>
      </c>
      <c r="E495" s="3" t="inlineStr">
        <is>
          <t>Inventaris Ruangan</t>
        </is>
      </c>
      <c r="F495" s="3">
        <f>'Data Aset'!C497</f>
        <v/>
      </c>
      <c r="G495" s="3">
        <f>'Data Aset'!J497</f>
        <v/>
      </c>
      <c r="H495" s="5">
        <f>'Data Aset'!M497</f>
        <v/>
      </c>
      <c r="I495" s="3">
        <f>'Data Aset'!O497</f>
        <v/>
      </c>
      <c r="J495" s="5" t="n">
        <v>0</v>
      </c>
      <c r="K495" s="3" t="inlineStr">
        <is>
          <t>Garis Lurus</t>
        </is>
      </c>
      <c r="L495" s="5">
        <f>IFERROR(M495/12,"")</f>
        <v/>
      </c>
      <c r="M495" s="5">
        <f>IFERROR((H495-J495)/I495,"")</f>
        <v/>
      </c>
      <c r="N495" s="5">
        <f>IFERROR(M495,"")</f>
        <v/>
      </c>
      <c r="O495" s="5">
        <f>IFERROR(H495-N495,"")</f>
        <v/>
      </c>
      <c r="P495" s="3" t="inlineStr">
        <is>
          <t>Belum dihitung</t>
        </is>
      </c>
      <c r="Q495" s="3" t="n"/>
    </row>
    <row r="496">
      <c r="A496" s="3" t="n">
        <v>495</v>
      </c>
      <c r="B496" s="3" t="inlineStr">
        <is>
          <t>Desember 2025</t>
        </is>
      </c>
      <c r="C496" s="3">
        <f>'Data Aset'!B498</f>
        <v/>
      </c>
      <c r="D496" s="3">
        <f>'Data Aset'!F498</f>
        <v/>
      </c>
      <c r="E496" s="3" t="inlineStr">
        <is>
          <t>Inventaris Ruangan</t>
        </is>
      </c>
      <c r="F496" s="3">
        <f>'Data Aset'!C498</f>
        <v/>
      </c>
      <c r="G496" s="3">
        <f>'Data Aset'!J498</f>
        <v/>
      </c>
      <c r="H496" s="5">
        <f>'Data Aset'!M498</f>
        <v/>
      </c>
      <c r="I496" s="3">
        <f>'Data Aset'!O498</f>
        <v/>
      </c>
      <c r="J496" s="5" t="n">
        <v>0</v>
      </c>
      <c r="K496" s="3" t="inlineStr">
        <is>
          <t>Garis Lurus</t>
        </is>
      </c>
      <c r="L496" s="5">
        <f>IFERROR(M496/12,"")</f>
        <v/>
      </c>
      <c r="M496" s="5">
        <f>IFERROR((H496-J496)/I496,"")</f>
        <v/>
      </c>
      <c r="N496" s="5">
        <f>IFERROR(M496,"")</f>
        <v/>
      </c>
      <c r="O496" s="5">
        <f>IFERROR(H496-N496,"")</f>
        <v/>
      </c>
      <c r="P496" s="3" t="inlineStr">
        <is>
          <t>Belum dihitung</t>
        </is>
      </c>
      <c r="Q496" s="3" t="n"/>
    </row>
    <row r="497">
      <c r="A497" s="3" t="n">
        <v>496</v>
      </c>
      <c r="B497" s="3" t="inlineStr">
        <is>
          <t>Desember 2025</t>
        </is>
      </c>
      <c r="C497" s="3">
        <f>'Data Aset'!B499</f>
        <v/>
      </c>
      <c r="D497" s="3">
        <f>'Data Aset'!F499</f>
        <v/>
      </c>
      <c r="E497" s="3" t="inlineStr">
        <is>
          <t>Inventaris Ruangan</t>
        </is>
      </c>
      <c r="F497" s="3">
        <f>'Data Aset'!C499</f>
        <v/>
      </c>
      <c r="G497" s="3">
        <f>'Data Aset'!J499</f>
        <v/>
      </c>
      <c r="H497" s="5">
        <f>'Data Aset'!M499</f>
        <v/>
      </c>
      <c r="I497" s="3">
        <f>'Data Aset'!O499</f>
        <v/>
      </c>
      <c r="J497" s="5" t="n">
        <v>0</v>
      </c>
      <c r="K497" s="3" t="inlineStr">
        <is>
          <t>Garis Lurus</t>
        </is>
      </c>
      <c r="L497" s="5">
        <f>IFERROR(M497/12,"")</f>
        <v/>
      </c>
      <c r="M497" s="5">
        <f>IFERROR((H497-J497)/I497,"")</f>
        <v/>
      </c>
      <c r="N497" s="5">
        <f>IFERROR(M497,"")</f>
        <v/>
      </c>
      <c r="O497" s="5">
        <f>IFERROR(H497-N497,"")</f>
        <v/>
      </c>
      <c r="P497" s="3" t="inlineStr">
        <is>
          <t>Belum dihitung</t>
        </is>
      </c>
      <c r="Q497" s="3" t="n"/>
    </row>
    <row r="498">
      <c r="A498" s="3" t="n">
        <v>497</v>
      </c>
      <c r="B498" s="3" t="inlineStr">
        <is>
          <t>Desember 2025</t>
        </is>
      </c>
      <c r="C498" s="3">
        <f>'Data Aset'!B500</f>
        <v/>
      </c>
      <c r="D498" s="3">
        <f>'Data Aset'!F500</f>
        <v/>
      </c>
      <c r="E498" s="3" t="inlineStr">
        <is>
          <t>Inventaris Ruangan</t>
        </is>
      </c>
      <c r="F498" s="3">
        <f>'Data Aset'!C500</f>
        <v/>
      </c>
      <c r="G498" s="3">
        <f>'Data Aset'!J500</f>
        <v/>
      </c>
      <c r="H498" s="5">
        <f>'Data Aset'!M500</f>
        <v/>
      </c>
      <c r="I498" s="3">
        <f>'Data Aset'!O500</f>
        <v/>
      </c>
      <c r="J498" s="5" t="n">
        <v>0</v>
      </c>
      <c r="K498" s="3" t="inlineStr">
        <is>
          <t>Garis Lurus</t>
        </is>
      </c>
      <c r="L498" s="5">
        <f>IFERROR(M498/12,"")</f>
        <v/>
      </c>
      <c r="M498" s="5">
        <f>IFERROR((H498-J498)/I498,"")</f>
        <v/>
      </c>
      <c r="N498" s="5">
        <f>IFERROR(M498,"")</f>
        <v/>
      </c>
      <c r="O498" s="5">
        <f>IFERROR(H498-N498,"")</f>
        <v/>
      </c>
      <c r="P498" s="3" t="inlineStr">
        <is>
          <t>Belum dihitung</t>
        </is>
      </c>
      <c r="Q498" s="3" t="n"/>
    </row>
    <row r="499">
      <c r="A499" s="3" t="n">
        <v>498</v>
      </c>
      <c r="B499" s="3" t="inlineStr">
        <is>
          <t>Desember 2025</t>
        </is>
      </c>
      <c r="C499" s="3">
        <f>'Data Aset'!B501</f>
        <v/>
      </c>
      <c r="D499" s="3">
        <f>'Data Aset'!F501</f>
        <v/>
      </c>
      <c r="E499" s="3" t="inlineStr">
        <is>
          <t>Inventaris Ruangan</t>
        </is>
      </c>
      <c r="F499" s="3">
        <f>'Data Aset'!C501</f>
        <v/>
      </c>
      <c r="G499" s="3">
        <f>'Data Aset'!J501</f>
        <v/>
      </c>
      <c r="H499" s="5">
        <f>'Data Aset'!M501</f>
        <v/>
      </c>
      <c r="I499" s="3">
        <f>'Data Aset'!O501</f>
        <v/>
      </c>
      <c r="J499" s="5" t="n">
        <v>0</v>
      </c>
      <c r="K499" s="3" t="inlineStr">
        <is>
          <t>Garis Lurus</t>
        </is>
      </c>
      <c r="L499" s="5">
        <f>IFERROR(M499/12,"")</f>
        <v/>
      </c>
      <c r="M499" s="5">
        <f>IFERROR((H499-J499)/I499,"")</f>
        <v/>
      </c>
      <c r="N499" s="5">
        <f>IFERROR(M499,"")</f>
        <v/>
      </c>
      <c r="O499" s="5">
        <f>IFERROR(H499-N499,"")</f>
        <v/>
      </c>
      <c r="P499" s="3" t="inlineStr">
        <is>
          <t>Belum dihitung</t>
        </is>
      </c>
      <c r="Q499" s="3" t="n"/>
    </row>
    <row r="500">
      <c r="A500" s="3" t="n">
        <v>499</v>
      </c>
      <c r="B500" s="3" t="inlineStr">
        <is>
          <t>Desember 2025</t>
        </is>
      </c>
      <c r="C500" s="3">
        <f>'Data Aset'!B502</f>
        <v/>
      </c>
      <c r="D500" s="3">
        <f>'Data Aset'!F502</f>
        <v/>
      </c>
      <c r="E500" s="3" t="inlineStr">
        <is>
          <t>Inventaris Ruangan</t>
        </is>
      </c>
      <c r="F500" s="3">
        <f>'Data Aset'!C502</f>
        <v/>
      </c>
      <c r="G500" s="3">
        <f>'Data Aset'!J502</f>
        <v/>
      </c>
      <c r="H500" s="5">
        <f>'Data Aset'!M502</f>
        <v/>
      </c>
      <c r="I500" s="3">
        <f>'Data Aset'!O502</f>
        <v/>
      </c>
      <c r="J500" s="5" t="n">
        <v>0</v>
      </c>
      <c r="K500" s="3" t="inlineStr">
        <is>
          <t>Garis Lurus</t>
        </is>
      </c>
      <c r="L500" s="5">
        <f>IFERROR(M500/12,"")</f>
        <v/>
      </c>
      <c r="M500" s="5">
        <f>IFERROR((H500-J500)/I500,"")</f>
        <v/>
      </c>
      <c r="N500" s="5">
        <f>IFERROR(M500,"")</f>
        <v/>
      </c>
      <c r="O500" s="5">
        <f>IFERROR(H500-N500,"")</f>
        <v/>
      </c>
      <c r="P500" s="3" t="inlineStr">
        <is>
          <t>Belum dihitung</t>
        </is>
      </c>
      <c r="Q500" s="3" t="n"/>
    </row>
    <row r="501">
      <c r="A501" s="3" t="n">
        <v>500</v>
      </c>
      <c r="B501" s="3" t="inlineStr">
        <is>
          <t>Desember 2025</t>
        </is>
      </c>
      <c r="C501" s="3">
        <f>'Data Aset'!B503</f>
        <v/>
      </c>
      <c r="D501" s="3">
        <f>'Data Aset'!F503</f>
        <v/>
      </c>
      <c r="E501" s="3" t="inlineStr">
        <is>
          <t>Inventaris Ruangan</t>
        </is>
      </c>
      <c r="F501" s="3">
        <f>'Data Aset'!C503</f>
        <v/>
      </c>
      <c r="G501" s="3">
        <f>'Data Aset'!J503</f>
        <v/>
      </c>
      <c r="H501" s="5">
        <f>'Data Aset'!M503</f>
        <v/>
      </c>
      <c r="I501" s="3">
        <f>'Data Aset'!O503</f>
        <v/>
      </c>
      <c r="J501" s="5" t="n">
        <v>0</v>
      </c>
      <c r="K501" s="3" t="inlineStr">
        <is>
          <t>Garis Lurus</t>
        </is>
      </c>
      <c r="L501" s="5">
        <f>IFERROR(M501/12,"")</f>
        <v/>
      </c>
      <c r="M501" s="5">
        <f>IFERROR((H501-J501)/I501,"")</f>
        <v/>
      </c>
      <c r="N501" s="5">
        <f>IFERROR(M501,"")</f>
        <v/>
      </c>
      <c r="O501" s="5">
        <f>IFERROR(H501-N501,"")</f>
        <v/>
      </c>
      <c r="P501" s="3" t="inlineStr">
        <is>
          <t>Belum dihitung</t>
        </is>
      </c>
      <c r="Q501" s="3" t="n"/>
    </row>
    <row r="502">
      <c r="A502" s="3" t="n">
        <v>501</v>
      </c>
      <c r="B502" s="3" t="inlineStr">
        <is>
          <t>Desember 2025</t>
        </is>
      </c>
      <c r="C502" s="3">
        <f>'Data Aset'!B504</f>
        <v/>
      </c>
      <c r="D502" s="3">
        <f>'Data Aset'!F504</f>
        <v/>
      </c>
      <c r="E502" s="3" t="inlineStr">
        <is>
          <t>Inventaris Ruangan</t>
        </is>
      </c>
      <c r="F502" s="3">
        <f>'Data Aset'!C504</f>
        <v/>
      </c>
      <c r="G502" s="3">
        <f>'Data Aset'!J504</f>
        <v/>
      </c>
      <c r="H502" s="5">
        <f>'Data Aset'!M504</f>
        <v/>
      </c>
      <c r="I502" s="3">
        <f>'Data Aset'!O504</f>
        <v/>
      </c>
      <c r="J502" s="5" t="n">
        <v>0</v>
      </c>
      <c r="K502" s="3" t="inlineStr">
        <is>
          <t>Garis Lurus</t>
        </is>
      </c>
      <c r="L502" s="5">
        <f>IFERROR(M502/12,"")</f>
        <v/>
      </c>
      <c r="M502" s="5">
        <f>IFERROR((H502-J502)/I502,"")</f>
        <v/>
      </c>
      <c r="N502" s="5">
        <f>IFERROR(M502,"")</f>
        <v/>
      </c>
      <c r="O502" s="5">
        <f>IFERROR(H502-N502,"")</f>
        <v/>
      </c>
      <c r="P502" s="3" t="inlineStr">
        <is>
          <t>Belum dihitung</t>
        </is>
      </c>
      <c r="Q502" s="3" t="n"/>
    </row>
    <row r="503">
      <c r="A503" s="3" t="n">
        <v>502</v>
      </c>
      <c r="B503" s="3" t="inlineStr">
        <is>
          <t>Desember 2025</t>
        </is>
      </c>
      <c r="C503" s="3">
        <f>'Data Aset'!B505</f>
        <v/>
      </c>
      <c r="D503" s="3">
        <f>'Data Aset'!F505</f>
        <v/>
      </c>
      <c r="E503" s="3" t="inlineStr">
        <is>
          <t>Inventaris Ruangan</t>
        </is>
      </c>
      <c r="F503" s="3">
        <f>'Data Aset'!C505</f>
        <v/>
      </c>
      <c r="G503" s="3">
        <f>'Data Aset'!J505</f>
        <v/>
      </c>
      <c r="H503" s="5">
        <f>'Data Aset'!M505</f>
        <v/>
      </c>
      <c r="I503" s="3">
        <f>'Data Aset'!O505</f>
        <v/>
      </c>
      <c r="J503" s="5" t="n">
        <v>0</v>
      </c>
      <c r="K503" s="3" t="inlineStr">
        <is>
          <t>Garis Lurus</t>
        </is>
      </c>
      <c r="L503" s="5">
        <f>IFERROR(M503/12,"")</f>
        <v/>
      </c>
      <c r="M503" s="5">
        <f>IFERROR((H503-J503)/I503,"")</f>
        <v/>
      </c>
      <c r="N503" s="5">
        <f>IFERROR(M503,"")</f>
        <v/>
      </c>
      <c r="O503" s="5">
        <f>IFERROR(H503-N503,"")</f>
        <v/>
      </c>
      <c r="P503" s="3" t="inlineStr">
        <is>
          <t>Belum dihitung</t>
        </is>
      </c>
      <c r="Q503" s="3" t="n"/>
    </row>
    <row r="504">
      <c r="A504" s="3" t="n">
        <v>503</v>
      </c>
      <c r="B504" s="3" t="inlineStr">
        <is>
          <t>Desember 2025</t>
        </is>
      </c>
      <c r="C504" s="3">
        <f>'Data Aset'!B506</f>
        <v/>
      </c>
      <c r="D504" s="3">
        <f>'Data Aset'!F506</f>
        <v/>
      </c>
      <c r="E504" s="3" t="inlineStr">
        <is>
          <t>Inventaris Ruangan</t>
        </is>
      </c>
      <c r="F504" s="3">
        <f>'Data Aset'!C506</f>
        <v/>
      </c>
      <c r="G504" s="3">
        <f>'Data Aset'!J506</f>
        <v/>
      </c>
      <c r="H504" s="5">
        <f>'Data Aset'!M506</f>
        <v/>
      </c>
      <c r="I504" s="3">
        <f>'Data Aset'!O506</f>
        <v/>
      </c>
      <c r="J504" s="5" t="n">
        <v>0</v>
      </c>
      <c r="K504" s="3" t="inlineStr">
        <is>
          <t>Garis Lurus</t>
        </is>
      </c>
      <c r="L504" s="5">
        <f>IFERROR(M504/12,"")</f>
        <v/>
      </c>
      <c r="M504" s="5">
        <f>IFERROR((H504-J504)/I504,"")</f>
        <v/>
      </c>
      <c r="N504" s="5">
        <f>IFERROR(M504,"")</f>
        <v/>
      </c>
      <c r="O504" s="5">
        <f>IFERROR(H504-N504,"")</f>
        <v/>
      </c>
      <c r="P504" s="3" t="inlineStr">
        <is>
          <t>Belum dihitung</t>
        </is>
      </c>
      <c r="Q504" s="3" t="n"/>
    </row>
    <row r="505">
      <c r="A505" s="3" t="n">
        <v>504</v>
      </c>
      <c r="B505" s="3" t="inlineStr">
        <is>
          <t>Desember 2025</t>
        </is>
      </c>
      <c r="C505" s="3">
        <f>'Data Aset'!B507</f>
        <v/>
      </c>
      <c r="D505" s="3">
        <f>'Data Aset'!F507</f>
        <v/>
      </c>
      <c r="E505" s="3" t="inlineStr">
        <is>
          <t>Inventaris Ruangan</t>
        </is>
      </c>
      <c r="F505" s="3">
        <f>'Data Aset'!C507</f>
        <v/>
      </c>
      <c r="G505" s="3">
        <f>'Data Aset'!J507</f>
        <v/>
      </c>
      <c r="H505" s="5">
        <f>'Data Aset'!M507</f>
        <v/>
      </c>
      <c r="I505" s="3">
        <f>'Data Aset'!O507</f>
        <v/>
      </c>
      <c r="J505" s="5" t="n">
        <v>0</v>
      </c>
      <c r="K505" s="3" t="inlineStr">
        <is>
          <t>Garis Lurus</t>
        </is>
      </c>
      <c r="L505" s="5">
        <f>IFERROR(M505/12,"")</f>
        <v/>
      </c>
      <c r="M505" s="5">
        <f>IFERROR((H505-J505)/I505,"")</f>
        <v/>
      </c>
      <c r="N505" s="5">
        <f>IFERROR(M505,"")</f>
        <v/>
      </c>
      <c r="O505" s="5">
        <f>IFERROR(H505-N505,"")</f>
        <v/>
      </c>
      <c r="P505" s="3" t="inlineStr">
        <is>
          <t>Belum dihitung</t>
        </is>
      </c>
      <c r="Q505" s="3" t="n"/>
    </row>
    <row r="506">
      <c r="A506" s="3" t="n">
        <v>505</v>
      </c>
      <c r="B506" s="3" t="inlineStr">
        <is>
          <t>Desember 2025</t>
        </is>
      </c>
      <c r="C506" s="3">
        <f>'Data Aset'!B508</f>
        <v/>
      </c>
      <c r="D506" s="3">
        <f>'Data Aset'!F508</f>
        <v/>
      </c>
      <c r="E506" s="3" t="inlineStr">
        <is>
          <t>Inventaris Ruangan</t>
        </is>
      </c>
      <c r="F506" s="3">
        <f>'Data Aset'!C508</f>
        <v/>
      </c>
      <c r="G506" s="3">
        <f>'Data Aset'!J508</f>
        <v/>
      </c>
      <c r="H506" s="5">
        <f>'Data Aset'!M508</f>
        <v/>
      </c>
      <c r="I506" s="3">
        <f>'Data Aset'!O508</f>
        <v/>
      </c>
      <c r="J506" s="5" t="n">
        <v>0</v>
      </c>
      <c r="K506" s="3" t="inlineStr">
        <is>
          <t>Garis Lurus</t>
        </is>
      </c>
      <c r="L506" s="5">
        <f>IFERROR(M506/12,"")</f>
        <v/>
      </c>
      <c r="M506" s="5">
        <f>IFERROR((H506-J506)/I506,"")</f>
        <v/>
      </c>
      <c r="N506" s="5">
        <f>IFERROR(M506,"")</f>
        <v/>
      </c>
      <c r="O506" s="5">
        <f>IFERROR(H506-N506,"")</f>
        <v/>
      </c>
      <c r="P506" s="3" t="inlineStr">
        <is>
          <t>Belum dihitung</t>
        </is>
      </c>
      <c r="Q506" s="3" t="n"/>
    </row>
    <row r="507">
      <c r="A507" s="3" t="n">
        <v>506</v>
      </c>
      <c r="B507" s="3" t="inlineStr">
        <is>
          <t>Desember 2025</t>
        </is>
      </c>
      <c r="C507" s="3">
        <f>'Data Aset'!B509</f>
        <v/>
      </c>
      <c r="D507" s="3">
        <f>'Data Aset'!F509</f>
        <v/>
      </c>
      <c r="E507" s="3" t="inlineStr">
        <is>
          <t>Inventaris Ruangan</t>
        </is>
      </c>
      <c r="F507" s="3">
        <f>'Data Aset'!C509</f>
        <v/>
      </c>
      <c r="G507" s="3">
        <f>'Data Aset'!J509</f>
        <v/>
      </c>
      <c r="H507" s="5">
        <f>'Data Aset'!M509</f>
        <v/>
      </c>
      <c r="I507" s="3">
        <f>'Data Aset'!O509</f>
        <v/>
      </c>
      <c r="J507" s="5" t="n">
        <v>0</v>
      </c>
      <c r="K507" s="3" t="inlineStr">
        <is>
          <t>Garis Lurus</t>
        </is>
      </c>
      <c r="L507" s="5">
        <f>IFERROR(M507/12,"")</f>
        <v/>
      </c>
      <c r="M507" s="5">
        <f>IFERROR((H507-J507)/I507,"")</f>
        <v/>
      </c>
      <c r="N507" s="5">
        <f>IFERROR(M507,"")</f>
        <v/>
      </c>
      <c r="O507" s="5">
        <f>IFERROR(H507-N507,"")</f>
        <v/>
      </c>
      <c r="P507" s="3" t="inlineStr">
        <is>
          <t>Belum dihitung</t>
        </is>
      </c>
      <c r="Q507" s="3" t="n"/>
    </row>
    <row r="508">
      <c r="A508" s="3" t="n">
        <v>507</v>
      </c>
      <c r="B508" s="3" t="inlineStr">
        <is>
          <t>Desember 2025</t>
        </is>
      </c>
      <c r="C508" s="3">
        <f>'Data Aset'!B510</f>
        <v/>
      </c>
      <c r="D508" s="3">
        <f>'Data Aset'!F510</f>
        <v/>
      </c>
      <c r="E508" s="3" t="inlineStr">
        <is>
          <t>Inventaris Ruangan</t>
        </is>
      </c>
      <c r="F508" s="3">
        <f>'Data Aset'!C510</f>
        <v/>
      </c>
      <c r="G508" s="3">
        <f>'Data Aset'!J510</f>
        <v/>
      </c>
      <c r="H508" s="5">
        <f>'Data Aset'!M510</f>
        <v/>
      </c>
      <c r="I508" s="3">
        <f>'Data Aset'!O510</f>
        <v/>
      </c>
      <c r="J508" s="5" t="n">
        <v>0</v>
      </c>
      <c r="K508" s="3" t="inlineStr">
        <is>
          <t>Garis Lurus</t>
        </is>
      </c>
      <c r="L508" s="5">
        <f>IFERROR(M508/12,"")</f>
        <v/>
      </c>
      <c r="M508" s="5">
        <f>IFERROR((H508-J508)/I508,"")</f>
        <v/>
      </c>
      <c r="N508" s="5">
        <f>IFERROR(M508,"")</f>
        <v/>
      </c>
      <c r="O508" s="5">
        <f>IFERROR(H508-N508,"")</f>
        <v/>
      </c>
      <c r="P508" s="3" t="inlineStr">
        <is>
          <t>Belum dihitung</t>
        </is>
      </c>
      <c r="Q508" s="3" t="n"/>
    </row>
    <row r="509">
      <c r="A509" s="3" t="n">
        <v>508</v>
      </c>
      <c r="B509" s="3" t="inlineStr">
        <is>
          <t>Desember 2025</t>
        </is>
      </c>
      <c r="C509" s="3">
        <f>'Data Aset'!B511</f>
        <v/>
      </c>
      <c r="D509" s="3">
        <f>'Data Aset'!F511</f>
        <v/>
      </c>
      <c r="E509" s="3" t="inlineStr">
        <is>
          <t>Inventaris Ruangan</t>
        </is>
      </c>
      <c r="F509" s="3">
        <f>'Data Aset'!C511</f>
        <v/>
      </c>
      <c r="G509" s="3">
        <f>'Data Aset'!J511</f>
        <v/>
      </c>
      <c r="H509" s="5">
        <f>'Data Aset'!M511</f>
        <v/>
      </c>
      <c r="I509" s="3">
        <f>'Data Aset'!O511</f>
        <v/>
      </c>
      <c r="J509" s="5" t="n">
        <v>0</v>
      </c>
      <c r="K509" s="3" t="inlineStr">
        <is>
          <t>Garis Lurus</t>
        </is>
      </c>
      <c r="L509" s="5">
        <f>IFERROR(M509/12,"")</f>
        <v/>
      </c>
      <c r="M509" s="5">
        <f>IFERROR((H509-J509)/I509,"")</f>
        <v/>
      </c>
      <c r="N509" s="5">
        <f>IFERROR(M509,"")</f>
        <v/>
      </c>
      <c r="O509" s="5">
        <f>IFERROR(H509-N509,"")</f>
        <v/>
      </c>
      <c r="P509" s="3" t="inlineStr">
        <is>
          <t>Belum dihitung</t>
        </is>
      </c>
      <c r="Q509" s="3" t="n"/>
    </row>
    <row r="510">
      <c r="A510" s="3" t="n">
        <v>509</v>
      </c>
      <c r="B510" s="3" t="inlineStr">
        <is>
          <t>Desember 2025</t>
        </is>
      </c>
      <c r="C510" s="3">
        <f>'Data Aset'!B512</f>
        <v/>
      </c>
      <c r="D510" s="3">
        <f>'Data Aset'!F512</f>
        <v/>
      </c>
      <c r="E510" s="3" t="inlineStr">
        <is>
          <t>Inventaris Ruangan</t>
        </is>
      </c>
      <c r="F510" s="3">
        <f>'Data Aset'!C512</f>
        <v/>
      </c>
      <c r="G510" s="3">
        <f>'Data Aset'!J512</f>
        <v/>
      </c>
      <c r="H510" s="5">
        <f>'Data Aset'!M512</f>
        <v/>
      </c>
      <c r="I510" s="3">
        <f>'Data Aset'!O512</f>
        <v/>
      </c>
      <c r="J510" s="5" t="n">
        <v>0</v>
      </c>
      <c r="K510" s="3" t="inlineStr">
        <is>
          <t>Garis Lurus</t>
        </is>
      </c>
      <c r="L510" s="5">
        <f>IFERROR(M510/12,"")</f>
        <v/>
      </c>
      <c r="M510" s="5">
        <f>IFERROR((H510-J510)/I510,"")</f>
        <v/>
      </c>
      <c r="N510" s="5">
        <f>IFERROR(M510,"")</f>
        <v/>
      </c>
      <c r="O510" s="5">
        <f>IFERROR(H510-N510,"")</f>
        <v/>
      </c>
      <c r="P510" s="3" t="inlineStr">
        <is>
          <t>Belum dihitung</t>
        </is>
      </c>
      <c r="Q510" s="3" t="n"/>
    </row>
    <row r="511">
      <c r="A511" s="3" t="n">
        <v>510</v>
      </c>
      <c r="B511" s="3" t="inlineStr">
        <is>
          <t>Desember 2025</t>
        </is>
      </c>
      <c r="C511" s="3">
        <f>'Data Aset'!B513</f>
        <v/>
      </c>
      <c r="D511" s="3">
        <f>'Data Aset'!F513</f>
        <v/>
      </c>
      <c r="E511" s="3" t="inlineStr">
        <is>
          <t>Inventaris Ruangan</t>
        </is>
      </c>
      <c r="F511" s="3">
        <f>'Data Aset'!C513</f>
        <v/>
      </c>
      <c r="G511" s="3">
        <f>'Data Aset'!J513</f>
        <v/>
      </c>
      <c r="H511" s="5">
        <f>'Data Aset'!M513</f>
        <v/>
      </c>
      <c r="I511" s="3">
        <f>'Data Aset'!O513</f>
        <v/>
      </c>
      <c r="J511" s="5" t="n">
        <v>0</v>
      </c>
      <c r="K511" s="3" t="inlineStr">
        <is>
          <t>Garis Lurus</t>
        </is>
      </c>
      <c r="L511" s="5">
        <f>IFERROR(M511/12,"")</f>
        <v/>
      </c>
      <c r="M511" s="5">
        <f>IFERROR((H511-J511)/I511,"")</f>
        <v/>
      </c>
      <c r="N511" s="5">
        <f>IFERROR(M511,"")</f>
        <v/>
      </c>
      <c r="O511" s="5">
        <f>IFERROR(H511-N511,"")</f>
        <v/>
      </c>
      <c r="P511" s="3" t="inlineStr">
        <is>
          <t>Belum dihitung</t>
        </is>
      </c>
      <c r="Q511" s="3" t="n"/>
    </row>
    <row r="512">
      <c r="A512" s="3" t="n">
        <v>511</v>
      </c>
      <c r="B512" s="3" t="inlineStr">
        <is>
          <t>Desember 2025</t>
        </is>
      </c>
      <c r="C512" s="3">
        <f>'Data Aset'!B514</f>
        <v/>
      </c>
      <c r="D512" s="3">
        <f>'Data Aset'!F514</f>
        <v/>
      </c>
      <c r="E512" s="3" t="inlineStr">
        <is>
          <t>Inventaris Ruangan</t>
        </is>
      </c>
      <c r="F512" s="3">
        <f>'Data Aset'!C514</f>
        <v/>
      </c>
      <c r="G512" s="3">
        <f>'Data Aset'!J514</f>
        <v/>
      </c>
      <c r="H512" s="5">
        <f>'Data Aset'!M514</f>
        <v/>
      </c>
      <c r="I512" s="3">
        <f>'Data Aset'!O514</f>
        <v/>
      </c>
      <c r="J512" s="5" t="n">
        <v>0</v>
      </c>
      <c r="K512" s="3" t="inlineStr">
        <is>
          <t>Garis Lurus</t>
        </is>
      </c>
      <c r="L512" s="5">
        <f>IFERROR(M512/12,"")</f>
        <v/>
      </c>
      <c r="M512" s="5">
        <f>IFERROR((H512-J512)/I512,"")</f>
        <v/>
      </c>
      <c r="N512" s="5">
        <f>IFERROR(M512,"")</f>
        <v/>
      </c>
      <c r="O512" s="5">
        <f>IFERROR(H512-N512,"")</f>
        <v/>
      </c>
      <c r="P512" s="3" t="inlineStr">
        <is>
          <t>Belum dihitung</t>
        </is>
      </c>
      <c r="Q512" s="3" t="n"/>
    </row>
    <row r="513">
      <c r="A513" s="3" t="n">
        <v>512</v>
      </c>
      <c r="B513" s="3" t="inlineStr">
        <is>
          <t>Desember 2025</t>
        </is>
      </c>
      <c r="C513" s="3">
        <f>'Data Aset'!B515</f>
        <v/>
      </c>
      <c r="D513" s="3">
        <f>'Data Aset'!F515</f>
        <v/>
      </c>
      <c r="E513" s="3" t="inlineStr">
        <is>
          <t>Inventaris Ruangan</t>
        </is>
      </c>
      <c r="F513" s="3">
        <f>'Data Aset'!C515</f>
        <v/>
      </c>
      <c r="G513" s="3">
        <f>'Data Aset'!J515</f>
        <v/>
      </c>
      <c r="H513" s="5">
        <f>'Data Aset'!M515</f>
        <v/>
      </c>
      <c r="I513" s="3">
        <f>'Data Aset'!O515</f>
        <v/>
      </c>
      <c r="J513" s="5" t="n">
        <v>0</v>
      </c>
      <c r="K513" s="3" t="inlineStr">
        <is>
          <t>Garis Lurus</t>
        </is>
      </c>
      <c r="L513" s="5">
        <f>IFERROR(M513/12,"")</f>
        <v/>
      </c>
      <c r="M513" s="5">
        <f>IFERROR((H513-J513)/I513,"")</f>
        <v/>
      </c>
      <c r="N513" s="5">
        <f>IFERROR(M513,"")</f>
        <v/>
      </c>
      <c r="O513" s="5">
        <f>IFERROR(H513-N513,"")</f>
        <v/>
      </c>
      <c r="P513" s="3" t="inlineStr">
        <is>
          <t>Belum dihitung</t>
        </is>
      </c>
      <c r="Q513" s="3" t="n"/>
    </row>
    <row r="514">
      <c r="A514" s="3" t="n">
        <v>513</v>
      </c>
      <c r="B514" s="3" t="inlineStr">
        <is>
          <t>Desember 2025</t>
        </is>
      </c>
      <c r="C514" s="3">
        <f>'Data Aset'!B516</f>
        <v/>
      </c>
      <c r="D514" s="3">
        <f>'Data Aset'!F516</f>
        <v/>
      </c>
      <c r="E514" s="3" t="inlineStr">
        <is>
          <t>Inventaris Ruangan</t>
        </is>
      </c>
      <c r="F514" s="3">
        <f>'Data Aset'!C516</f>
        <v/>
      </c>
      <c r="G514" s="3">
        <f>'Data Aset'!J516</f>
        <v/>
      </c>
      <c r="H514" s="5">
        <f>'Data Aset'!M516</f>
        <v/>
      </c>
      <c r="I514" s="3">
        <f>'Data Aset'!O516</f>
        <v/>
      </c>
      <c r="J514" s="5" t="n">
        <v>0</v>
      </c>
      <c r="K514" s="3" t="inlineStr">
        <is>
          <t>Garis Lurus</t>
        </is>
      </c>
      <c r="L514" s="5">
        <f>IFERROR(M514/12,"")</f>
        <v/>
      </c>
      <c r="M514" s="5">
        <f>IFERROR((H514-J514)/I514,"")</f>
        <v/>
      </c>
      <c r="N514" s="5">
        <f>IFERROR(M514,"")</f>
        <v/>
      </c>
      <c r="O514" s="5">
        <f>IFERROR(H514-N514,"")</f>
        <v/>
      </c>
      <c r="P514" s="3" t="inlineStr">
        <is>
          <t>Belum dihitung</t>
        </is>
      </c>
      <c r="Q514" s="3" t="n"/>
    </row>
    <row r="515">
      <c r="A515" s="3" t="n">
        <v>514</v>
      </c>
      <c r="B515" s="3" t="inlineStr">
        <is>
          <t>Desember 2025</t>
        </is>
      </c>
      <c r="C515" s="3">
        <f>'Data Aset'!B517</f>
        <v/>
      </c>
      <c r="D515" s="3">
        <f>'Data Aset'!F517</f>
        <v/>
      </c>
      <c r="E515" s="3" t="inlineStr">
        <is>
          <t>Inventaris Ruangan</t>
        </is>
      </c>
      <c r="F515" s="3">
        <f>'Data Aset'!C517</f>
        <v/>
      </c>
      <c r="G515" s="3">
        <f>'Data Aset'!J517</f>
        <v/>
      </c>
      <c r="H515" s="5">
        <f>'Data Aset'!M517</f>
        <v/>
      </c>
      <c r="I515" s="3">
        <f>'Data Aset'!O517</f>
        <v/>
      </c>
      <c r="J515" s="5" t="n">
        <v>0</v>
      </c>
      <c r="K515" s="3" t="inlineStr">
        <is>
          <t>Garis Lurus</t>
        </is>
      </c>
      <c r="L515" s="5">
        <f>IFERROR(M515/12,"")</f>
        <v/>
      </c>
      <c r="M515" s="5">
        <f>IFERROR((H515-J515)/I515,"")</f>
        <v/>
      </c>
      <c r="N515" s="5">
        <f>IFERROR(M515,"")</f>
        <v/>
      </c>
      <c r="O515" s="5">
        <f>IFERROR(H515-N515,"")</f>
        <v/>
      </c>
      <c r="P515" s="3" t="inlineStr">
        <is>
          <t>Belum dihitung</t>
        </is>
      </c>
      <c r="Q515" s="3" t="n"/>
    </row>
    <row r="516">
      <c r="A516" s="3" t="n">
        <v>515</v>
      </c>
      <c r="B516" s="3" t="inlineStr">
        <is>
          <t>Desember 2025</t>
        </is>
      </c>
      <c r="C516" s="3">
        <f>'Data Aset'!B518</f>
        <v/>
      </c>
      <c r="D516" s="3">
        <f>'Data Aset'!F518</f>
        <v/>
      </c>
      <c r="E516" s="3" t="inlineStr">
        <is>
          <t>Inventaris Ruangan</t>
        </is>
      </c>
      <c r="F516" s="3">
        <f>'Data Aset'!C518</f>
        <v/>
      </c>
      <c r="G516" s="3">
        <f>'Data Aset'!J518</f>
        <v/>
      </c>
      <c r="H516" s="5">
        <f>'Data Aset'!M518</f>
        <v/>
      </c>
      <c r="I516" s="3">
        <f>'Data Aset'!O518</f>
        <v/>
      </c>
      <c r="J516" s="5" t="n">
        <v>0</v>
      </c>
      <c r="K516" s="3" t="inlineStr">
        <is>
          <t>Garis Lurus</t>
        </is>
      </c>
      <c r="L516" s="5">
        <f>IFERROR(M516/12,"")</f>
        <v/>
      </c>
      <c r="M516" s="5">
        <f>IFERROR((H516-J516)/I516,"")</f>
        <v/>
      </c>
      <c r="N516" s="5">
        <f>IFERROR(M516,"")</f>
        <v/>
      </c>
      <c r="O516" s="5">
        <f>IFERROR(H516-N516,"")</f>
        <v/>
      </c>
      <c r="P516" s="3" t="inlineStr">
        <is>
          <t>Belum dihitung</t>
        </is>
      </c>
      <c r="Q516" s="3" t="n"/>
    </row>
    <row r="517">
      <c r="A517" s="3" t="n">
        <v>516</v>
      </c>
      <c r="B517" s="3" t="inlineStr">
        <is>
          <t>Desember 2025</t>
        </is>
      </c>
      <c r="C517" s="3">
        <f>'Data Aset'!B519</f>
        <v/>
      </c>
      <c r="D517" s="3">
        <f>'Data Aset'!F519</f>
        <v/>
      </c>
      <c r="E517" s="3" t="inlineStr">
        <is>
          <t>Inventaris Ruangan</t>
        </is>
      </c>
      <c r="F517" s="3">
        <f>'Data Aset'!C519</f>
        <v/>
      </c>
      <c r="G517" s="3">
        <f>'Data Aset'!J519</f>
        <v/>
      </c>
      <c r="H517" s="5">
        <f>'Data Aset'!M519</f>
        <v/>
      </c>
      <c r="I517" s="3">
        <f>'Data Aset'!O519</f>
        <v/>
      </c>
      <c r="J517" s="5" t="n">
        <v>0</v>
      </c>
      <c r="K517" s="3" t="inlineStr">
        <is>
          <t>Garis Lurus</t>
        </is>
      </c>
      <c r="L517" s="5">
        <f>IFERROR(M517/12,"")</f>
        <v/>
      </c>
      <c r="M517" s="5">
        <f>IFERROR((H517-J517)/I517,"")</f>
        <v/>
      </c>
      <c r="N517" s="5">
        <f>IFERROR(M517,"")</f>
        <v/>
      </c>
      <c r="O517" s="5">
        <f>IFERROR(H517-N517,"")</f>
        <v/>
      </c>
      <c r="P517" s="3" t="inlineStr">
        <is>
          <t>Belum dihitung</t>
        </is>
      </c>
      <c r="Q517" s="3" t="n"/>
    </row>
    <row r="518">
      <c r="A518" s="3" t="n">
        <v>517</v>
      </c>
      <c r="B518" s="3" t="inlineStr">
        <is>
          <t>Desember 2025</t>
        </is>
      </c>
      <c r="C518" s="3">
        <f>'Data Aset'!B520</f>
        <v/>
      </c>
      <c r="D518" s="3">
        <f>'Data Aset'!F520</f>
        <v/>
      </c>
      <c r="E518" s="3" t="inlineStr">
        <is>
          <t>Inventaris Ruangan</t>
        </is>
      </c>
      <c r="F518" s="3">
        <f>'Data Aset'!C520</f>
        <v/>
      </c>
      <c r="G518" s="3">
        <f>'Data Aset'!J520</f>
        <v/>
      </c>
      <c r="H518" s="5">
        <f>'Data Aset'!M520</f>
        <v/>
      </c>
      <c r="I518" s="3">
        <f>'Data Aset'!O520</f>
        <v/>
      </c>
      <c r="J518" s="5" t="n">
        <v>0</v>
      </c>
      <c r="K518" s="3" t="inlineStr">
        <is>
          <t>Garis Lurus</t>
        </is>
      </c>
      <c r="L518" s="5">
        <f>IFERROR(M518/12,"")</f>
        <v/>
      </c>
      <c r="M518" s="5">
        <f>IFERROR((H518-J518)/I518,"")</f>
        <v/>
      </c>
      <c r="N518" s="5">
        <f>IFERROR(M518,"")</f>
        <v/>
      </c>
      <c r="O518" s="5">
        <f>IFERROR(H518-N518,"")</f>
        <v/>
      </c>
      <c r="P518" s="3" t="inlineStr">
        <is>
          <t>Belum dihitung</t>
        </is>
      </c>
      <c r="Q518" s="3" t="n"/>
    </row>
    <row r="519">
      <c r="A519" s="3" t="n">
        <v>518</v>
      </c>
      <c r="B519" s="3" t="inlineStr">
        <is>
          <t>Desember 2025</t>
        </is>
      </c>
      <c r="C519" s="3">
        <f>'Data Aset'!B521</f>
        <v/>
      </c>
      <c r="D519" s="3">
        <f>'Data Aset'!F521</f>
        <v/>
      </c>
      <c r="E519" s="3" t="inlineStr">
        <is>
          <t>Inventaris Ruangan</t>
        </is>
      </c>
      <c r="F519" s="3">
        <f>'Data Aset'!C521</f>
        <v/>
      </c>
      <c r="G519" s="3">
        <f>'Data Aset'!J521</f>
        <v/>
      </c>
      <c r="H519" s="5">
        <f>'Data Aset'!M521</f>
        <v/>
      </c>
      <c r="I519" s="3">
        <f>'Data Aset'!O521</f>
        <v/>
      </c>
      <c r="J519" s="5" t="n">
        <v>0</v>
      </c>
      <c r="K519" s="3" t="inlineStr">
        <is>
          <t>Garis Lurus</t>
        </is>
      </c>
      <c r="L519" s="5">
        <f>IFERROR(M519/12,"")</f>
        <v/>
      </c>
      <c r="M519" s="5">
        <f>IFERROR((H519-J519)/I519,"")</f>
        <v/>
      </c>
      <c r="N519" s="5">
        <f>IFERROR(M519,"")</f>
        <v/>
      </c>
      <c r="O519" s="5">
        <f>IFERROR(H519-N519,"")</f>
        <v/>
      </c>
      <c r="P519" s="3" t="inlineStr">
        <is>
          <t>Belum dihitung</t>
        </is>
      </c>
      <c r="Q519" s="3" t="n"/>
    </row>
    <row r="520">
      <c r="A520" s="3" t="n">
        <v>519</v>
      </c>
      <c r="B520" s="3" t="inlineStr">
        <is>
          <t>Desember 2025</t>
        </is>
      </c>
      <c r="C520" s="3">
        <f>'Data Aset'!B522</f>
        <v/>
      </c>
      <c r="D520" s="3">
        <f>'Data Aset'!F522</f>
        <v/>
      </c>
      <c r="E520" s="3" t="inlineStr">
        <is>
          <t>Inventaris Ruangan</t>
        </is>
      </c>
      <c r="F520" s="3">
        <f>'Data Aset'!C522</f>
        <v/>
      </c>
      <c r="G520" s="3">
        <f>'Data Aset'!J522</f>
        <v/>
      </c>
      <c r="H520" s="5">
        <f>'Data Aset'!M522</f>
        <v/>
      </c>
      <c r="I520" s="3">
        <f>'Data Aset'!O522</f>
        <v/>
      </c>
      <c r="J520" s="5" t="n">
        <v>0</v>
      </c>
      <c r="K520" s="3" t="inlineStr">
        <is>
          <t>Garis Lurus</t>
        </is>
      </c>
      <c r="L520" s="5">
        <f>IFERROR(M520/12,"")</f>
        <v/>
      </c>
      <c r="M520" s="5">
        <f>IFERROR((H520-J520)/I520,"")</f>
        <v/>
      </c>
      <c r="N520" s="5">
        <f>IFERROR(M520,"")</f>
        <v/>
      </c>
      <c r="O520" s="5">
        <f>IFERROR(H520-N520,"")</f>
        <v/>
      </c>
      <c r="P520" s="3" t="inlineStr">
        <is>
          <t>Belum dihitung</t>
        </is>
      </c>
      <c r="Q520" s="3" t="n"/>
    </row>
    <row r="521">
      <c r="A521" s="3" t="n">
        <v>520</v>
      </c>
      <c r="B521" s="3" t="inlineStr">
        <is>
          <t>Desember 2025</t>
        </is>
      </c>
      <c r="C521" s="3">
        <f>'Data Aset'!B523</f>
        <v/>
      </c>
      <c r="D521" s="3">
        <f>'Data Aset'!F523</f>
        <v/>
      </c>
      <c r="E521" s="3" t="inlineStr">
        <is>
          <t>Inventaris Ruangan</t>
        </is>
      </c>
      <c r="F521" s="3">
        <f>'Data Aset'!C523</f>
        <v/>
      </c>
      <c r="G521" s="3">
        <f>'Data Aset'!J523</f>
        <v/>
      </c>
      <c r="H521" s="5">
        <f>'Data Aset'!M523</f>
        <v/>
      </c>
      <c r="I521" s="3">
        <f>'Data Aset'!O523</f>
        <v/>
      </c>
      <c r="J521" s="5" t="n">
        <v>0</v>
      </c>
      <c r="K521" s="3" t="inlineStr">
        <is>
          <t>Garis Lurus</t>
        </is>
      </c>
      <c r="L521" s="5">
        <f>IFERROR(M521/12,"")</f>
        <v/>
      </c>
      <c r="M521" s="5">
        <f>IFERROR((H521-J521)/I521,"")</f>
        <v/>
      </c>
      <c r="N521" s="5">
        <f>IFERROR(M521,"")</f>
        <v/>
      </c>
      <c r="O521" s="5">
        <f>IFERROR(H521-N521,"")</f>
        <v/>
      </c>
      <c r="P521" s="3" t="inlineStr">
        <is>
          <t>Belum dihitung</t>
        </is>
      </c>
      <c r="Q521" s="3" t="n"/>
    </row>
    <row r="522">
      <c r="A522" s="3" t="n">
        <v>521</v>
      </c>
      <c r="B522" s="3" t="inlineStr">
        <is>
          <t>Desember 2025</t>
        </is>
      </c>
      <c r="C522" s="3">
        <f>'Data Aset'!B524</f>
        <v/>
      </c>
      <c r="D522" s="3">
        <f>'Data Aset'!F524</f>
        <v/>
      </c>
      <c r="E522" s="3" t="inlineStr">
        <is>
          <t>Inventaris Ruangan</t>
        </is>
      </c>
      <c r="F522" s="3">
        <f>'Data Aset'!C524</f>
        <v/>
      </c>
      <c r="G522" s="3">
        <f>'Data Aset'!J524</f>
        <v/>
      </c>
      <c r="H522" s="5">
        <f>'Data Aset'!M524</f>
        <v/>
      </c>
      <c r="I522" s="3">
        <f>'Data Aset'!O524</f>
        <v/>
      </c>
      <c r="J522" s="5" t="n">
        <v>0</v>
      </c>
      <c r="K522" s="3" t="inlineStr">
        <is>
          <t>Garis Lurus</t>
        </is>
      </c>
      <c r="L522" s="5">
        <f>IFERROR(M522/12,"")</f>
        <v/>
      </c>
      <c r="M522" s="5">
        <f>IFERROR((H522-J522)/I522,"")</f>
        <v/>
      </c>
      <c r="N522" s="5">
        <f>IFERROR(M522,"")</f>
        <v/>
      </c>
      <c r="O522" s="5">
        <f>IFERROR(H522-N522,"")</f>
        <v/>
      </c>
      <c r="P522" s="3" t="inlineStr">
        <is>
          <t>Belum dihitung</t>
        </is>
      </c>
      <c r="Q522" s="3" t="n"/>
    </row>
    <row r="523">
      <c r="A523" s="3" t="n">
        <v>522</v>
      </c>
      <c r="B523" s="3" t="inlineStr">
        <is>
          <t>Desember 2025</t>
        </is>
      </c>
      <c r="C523" s="3">
        <f>'Data Aset'!B525</f>
        <v/>
      </c>
      <c r="D523" s="3">
        <f>'Data Aset'!F525</f>
        <v/>
      </c>
      <c r="E523" s="3" t="inlineStr">
        <is>
          <t>Inventaris Ruangan</t>
        </is>
      </c>
      <c r="F523" s="3">
        <f>'Data Aset'!C525</f>
        <v/>
      </c>
      <c r="G523" s="3">
        <f>'Data Aset'!J525</f>
        <v/>
      </c>
      <c r="H523" s="5">
        <f>'Data Aset'!M525</f>
        <v/>
      </c>
      <c r="I523" s="3">
        <f>'Data Aset'!O525</f>
        <v/>
      </c>
      <c r="J523" s="5" t="n">
        <v>0</v>
      </c>
      <c r="K523" s="3" t="inlineStr">
        <is>
          <t>Garis Lurus</t>
        </is>
      </c>
      <c r="L523" s="5">
        <f>IFERROR(M523/12,"")</f>
        <v/>
      </c>
      <c r="M523" s="5">
        <f>IFERROR((H523-J523)/I523,"")</f>
        <v/>
      </c>
      <c r="N523" s="5">
        <f>IFERROR(M523,"")</f>
        <v/>
      </c>
      <c r="O523" s="5">
        <f>IFERROR(H523-N523,"")</f>
        <v/>
      </c>
      <c r="P523" s="3" t="inlineStr">
        <is>
          <t>Belum dihitung</t>
        </is>
      </c>
      <c r="Q523" s="3" t="n"/>
    </row>
    <row r="524">
      <c r="A524" s="3" t="n">
        <v>523</v>
      </c>
      <c r="B524" s="3" t="inlineStr">
        <is>
          <t>Desember 2025</t>
        </is>
      </c>
      <c r="C524" s="3">
        <f>'Data Aset'!B526</f>
        <v/>
      </c>
      <c r="D524" s="3">
        <f>'Data Aset'!F526</f>
        <v/>
      </c>
      <c r="E524" s="3" t="inlineStr">
        <is>
          <t>Inventaris Ruangan</t>
        </is>
      </c>
      <c r="F524" s="3">
        <f>'Data Aset'!C526</f>
        <v/>
      </c>
      <c r="G524" s="3">
        <f>'Data Aset'!J526</f>
        <v/>
      </c>
      <c r="H524" s="5">
        <f>'Data Aset'!M526</f>
        <v/>
      </c>
      <c r="I524" s="3">
        <f>'Data Aset'!O526</f>
        <v/>
      </c>
      <c r="J524" s="5" t="n">
        <v>0</v>
      </c>
      <c r="K524" s="3" t="inlineStr">
        <is>
          <t>Garis Lurus</t>
        </is>
      </c>
      <c r="L524" s="5">
        <f>IFERROR(M524/12,"")</f>
        <v/>
      </c>
      <c r="M524" s="5">
        <f>IFERROR((H524-J524)/I524,"")</f>
        <v/>
      </c>
      <c r="N524" s="5">
        <f>IFERROR(M524,"")</f>
        <v/>
      </c>
      <c r="O524" s="5">
        <f>IFERROR(H524-N524,"")</f>
        <v/>
      </c>
      <c r="P524" s="3" t="inlineStr">
        <is>
          <t>Belum dihitung</t>
        </is>
      </c>
      <c r="Q524" s="3" t="n"/>
    </row>
    <row r="525">
      <c r="A525" s="3" t="n">
        <v>524</v>
      </c>
      <c r="B525" s="3" t="inlineStr">
        <is>
          <t>Desember 2025</t>
        </is>
      </c>
      <c r="C525" s="3">
        <f>'Data Aset'!B527</f>
        <v/>
      </c>
      <c r="D525" s="3">
        <f>'Data Aset'!F527</f>
        <v/>
      </c>
      <c r="E525" s="3" t="inlineStr">
        <is>
          <t>Inventaris Ruangan</t>
        </is>
      </c>
      <c r="F525" s="3">
        <f>'Data Aset'!C527</f>
        <v/>
      </c>
      <c r="G525" s="3">
        <f>'Data Aset'!J527</f>
        <v/>
      </c>
      <c r="H525" s="5">
        <f>'Data Aset'!M527</f>
        <v/>
      </c>
      <c r="I525" s="3">
        <f>'Data Aset'!O527</f>
        <v/>
      </c>
      <c r="J525" s="5" t="n">
        <v>0</v>
      </c>
      <c r="K525" s="3" t="inlineStr">
        <is>
          <t>Garis Lurus</t>
        </is>
      </c>
      <c r="L525" s="5">
        <f>IFERROR(M525/12,"")</f>
        <v/>
      </c>
      <c r="M525" s="5">
        <f>IFERROR((H525-J525)/I525,"")</f>
        <v/>
      </c>
      <c r="N525" s="5">
        <f>IFERROR(M525,"")</f>
        <v/>
      </c>
      <c r="O525" s="5">
        <f>IFERROR(H525-N525,"")</f>
        <v/>
      </c>
      <c r="P525" s="3" t="inlineStr">
        <is>
          <t>Belum dihitung</t>
        </is>
      </c>
      <c r="Q525" s="3" t="n"/>
    </row>
    <row r="526">
      <c r="A526" s="3" t="n">
        <v>525</v>
      </c>
      <c r="B526" s="3" t="inlineStr">
        <is>
          <t>Desember 2025</t>
        </is>
      </c>
      <c r="C526" s="3">
        <f>'Data Aset'!B528</f>
        <v/>
      </c>
      <c r="D526" s="3">
        <f>'Data Aset'!F528</f>
        <v/>
      </c>
      <c r="E526" s="3" t="inlineStr">
        <is>
          <t>Inventaris Ruangan</t>
        </is>
      </c>
      <c r="F526" s="3">
        <f>'Data Aset'!C528</f>
        <v/>
      </c>
      <c r="G526" s="3">
        <f>'Data Aset'!J528</f>
        <v/>
      </c>
      <c r="H526" s="5">
        <f>'Data Aset'!M528</f>
        <v/>
      </c>
      <c r="I526" s="3">
        <f>'Data Aset'!O528</f>
        <v/>
      </c>
      <c r="J526" s="5" t="n">
        <v>0</v>
      </c>
      <c r="K526" s="3" t="inlineStr">
        <is>
          <t>Garis Lurus</t>
        </is>
      </c>
      <c r="L526" s="5">
        <f>IFERROR(M526/12,"")</f>
        <v/>
      </c>
      <c r="M526" s="5">
        <f>IFERROR((H526-J526)/I526,"")</f>
        <v/>
      </c>
      <c r="N526" s="5">
        <f>IFERROR(M526,"")</f>
        <v/>
      </c>
      <c r="O526" s="5">
        <f>IFERROR(H526-N526,"")</f>
        <v/>
      </c>
      <c r="P526" s="3" t="inlineStr">
        <is>
          <t>Belum dihitung</t>
        </is>
      </c>
      <c r="Q526" s="3" t="n"/>
    </row>
    <row r="527">
      <c r="A527" s="3" t="n">
        <v>526</v>
      </c>
      <c r="B527" s="3" t="inlineStr">
        <is>
          <t>Desember 2025</t>
        </is>
      </c>
      <c r="C527" s="3">
        <f>'Data Aset'!B529</f>
        <v/>
      </c>
      <c r="D527" s="3">
        <f>'Data Aset'!F529</f>
        <v/>
      </c>
      <c r="E527" s="3" t="inlineStr">
        <is>
          <t>Inventaris Ruangan</t>
        </is>
      </c>
      <c r="F527" s="3">
        <f>'Data Aset'!C529</f>
        <v/>
      </c>
      <c r="G527" s="3">
        <f>'Data Aset'!J529</f>
        <v/>
      </c>
      <c r="H527" s="5">
        <f>'Data Aset'!M529</f>
        <v/>
      </c>
      <c r="I527" s="3">
        <f>'Data Aset'!O529</f>
        <v/>
      </c>
      <c r="J527" s="5" t="n">
        <v>0</v>
      </c>
      <c r="K527" s="3" t="inlineStr">
        <is>
          <t>Garis Lurus</t>
        </is>
      </c>
      <c r="L527" s="5">
        <f>IFERROR(M527/12,"")</f>
        <v/>
      </c>
      <c r="M527" s="5">
        <f>IFERROR((H527-J527)/I527,"")</f>
        <v/>
      </c>
      <c r="N527" s="5">
        <f>IFERROR(M527,"")</f>
        <v/>
      </c>
      <c r="O527" s="5">
        <f>IFERROR(H527-N527,"")</f>
        <v/>
      </c>
      <c r="P527" s="3" t="inlineStr">
        <is>
          <t>Belum dihitung</t>
        </is>
      </c>
      <c r="Q527" s="3" t="n"/>
    </row>
    <row r="528">
      <c r="A528" s="3" t="n">
        <v>527</v>
      </c>
      <c r="B528" s="3" t="inlineStr">
        <is>
          <t>Desember 2025</t>
        </is>
      </c>
      <c r="C528" s="3">
        <f>'Data Aset'!B530</f>
        <v/>
      </c>
      <c r="D528" s="3">
        <f>'Data Aset'!F530</f>
        <v/>
      </c>
      <c r="E528" s="3" t="inlineStr">
        <is>
          <t>Inventaris Ruangan</t>
        </is>
      </c>
      <c r="F528" s="3">
        <f>'Data Aset'!C530</f>
        <v/>
      </c>
      <c r="G528" s="3">
        <f>'Data Aset'!J530</f>
        <v/>
      </c>
      <c r="H528" s="5">
        <f>'Data Aset'!M530</f>
        <v/>
      </c>
      <c r="I528" s="3">
        <f>'Data Aset'!O530</f>
        <v/>
      </c>
      <c r="J528" s="5" t="n">
        <v>0</v>
      </c>
      <c r="K528" s="3" t="inlineStr">
        <is>
          <t>Garis Lurus</t>
        </is>
      </c>
      <c r="L528" s="5">
        <f>IFERROR(M528/12,"")</f>
        <v/>
      </c>
      <c r="M528" s="5">
        <f>IFERROR((H528-J528)/I528,"")</f>
        <v/>
      </c>
      <c r="N528" s="5">
        <f>IFERROR(M528,"")</f>
        <v/>
      </c>
      <c r="O528" s="5">
        <f>IFERROR(H528-N528,"")</f>
        <v/>
      </c>
      <c r="P528" s="3" t="inlineStr">
        <is>
          <t>Belum dihitung</t>
        </is>
      </c>
      <c r="Q528" s="3" t="n"/>
    </row>
    <row r="529">
      <c r="A529" s="3" t="n">
        <v>528</v>
      </c>
      <c r="B529" s="3" t="inlineStr">
        <is>
          <t>Desember 2025</t>
        </is>
      </c>
      <c r="C529" s="3">
        <f>'Data Aset'!B531</f>
        <v/>
      </c>
      <c r="D529" s="3">
        <f>'Data Aset'!F531</f>
        <v/>
      </c>
      <c r="E529" s="3" t="inlineStr">
        <is>
          <t>Inventaris Ruangan</t>
        </is>
      </c>
      <c r="F529" s="3">
        <f>'Data Aset'!C531</f>
        <v/>
      </c>
      <c r="G529" s="3">
        <f>'Data Aset'!J531</f>
        <v/>
      </c>
      <c r="H529" s="5">
        <f>'Data Aset'!M531</f>
        <v/>
      </c>
      <c r="I529" s="3">
        <f>'Data Aset'!O531</f>
        <v/>
      </c>
      <c r="J529" s="5" t="n">
        <v>0</v>
      </c>
      <c r="K529" s="3" t="inlineStr">
        <is>
          <t>Garis Lurus</t>
        </is>
      </c>
      <c r="L529" s="5">
        <f>IFERROR(M529/12,"")</f>
        <v/>
      </c>
      <c r="M529" s="5">
        <f>IFERROR((H529-J529)/I529,"")</f>
        <v/>
      </c>
      <c r="N529" s="5">
        <f>IFERROR(M529,"")</f>
        <v/>
      </c>
      <c r="O529" s="5">
        <f>IFERROR(H529-N529,"")</f>
        <v/>
      </c>
      <c r="P529" s="3" t="inlineStr">
        <is>
          <t>Belum dihitung</t>
        </is>
      </c>
      <c r="Q529" s="3" t="n"/>
    </row>
    <row r="530">
      <c r="A530" s="3" t="n">
        <v>529</v>
      </c>
      <c r="B530" s="3" t="inlineStr">
        <is>
          <t>Desember 2025</t>
        </is>
      </c>
      <c r="C530" s="3">
        <f>'Data Aset'!B532</f>
        <v/>
      </c>
      <c r="D530" s="3">
        <f>'Data Aset'!F532</f>
        <v/>
      </c>
      <c r="E530" s="3" t="inlineStr">
        <is>
          <t>Inventaris Ruangan</t>
        </is>
      </c>
      <c r="F530" s="3">
        <f>'Data Aset'!C532</f>
        <v/>
      </c>
      <c r="G530" s="3">
        <f>'Data Aset'!J532</f>
        <v/>
      </c>
      <c r="H530" s="5">
        <f>'Data Aset'!M532</f>
        <v/>
      </c>
      <c r="I530" s="3">
        <f>'Data Aset'!O532</f>
        <v/>
      </c>
      <c r="J530" s="5" t="n">
        <v>0</v>
      </c>
      <c r="K530" s="3" t="inlineStr">
        <is>
          <t>Garis Lurus</t>
        </is>
      </c>
      <c r="L530" s="5">
        <f>IFERROR(M530/12,"")</f>
        <v/>
      </c>
      <c r="M530" s="5">
        <f>IFERROR((H530-J530)/I530,"")</f>
        <v/>
      </c>
      <c r="N530" s="5">
        <f>IFERROR(M530,"")</f>
        <v/>
      </c>
      <c r="O530" s="5">
        <f>IFERROR(H530-N530,"")</f>
        <v/>
      </c>
      <c r="P530" s="3" t="inlineStr">
        <is>
          <t>Belum dihitung</t>
        </is>
      </c>
      <c r="Q530" s="3" t="n"/>
    </row>
    <row r="531">
      <c r="A531" s="3" t="n">
        <v>530</v>
      </c>
      <c r="B531" s="3" t="inlineStr">
        <is>
          <t>Desember 2025</t>
        </is>
      </c>
      <c r="C531" s="3">
        <f>'Data Aset'!B533</f>
        <v/>
      </c>
      <c r="D531" s="3">
        <f>'Data Aset'!F533</f>
        <v/>
      </c>
      <c r="E531" s="3" t="inlineStr">
        <is>
          <t>Inventaris Ruangan</t>
        </is>
      </c>
      <c r="F531" s="3">
        <f>'Data Aset'!C533</f>
        <v/>
      </c>
      <c r="G531" s="3">
        <f>'Data Aset'!J533</f>
        <v/>
      </c>
      <c r="H531" s="5">
        <f>'Data Aset'!M533</f>
        <v/>
      </c>
      <c r="I531" s="3">
        <f>'Data Aset'!O533</f>
        <v/>
      </c>
      <c r="J531" s="5" t="n">
        <v>0</v>
      </c>
      <c r="K531" s="3" t="inlineStr">
        <is>
          <t>Garis Lurus</t>
        </is>
      </c>
      <c r="L531" s="5">
        <f>IFERROR(M531/12,"")</f>
        <v/>
      </c>
      <c r="M531" s="5">
        <f>IFERROR((H531-J531)/I531,"")</f>
        <v/>
      </c>
      <c r="N531" s="5">
        <f>IFERROR(M531,"")</f>
        <v/>
      </c>
      <c r="O531" s="5">
        <f>IFERROR(H531-N531,"")</f>
        <v/>
      </c>
      <c r="P531" s="3" t="inlineStr">
        <is>
          <t>Belum dihitung</t>
        </is>
      </c>
      <c r="Q531" s="3" t="n"/>
    </row>
    <row r="532">
      <c r="A532" s="3" t="n">
        <v>531</v>
      </c>
      <c r="B532" s="3" t="inlineStr">
        <is>
          <t>Desember 2025</t>
        </is>
      </c>
      <c r="C532" s="3">
        <f>'Data Aset'!B534</f>
        <v/>
      </c>
      <c r="D532" s="3">
        <f>'Data Aset'!F534</f>
        <v/>
      </c>
      <c r="E532" s="3" t="inlineStr">
        <is>
          <t>Inventaris Ruangan</t>
        </is>
      </c>
      <c r="F532" s="3">
        <f>'Data Aset'!C534</f>
        <v/>
      </c>
      <c r="G532" s="3">
        <f>'Data Aset'!J534</f>
        <v/>
      </c>
      <c r="H532" s="5">
        <f>'Data Aset'!M534</f>
        <v/>
      </c>
      <c r="I532" s="3">
        <f>'Data Aset'!O534</f>
        <v/>
      </c>
      <c r="J532" s="5" t="n">
        <v>0</v>
      </c>
      <c r="K532" s="3" t="inlineStr">
        <is>
          <t>Garis Lurus</t>
        </is>
      </c>
      <c r="L532" s="5">
        <f>IFERROR(M532/12,"")</f>
        <v/>
      </c>
      <c r="M532" s="5">
        <f>IFERROR((H532-J532)/I532,"")</f>
        <v/>
      </c>
      <c r="N532" s="5">
        <f>IFERROR(M532,"")</f>
        <v/>
      </c>
      <c r="O532" s="5">
        <f>IFERROR(H532-N532,"")</f>
        <v/>
      </c>
      <c r="P532" s="3" t="inlineStr">
        <is>
          <t>Belum dihitung</t>
        </is>
      </c>
      <c r="Q532" s="3" t="n"/>
    </row>
    <row r="533">
      <c r="A533" s="3" t="n">
        <v>532</v>
      </c>
      <c r="B533" s="3" t="inlineStr">
        <is>
          <t>Desember 2025</t>
        </is>
      </c>
      <c r="C533" s="3">
        <f>'Data Aset'!B535</f>
        <v/>
      </c>
      <c r="D533" s="3">
        <f>'Data Aset'!F535</f>
        <v/>
      </c>
      <c r="E533" s="3" t="inlineStr">
        <is>
          <t>Inventaris Ruangan</t>
        </is>
      </c>
      <c r="F533" s="3">
        <f>'Data Aset'!C535</f>
        <v/>
      </c>
      <c r="G533" s="3">
        <f>'Data Aset'!J535</f>
        <v/>
      </c>
      <c r="H533" s="5">
        <f>'Data Aset'!M535</f>
        <v/>
      </c>
      <c r="I533" s="3">
        <f>'Data Aset'!O535</f>
        <v/>
      </c>
      <c r="J533" s="5" t="n">
        <v>0</v>
      </c>
      <c r="K533" s="3" t="inlineStr">
        <is>
          <t>Garis Lurus</t>
        </is>
      </c>
      <c r="L533" s="5">
        <f>IFERROR(M533/12,"")</f>
        <v/>
      </c>
      <c r="M533" s="5">
        <f>IFERROR((H533-J533)/I533,"")</f>
        <v/>
      </c>
      <c r="N533" s="5">
        <f>IFERROR(M533,"")</f>
        <v/>
      </c>
      <c r="O533" s="5">
        <f>IFERROR(H533-N533,"")</f>
        <v/>
      </c>
      <c r="P533" s="3" t="inlineStr">
        <is>
          <t>Belum dihitung</t>
        </is>
      </c>
      <c r="Q533" s="3" t="n"/>
    </row>
    <row r="534">
      <c r="A534" s="3" t="n">
        <v>533</v>
      </c>
      <c r="B534" s="3" t="inlineStr">
        <is>
          <t>Desember 2025</t>
        </is>
      </c>
      <c r="C534" s="3">
        <f>'Data Aset'!B536</f>
        <v/>
      </c>
      <c r="D534" s="3">
        <f>'Data Aset'!F536</f>
        <v/>
      </c>
      <c r="E534" s="3" t="inlineStr">
        <is>
          <t>Inventaris Ruangan</t>
        </is>
      </c>
      <c r="F534" s="3">
        <f>'Data Aset'!C536</f>
        <v/>
      </c>
      <c r="G534" s="3">
        <f>'Data Aset'!J536</f>
        <v/>
      </c>
      <c r="H534" s="5">
        <f>'Data Aset'!M536</f>
        <v/>
      </c>
      <c r="I534" s="3">
        <f>'Data Aset'!O536</f>
        <v/>
      </c>
      <c r="J534" s="5" t="n">
        <v>0</v>
      </c>
      <c r="K534" s="3" t="inlineStr">
        <is>
          <t>Garis Lurus</t>
        </is>
      </c>
      <c r="L534" s="5">
        <f>IFERROR(M534/12,"")</f>
        <v/>
      </c>
      <c r="M534" s="5">
        <f>IFERROR((H534-J534)/I534,"")</f>
        <v/>
      </c>
      <c r="N534" s="5">
        <f>IFERROR(M534,"")</f>
        <v/>
      </c>
      <c r="O534" s="5">
        <f>IFERROR(H534-N534,"")</f>
        <v/>
      </c>
      <c r="P534" s="3" t="inlineStr">
        <is>
          <t>Belum dihitung</t>
        </is>
      </c>
      <c r="Q534" s="3" t="n"/>
    </row>
    <row r="535">
      <c r="A535" s="3" t="n">
        <v>534</v>
      </c>
      <c r="B535" s="3" t="inlineStr">
        <is>
          <t>Desember 2025</t>
        </is>
      </c>
      <c r="C535" s="3">
        <f>'Data Aset'!B537</f>
        <v/>
      </c>
      <c r="D535" s="3">
        <f>'Data Aset'!F537</f>
        <v/>
      </c>
      <c r="E535" s="3" t="inlineStr">
        <is>
          <t>Inventaris Ruangan</t>
        </is>
      </c>
      <c r="F535" s="3">
        <f>'Data Aset'!C537</f>
        <v/>
      </c>
      <c r="G535" s="3">
        <f>'Data Aset'!J537</f>
        <v/>
      </c>
      <c r="H535" s="5">
        <f>'Data Aset'!M537</f>
        <v/>
      </c>
      <c r="I535" s="3">
        <f>'Data Aset'!O537</f>
        <v/>
      </c>
      <c r="J535" s="5" t="n">
        <v>0</v>
      </c>
      <c r="K535" s="3" t="inlineStr">
        <is>
          <t>Garis Lurus</t>
        </is>
      </c>
      <c r="L535" s="5">
        <f>IFERROR(M535/12,"")</f>
        <v/>
      </c>
      <c r="M535" s="5">
        <f>IFERROR((H535-J535)/I535,"")</f>
        <v/>
      </c>
      <c r="N535" s="5">
        <f>IFERROR(M535,"")</f>
        <v/>
      </c>
      <c r="O535" s="5">
        <f>IFERROR(H535-N535,"")</f>
        <v/>
      </c>
      <c r="P535" s="3" t="inlineStr">
        <is>
          <t>Belum dihitung</t>
        </is>
      </c>
      <c r="Q535" s="3" t="n"/>
    </row>
    <row r="536">
      <c r="A536" s="3" t="n">
        <v>535</v>
      </c>
      <c r="B536" s="3" t="inlineStr">
        <is>
          <t>Desember 2025</t>
        </is>
      </c>
      <c r="C536" s="3">
        <f>'Data Aset'!B538</f>
        <v/>
      </c>
      <c r="D536" s="3">
        <f>'Data Aset'!F538</f>
        <v/>
      </c>
      <c r="E536" s="3" t="inlineStr">
        <is>
          <t>Inventaris Ruangan</t>
        </is>
      </c>
      <c r="F536" s="3">
        <f>'Data Aset'!C538</f>
        <v/>
      </c>
      <c r="G536" s="3">
        <f>'Data Aset'!J538</f>
        <v/>
      </c>
      <c r="H536" s="5">
        <f>'Data Aset'!M538</f>
        <v/>
      </c>
      <c r="I536" s="3">
        <f>'Data Aset'!O538</f>
        <v/>
      </c>
      <c r="J536" s="5" t="n">
        <v>0</v>
      </c>
      <c r="K536" s="3" t="inlineStr">
        <is>
          <t>Garis Lurus</t>
        </is>
      </c>
      <c r="L536" s="5">
        <f>IFERROR(M536/12,"")</f>
        <v/>
      </c>
      <c r="M536" s="5">
        <f>IFERROR((H536-J536)/I536,"")</f>
        <v/>
      </c>
      <c r="N536" s="5">
        <f>IFERROR(M536,"")</f>
        <v/>
      </c>
      <c r="O536" s="5">
        <f>IFERROR(H536-N536,"")</f>
        <v/>
      </c>
      <c r="P536" s="3" t="inlineStr">
        <is>
          <t>Belum dihitung</t>
        </is>
      </c>
      <c r="Q536" s="3" t="n"/>
    </row>
    <row r="537">
      <c r="A537" s="3" t="n">
        <v>536</v>
      </c>
      <c r="B537" s="3" t="inlineStr">
        <is>
          <t>Desember 2025</t>
        </is>
      </c>
      <c r="C537" s="3">
        <f>'Data Aset'!B539</f>
        <v/>
      </c>
      <c r="D537" s="3">
        <f>'Data Aset'!F539</f>
        <v/>
      </c>
      <c r="E537" s="3" t="inlineStr">
        <is>
          <t>Inventaris Ruangan</t>
        </is>
      </c>
      <c r="F537" s="3">
        <f>'Data Aset'!C539</f>
        <v/>
      </c>
      <c r="G537" s="3">
        <f>'Data Aset'!J539</f>
        <v/>
      </c>
      <c r="H537" s="5">
        <f>'Data Aset'!M539</f>
        <v/>
      </c>
      <c r="I537" s="3">
        <f>'Data Aset'!O539</f>
        <v/>
      </c>
      <c r="J537" s="5" t="n">
        <v>0</v>
      </c>
      <c r="K537" s="3" t="inlineStr">
        <is>
          <t>Garis Lurus</t>
        </is>
      </c>
      <c r="L537" s="5">
        <f>IFERROR(M537/12,"")</f>
        <v/>
      </c>
      <c r="M537" s="5">
        <f>IFERROR((H537-J537)/I537,"")</f>
        <v/>
      </c>
      <c r="N537" s="5">
        <f>IFERROR(M537,"")</f>
        <v/>
      </c>
      <c r="O537" s="5">
        <f>IFERROR(H537-N537,"")</f>
        <v/>
      </c>
      <c r="P537" s="3" t="inlineStr">
        <is>
          <t>Belum dihitung</t>
        </is>
      </c>
      <c r="Q537" s="3" t="n"/>
    </row>
    <row r="538">
      <c r="A538" s="3" t="n">
        <v>537</v>
      </c>
      <c r="B538" s="3" t="inlineStr">
        <is>
          <t>Desember 2025</t>
        </is>
      </c>
      <c r="C538" s="3">
        <f>'Data Aset'!B540</f>
        <v/>
      </c>
      <c r="D538" s="3">
        <f>'Data Aset'!F540</f>
        <v/>
      </c>
      <c r="E538" s="3" t="inlineStr">
        <is>
          <t>Inventaris Ruangan</t>
        </is>
      </c>
      <c r="F538" s="3">
        <f>'Data Aset'!C540</f>
        <v/>
      </c>
      <c r="G538" s="3">
        <f>'Data Aset'!J540</f>
        <v/>
      </c>
      <c r="H538" s="5">
        <f>'Data Aset'!M540</f>
        <v/>
      </c>
      <c r="I538" s="3">
        <f>'Data Aset'!O540</f>
        <v/>
      </c>
      <c r="J538" s="5" t="n">
        <v>0</v>
      </c>
      <c r="K538" s="3" t="inlineStr">
        <is>
          <t>Garis Lurus</t>
        </is>
      </c>
      <c r="L538" s="5">
        <f>IFERROR(M538/12,"")</f>
        <v/>
      </c>
      <c r="M538" s="5">
        <f>IFERROR((H538-J538)/I538,"")</f>
        <v/>
      </c>
      <c r="N538" s="5">
        <f>IFERROR(M538,"")</f>
        <v/>
      </c>
      <c r="O538" s="5">
        <f>IFERROR(H538-N538,"")</f>
        <v/>
      </c>
      <c r="P538" s="3" t="inlineStr">
        <is>
          <t>Belum dihitung</t>
        </is>
      </c>
      <c r="Q538" s="3" t="n"/>
    </row>
    <row r="539">
      <c r="A539" s="3" t="n">
        <v>538</v>
      </c>
      <c r="B539" s="3" t="inlineStr">
        <is>
          <t>Desember 2025</t>
        </is>
      </c>
      <c r="C539" s="3">
        <f>'Data Aset'!B541</f>
        <v/>
      </c>
      <c r="D539" s="3">
        <f>'Data Aset'!F541</f>
        <v/>
      </c>
      <c r="E539" s="3" t="inlineStr">
        <is>
          <t>Inventaris Ruangan</t>
        </is>
      </c>
      <c r="F539" s="3">
        <f>'Data Aset'!C541</f>
        <v/>
      </c>
      <c r="G539" s="3">
        <f>'Data Aset'!J541</f>
        <v/>
      </c>
      <c r="H539" s="5">
        <f>'Data Aset'!M541</f>
        <v/>
      </c>
      <c r="I539" s="3">
        <f>'Data Aset'!O541</f>
        <v/>
      </c>
      <c r="J539" s="5" t="n">
        <v>0</v>
      </c>
      <c r="K539" s="3" t="inlineStr">
        <is>
          <t>Garis Lurus</t>
        </is>
      </c>
      <c r="L539" s="5">
        <f>IFERROR(M539/12,"")</f>
        <v/>
      </c>
      <c r="M539" s="5">
        <f>IFERROR((H539-J539)/I539,"")</f>
        <v/>
      </c>
      <c r="N539" s="5">
        <f>IFERROR(M539,"")</f>
        <v/>
      </c>
      <c r="O539" s="5">
        <f>IFERROR(H539-N539,"")</f>
        <v/>
      </c>
      <c r="P539" s="3" t="inlineStr">
        <is>
          <t>Belum dihitung</t>
        </is>
      </c>
      <c r="Q539" s="3" t="n"/>
    </row>
    <row r="540">
      <c r="A540" s="3" t="n">
        <v>539</v>
      </c>
      <c r="B540" s="3" t="inlineStr">
        <is>
          <t>Desember 2025</t>
        </is>
      </c>
      <c r="C540" s="3">
        <f>'Data Aset'!B542</f>
        <v/>
      </c>
      <c r="D540" s="3">
        <f>'Data Aset'!F542</f>
        <v/>
      </c>
      <c r="E540" s="3" t="inlineStr">
        <is>
          <t>Inventaris Ruangan</t>
        </is>
      </c>
      <c r="F540" s="3">
        <f>'Data Aset'!C542</f>
        <v/>
      </c>
      <c r="G540" s="3">
        <f>'Data Aset'!J542</f>
        <v/>
      </c>
      <c r="H540" s="5">
        <f>'Data Aset'!M542</f>
        <v/>
      </c>
      <c r="I540" s="3">
        <f>'Data Aset'!O542</f>
        <v/>
      </c>
      <c r="J540" s="5" t="n">
        <v>0</v>
      </c>
      <c r="K540" s="3" t="inlineStr">
        <is>
          <t>Garis Lurus</t>
        </is>
      </c>
      <c r="L540" s="5">
        <f>IFERROR(M540/12,"")</f>
        <v/>
      </c>
      <c r="M540" s="5">
        <f>IFERROR((H540-J540)/I540,"")</f>
        <v/>
      </c>
      <c r="N540" s="5">
        <f>IFERROR(M540,"")</f>
        <v/>
      </c>
      <c r="O540" s="5">
        <f>IFERROR(H540-N540,"")</f>
        <v/>
      </c>
      <c r="P540" s="3" t="inlineStr">
        <is>
          <t>Belum dihitung</t>
        </is>
      </c>
      <c r="Q540" s="3" t="n"/>
    </row>
    <row r="541">
      <c r="A541" s="3" t="n">
        <v>540</v>
      </c>
      <c r="B541" s="3" t="inlineStr">
        <is>
          <t>Desember 2025</t>
        </is>
      </c>
      <c r="C541" s="3">
        <f>'Data Aset'!B543</f>
        <v/>
      </c>
      <c r="D541" s="3">
        <f>'Data Aset'!F543</f>
        <v/>
      </c>
      <c r="E541" s="3" t="inlineStr">
        <is>
          <t>Inventaris Ruangan</t>
        </is>
      </c>
      <c r="F541" s="3">
        <f>'Data Aset'!C543</f>
        <v/>
      </c>
      <c r="G541" s="3">
        <f>'Data Aset'!J543</f>
        <v/>
      </c>
      <c r="H541" s="5">
        <f>'Data Aset'!M543</f>
        <v/>
      </c>
      <c r="I541" s="3">
        <f>'Data Aset'!O543</f>
        <v/>
      </c>
      <c r="J541" s="5" t="n">
        <v>0</v>
      </c>
      <c r="K541" s="3" t="inlineStr">
        <is>
          <t>Garis Lurus</t>
        </is>
      </c>
      <c r="L541" s="5">
        <f>IFERROR(M541/12,"")</f>
        <v/>
      </c>
      <c r="M541" s="5">
        <f>IFERROR((H541-J541)/I541,"")</f>
        <v/>
      </c>
      <c r="N541" s="5">
        <f>IFERROR(M541,"")</f>
        <v/>
      </c>
      <c r="O541" s="5">
        <f>IFERROR(H541-N541,"")</f>
        <v/>
      </c>
      <c r="P541" s="3" t="inlineStr">
        <is>
          <t>Belum dihitung</t>
        </is>
      </c>
      <c r="Q541" s="3" t="n"/>
    </row>
    <row r="542">
      <c r="A542" s="3" t="n">
        <v>541</v>
      </c>
      <c r="B542" s="3" t="inlineStr">
        <is>
          <t>Desember 2025</t>
        </is>
      </c>
      <c r="C542" s="3">
        <f>'Data Aset'!B544</f>
        <v/>
      </c>
      <c r="D542" s="3">
        <f>'Data Aset'!F544</f>
        <v/>
      </c>
      <c r="E542" s="3" t="inlineStr">
        <is>
          <t>Inventaris Ruangan</t>
        </is>
      </c>
      <c r="F542" s="3">
        <f>'Data Aset'!C544</f>
        <v/>
      </c>
      <c r="G542" s="3">
        <f>'Data Aset'!J544</f>
        <v/>
      </c>
      <c r="H542" s="5">
        <f>'Data Aset'!M544</f>
        <v/>
      </c>
      <c r="I542" s="3">
        <f>'Data Aset'!O544</f>
        <v/>
      </c>
      <c r="J542" s="5" t="n">
        <v>0</v>
      </c>
      <c r="K542" s="3" t="inlineStr">
        <is>
          <t>Garis Lurus</t>
        </is>
      </c>
      <c r="L542" s="5">
        <f>IFERROR(M542/12,"")</f>
        <v/>
      </c>
      <c r="M542" s="5">
        <f>IFERROR((H542-J542)/I542,"")</f>
        <v/>
      </c>
      <c r="N542" s="5">
        <f>IFERROR(M542,"")</f>
        <v/>
      </c>
      <c r="O542" s="5">
        <f>IFERROR(H542-N542,"")</f>
        <v/>
      </c>
      <c r="P542" s="3" t="inlineStr">
        <is>
          <t>Belum dihitung</t>
        </is>
      </c>
      <c r="Q542" s="3" t="n"/>
    </row>
    <row r="543">
      <c r="A543" s="3" t="n">
        <v>542</v>
      </c>
      <c r="B543" s="3" t="inlineStr">
        <is>
          <t>Desember 2025</t>
        </is>
      </c>
      <c r="C543" s="3">
        <f>'Data Aset'!B545</f>
        <v/>
      </c>
      <c r="D543" s="3">
        <f>'Data Aset'!F545</f>
        <v/>
      </c>
      <c r="E543" s="3" t="inlineStr">
        <is>
          <t>Inventaris Ruangan</t>
        </is>
      </c>
      <c r="F543" s="3">
        <f>'Data Aset'!C545</f>
        <v/>
      </c>
      <c r="G543" s="3">
        <f>'Data Aset'!J545</f>
        <v/>
      </c>
      <c r="H543" s="5">
        <f>'Data Aset'!M545</f>
        <v/>
      </c>
      <c r="I543" s="3">
        <f>'Data Aset'!O545</f>
        <v/>
      </c>
      <c r="J543" s="5" t="n">
        <v>0</v>
      </c>
      <c r="K543" s="3" t="inlineStr">
        <is>
          <t>Garis Lurus</t>
        </is>
      </c>
      <c r="L543" s="5">
        <f>IFERROR(M543/12,"")</f>
        <v/>
      </c>
      <c r="M543" s="5">
        <f>IFERROR((H543-J543)/I543,"")</f>
        <v/>
      </c>
      <c r="N543" s="5">
        <f>IFERROR(M543,"")</f>
        <v/>
      </c>
      <c r="O543" s="5">
        <f>IFERROR(H543-N543,"")</f>
        <v/>
      </c>
      <c r="P543" s="3" t="inlineStr">
        <is>
          <t>Belum dihitung</t>
        </is>
      </c>
      <c r="Q543" s="3" t="n"/>
    </row>
    <row r="544">
      <c r="A544" s="3" t="n">
        <v>543</v>
      </c>
      <c r="B544" s="3" t="inlineStr">
        <is>
          <t>Desember 2025</t>
        </is>
      </c>
      <c r="C544" s="3">
        <f>'Data Aset'!B546</f>
        <v/>
      </c>
      <c r="D544" s="3">
        <f>'Data Aset'!F546</f>
        <v/>
      </c>
      <c r="E544" s="3" t="inlineStr">
        <is>
          <t>Inventaris Ruangan</t>
        </is>
      </c>
      <c r="F544" s="3">
        <f>'Data Aset'!C546</f>
        <v/>
      </c>
      <c r="G544" s="3">
        <f>'Data Aset'!J546</f>
        <v/>
      </c>
      <c r="H544" s="5">
        <f>'Data Aset'!M546</f>
        <v/>
      </c>
      <c r="I544" s="3">
        <f>'Data Aset'!O546</f>
        <v/>
      </c>
      <c r="J544" s="5" t="n">
        <v>0</v>
      </c>
      <c r="K544" s="3" t="inlineStr">
        <is>
          <t>Garis Lurus</t>
        </is>
      </c>
      <c r="L544" s="5">
        <f>IFERROR(M544/12,"")</f>
        <v/>
      </c>
      <c r="M544" s="5">
        <f>IFERROR((H544-J544)/I544,"")</f>
        <v/>
      </c>
      <c r="N544" s="5">
        <f>IFERROR(M544,"")</f>
        <v/>
      </c>
      <c r="O544" s="5">
        <f>IFERROR(H544-N544,"")</f>
        <v/>
      </c>
      <c r="P544" s="3" t="inlineStr">
        <is>
          <t>Belum dihitung</t>
        </is>
      </c>
      <c r="Q544" s="3" t="n"/>
    </row>
    <row r="545">
      <c r="A545" s="3" t="n">
        <v>544</v>
      </c>
      <c r="B545" s="3" t="inlineStr">
        <is>
          <t>Desember 2025</t>
        </is>
      </c>
      <c r="C545" s="3">
        <f>'Data Aset'!B547</f>
        <v/>
      </c>
      <c r="D545" s="3">
        <f>'Data Aset'!F547</f>
        <v/>
      </c>
      <c r="E545" s="3" t="inlineStr">
        <is>
          <t>Inventaris Ruangan</t>
        </is>
      </c>
      <c r="F545" s="3">
        <f>'Data Aset'!C547</f>
        <v/>
      </c>
      <c r="G545" s="3">
        <f>'Data Aset'!J547</f>
        <v/>
      </c>
      <c r="H545" s="5">
        <f>'Data Aset'!M547</f>
        <v/>
      </c>
      <c r="I545" s="3">
        <f>'Data Aset'!O547</f>
        <v/>
      </c>
      <c r="J545" s="5" t="n">
        <v>0</v>
      </c>
      <c r="K545" s="3" t="inlineStr">
        <is>
          <t>Garis Lurus</t>
        </is>
      </c>
      <c r="L545" s="5">
        <f>IFERROR(M545/12,"")</f>
        <v/>
      </c>
      <c r="M545" s="5">
        <f>IFERROR((H545-J545)/I545,"")</f>
        <v/>
      </c>
      <c r="N545" s="5">
        <f>IFERROR(M545,"")</f>
        <v/>
      </c>
      <c r="O545" s="5">
        <f>IFERROR(H545-N545,"")</f>
        <v/>
      </c>
      <c r="P545" s="3" t="inlineStr">
        <is>
          <t>Belum dihitung</t>
        </is>
      </c>
      <c r="Q545" s="3" t="n"/>
    </row>
    <row r="546">
      <c r="A546" s="3" t="n">
        <v>545</v>
      </c>
      <c r="B546" s="3" t="inlineStr">
        <is>
          <t>Desember 2025</t>
        </is>
      </c>
      <c r="C546" s="3">
        <f>'Data Aset'!B548</f>
        <v/>
      </c>
      <c r="D546" s="3">
        <f>'Data Aset'!F548</f>
        <v/>
      </c>
      <c r="E546" s="3" t="inlineStr">
        <is>
          <t>Inventaris Ruangan</t>
        </is>
      </c>
      <c r="F546" s="3">
        <f>'Data Aset'!C548</f>
        <v/>
      </c>
      <c r="G546" s="3">
        <f>'Data Aset'!J548</f>
        <v/>
      </c>
      <c r="H546" s="5">
        <f>'Data Aset'!M548</f>
        <v/>
      </c>
      <c r="I546" s="3">
        <f>'Data Aset'!O548</f>
        <v/>
      </c>
      <c r="J546" s="5" t="n">
        <v>0</v>
      </c>
      <c r="K546" s="3" t="inlineStr">
        <is>
          <t>Garis Lurus</t>
        </is>
      </c>
      <c r="L546" s="5">
        <f>IFERROR(M546/12,"")</f>
        <v/>
      </c>
      <c r="M546" s="5">
        <f>IFERROR((H546-J546)/I546,"")</f>
        <v/>
      </c>
      <c r="N546" s="5">
        <f>IFERROR(M546,"")</f>
        <v/>
      </c>
      <c r="O546" s="5">
        <f>IFERROR(H546-N546,"")</f>
        <v/>
      </c>
      <c r="P546" s="3" t="inlineStr">
        <is>
          <t>Belum dihitung</t>
        </is>
      </c>
      <c r="Q546" s="3" t="n"/>
    </row>
    <row r="547">
      <c r="A547" s="3" t="n">
        <v>546</v>
      </c>
      <c r="B547" s="3" t="inlineStr">
        <is>
          <t>Desember 2025</t>
        </is>
      </c>
      <c r="C547" s="3">
        <f>'Data Aset'!B549</f>
        <v/>
      </c>
      <c r="D547" s="3">
        <f>'Data Aset'!F549</f>
        <v/>
      </c>
      <c r="E547" s="3" t="inlineStr">
        <is>
          <t>Inventaris Ruangan</t>
        </is>
      </c>
      <c r="F547" s="3">
        <f>'Data Aset'!C549</f>
        <v/>
      </c>
      <c r="G547" s="3">
        <f>'Data Aset'!J549</f>
        <v/>
      </c>
      <c r="H547" s="5">
        <f>'Data Aset'!M549</f>
        <v/>
      </c>
      <c r="I547" s="3">
        <f>'Data Aset'!O549</f>
        <v/>
      </c>
      <c r="J547" s="5" t="n">
        <v>0</v>
      </c>
      <c r="K547" s="3" t="inlineStr">
        <is>
          <t>Garis Lurus</t>
        </is>
      </c>
      <c r="L547" s="5">
        <f>IFERROR(M547/12,"")</f>
        <v/>
      </c>
      <c r="M547" s="5">
        <f>IFERROR((H547-J547)/I547,"")</f>
        <v/>
      </c>
      <c r="N547" s="5">
        <f>IFERROR(M547,"")</f>
        <v/>
      </c>
      <c r="O547" s="5">
        <f>IFERROR(H547-N547,"")</f>
        <v/>
      </c>
      <c r="P547" s="3" t="inlineStr">
        <is>
          <t>Belum dihitung</t>
        </is>
      </c>
      <c r="Q547" s="3" t="n"/>
    </row>
    <row r="548">
      <c r="A548" s="3" t="n">
        <v>547</v>
      </c>
      <c r="B548" s="3" t="inlineStr">
        <is>
          <t>Desember 2025</t>
        </is>
      </c>
      <c r="C548" s="3">
        <f>'Data Aset'!B550</f>
        <v/>
      </c>
      <c r="D548" s="3">
        <f>'Data Aset'!F550</f>
        <v/>
      </c>
      <c r="E548" s="3" t="inlineStr">
        <is>
          <t>Inventaris Ruangan</t>
        </is>
      </c>
      <c r="F548" s="3">
        <f>'Data Aset'!C550</f>
        <v/>
      </c>
      <c r="G548" s="3">
        <f>'Data Aset'!J550</f>
        <v/>
      </c>
      <c r="H548" s="5">
        <f>'Data Aset'!M550</f>
        <v/>
      </c>
      <c r="I548" s="3">
        <f>'Data Aset'!O550</f>
        <v/>
      </c>
      <c r="J548" s="5" t="n">
        <v>0</v>
      </c>
      <c r="K548" s="3" t="inlineStr">
        <is>
          <t>Garis Lurus</t>
        </is>
      </c>
      <c r="L548" s="5">
        <f>IFERROR(M548/12,"")</f>
        <v/>
      </c>
      <c r="M548" s="5">
        <f>IFERROR((H548-J548)/I548,"")</f>
        <v/>
      </c>
      <c r="N548" s="5">
        <f>IFERROR(M548,"")</f>
        <v/>
      </c>
      <c r="O548" s="5">
        <f>IFERROR(H548-N548,"")</f>
        <v/>
      </c>
      <c r="P548" s="3" t="inlineStr">
        <is>
          <t>Belum dihitung</t>
        </is>
      </c>
      <c r="Q548" s="3" t="n"/>
    </row>
    <row r="549">
      <c r="A549" s="3" t="n">
        <v>548</v>
      </c>
      <c r="B549" s="3" t="inlineStr">
        <is>
          <t>Desember 2025</t>
        </is>
      </c>
      <c r="C549" s="3">
        <f>'Data Aset'!B551</f>
        <v/>
      </c>
      <c r="D549" s="3">
        <f>'Data Aset'!F551</f>
        <v/>
      </c>
      <c r="E549" s="3" t="inlineStr">
        <is>
          <t>Inventaris Ruangan</t>
        </is>
      </c>
      <c r="F549" s="3">
        <f>'Data Aset'!C551</f>
        <v/>
      </c>
      <c r="G549" s="3">
        <f>'Data Aset'!J551</f>
        <v/>
      </c>
      <c r="H549" s="5">
        <f>'Data Aset'!M551</f>
        <v/>
      </c>
      <c r="I549" s="3">
        <f>'Data Aset'!O551</f>
        <v/>
      </c>
      <c r="J549" s="5" t="n">
        <v>0</v>
      </c>
      <c r="K549" s="3" t="inlineStr">
        <is>
          <t>Garis Lurus</t>
        </is>
      </c>
      <c r="L549" s="5">
        <f>IFERROR(M549/12,"")</f>
        <v/>
      </c>
      <c r="M549" s="5">
        <f>IFERROR((H549-J549)/I549,"")</f>
        <v/>
      </c>
      <c r="N549" s="5">
        <f>IFERROR(M549,"")</f>
        <v/>
      </c>
      <c r="O549" s="5">
        <f>IFERROR(H549-N549,"")</f>
        <v/>
      </c>
      <c r="P549" s="3" t="inlineStr">
        <is>
          <t>Belum dihitung</t>
        </is>
      </c>
      <c r="Q549" s="3" t="n"/>
    </row>
    <row r="550">
      <c r="A550" s="3" t="n">
        <v>549</v>
      </c>
      <c r="B550" s="3" t="inlineStr">
        <is>
          <t>Desember 2025</t>
        </is>
      </c>
      <c r="C550" s="3">
        <f>'Data Aset'!B552</f>
        <v/>
      </c>
      <c r="D550" s="3">
        <f>'Data Aset'!F552</f>
        <v/>
      </c>
      <c r="E550" s="3" t="inlineStr">
        <is>
          <t>Inventaris Ruangan</t>
        </is>
      </c>
      <c r="F550" s="3">
        <f>'Data Aset'!C552</f>
        <v/>
      </c>
      <c r="G550" s="3">
        <f>'Data Aset'!J552</f>
        <v/>
      </c>
      <c r="H550" s="5">
        <f>'Data Aset'!M552</f>
        <v/>
      </c>
      <c r="I550" s="3">
        <f>'Data Aset'!O552</f>
        <v/>
      </c>
      <c r="J550" s="5" t="n">
        <v>0</v>
      </c>
      <c r="K550" s="3" t="inlineStr">
        <is>
          <t>Garis Lurus</t>
        </is>
      </c>
      <c r="L550" s="5">
        <f>IFERROR(M550/12,"")</f>
        <v/>
      </c>
      <c r="M550" s="5">
        <f>IFERROR((H550-J550)/I550,"")</f>
        <v/>
      </c>
      <c r="N550" s="5">
        <f>IFERROR(M550,"")</f>
        <v/>
      </c>
      <c r="O550" s="5">
        <f>IFERROR(H550-N550,"")</f>
        <v/>
      </c>
      <c r="P550" s="3" t="inlineStr">
        <is>
          <t>Belum dihitung</t>
        </is>
      </c>
      <c r="Q550" s="3" t="n"/>
    </row>
    <row r="551">
      <c r="A551" s="3" t="n">
        <v>550</v>
      </c>
      <c r="B551" s="3" t="inlineStr">
        <is>
          <t>Desember 2025</t>
        </is>
      </c>
      <c r="C551" s="3">
        <f>'Data Aset'!B553</f>
        <v/>
      </c>
      <c r="D551" s="3">
        <f>'Data Aset'!F553</f>
        <v/>
      </c>
      <c r="E551" s="3" t="inlineStr">
        <is>
          <t>Inventaris Ruangan</t>
        </is>
      </c>
      <c r="F551" s="3">
        <f>'Data Aset'!C553</f>
        <v/>
      </c>
      <c r="G551" s="3">
        <f>'Data Aset'!J553</f>
        <v/>
      </c>
      <c r="H551" s="5">
        <f>'Data Aset'!M553</f>
        <v/>
      </c>
      <c r="I551" s="3">
        <f>'Data Aset'!O553</f>
        <v/>
      </c>
      <c r="J551" s="5" t="n">
        <v>0</v>
      </c>
      <c r="K551" s="3" t="inlineStr">
        <is>
          <t>Garis Lurus</t>
        </is>
      </c>
      <c r="L551" s="5">
        <f>IFERROR(M551/12,"")</f>
        <v/>
      </c>
      <c r="M551" s="5">
        <f>IFERROR((H551-J551)/I551,"")</f>
        <v/>
      </c>
      <c r="N551" s="5">
        <f>IFERROR(M551,"")</f>
        <v/>
      </c>
      <c r="O551" s="5">
        <f>IFERROR(H551-N551,"")</f>
        <v/>
      </c>
      <c r="P551" s="3" t="inlineStr">
        <is>
          <t>Belum dihitung</t>
        </is>
      </c>
      <c r="Q551" s="3" t="n"/>
    </row>
    <row r="552">
      <c r="A552" s="3" t="n">
        <v>551</v>
      </c>
      <c r="B552" s="3" t="inlineStr">
        <is>
          <t>Desember 2025</t>
        </is>
      </c>
      <c r="C552" s="3">
        <f>'Data Aset'!B554</f>
        <v/>
      </c>
      <c r="D552" s="3">
        <f>'Data Aset'!F554</f>
        <v/>
      </c>
      <c r="E552" s="3" t="inlineStr">
        <is>
          <t>Inventaris Ruangan</t>
        </is>
      </c>
      <c r="F552" s="3">
        <f>'Data Aset'!C554</f>
        <v/>
      </c>
      <c r="G552" s="3">
        <f>'Data Aset'!J554</f>
        <v/>
      </c>
      <c r="H552" s="5">
        <f>'Data Aset'!M554</f>
        <v/>
      </c>
      <c r="I552" s="3">
        <f>'Data Aset'!O554</f>
        <v/>
      </c>
      <c r="J552" s="5" t="n">
        <v>0</v>
      </c>
      <c r="K552" s="3" t="inlineStr">
        <is>
          <t>Garis Lurus</t>
        </is>
      </c>
      <c r="L552" s="5">
        <f>IFERROR(M552/12,"")</f>
        <v/>
      </c>
      <c r="M552" s="5">
        <f>IFERROR((H552-J552)/I552,"")</f>
        <v/>
      </c>
      <c r="N552" s="5">
        <f>IFERROR(M552,"")</f>
        <v/>
      </c>
      <c r="O552" s="5">
        <f>IFERROR(H552-N552,"")</f>
        <v/>
      </c>
      <c r="P552" s="3" t="inlineStr">
        <is>
          <t>Belum dihitung</t>
        </is>
      </c>
      <c r="Q552" s="3" t="n"/>
    </row>
    <row r="553">
      <c r="A553" s="3" t="n">
        <v>552</v>
      </c>
      <c r="B553" s="3" t="inlineStr">
        <is>
          <t>Desember 2025</t>
        </is>
      </c>
      <c r="C553" s="3">
        <f>'Data Aset'!B555</f>
        <v/>
      </c>
      <c r="D553" s="3">
        <f>'Data Aset'!F555</f>
        <v/>
      </c>
      <c r="E553" s="3" t="inlineStr">
        <is>
          <t>Inventaris Ruangan</t>
        </is>
      </c>
      <c r="F553" s="3">
        <f>'Data Aset'!C555</f>
        <v/>
      </c>
      <c r="G553" s="3">
        <f>'Data Aset'!J555</f>
        <v/>
      </c>
      <c r="H553" s="5">
        <f>'Data Aset'!M555</f>
        <v/>
      </c>
      <c r="I553" s="3">
        <f>'Data Aset'!O555</f>
        <v/>
      </c>
      <c r="J553" s="5" t="n">
        <v>0</v>
      </c>
      <c r="K553" s="3" t="inlineStr">
        <is>
          <t>Garis Lurus</t>
        </is>
      </c>
      <c r="L553" s="5">
        <f>IFERROR(M553/12,"")</f>
        <v/>
      </c>
      <c r="M553" s="5">
        <f>IFERROR((H553-J553)/I553,"")</f>
        <v/>
      </c>
      <c r="N553" s="5">
        <f>IFERROR(M553,"")</f>
        <v/>
      </c>
      <c r="O553" s="5">
        <f>IFERROR(H553-N553,"")</f>
        <v/>
      </c>
      <c r="P553" s="3" t="inlineStr">
        <is>
          <t>Belum dihitung</t>
        </is>
      </c>
      <c r="Q553" s="3" t="n"/>
    </row>
    <row r="554">
      <c r="A554" s="3" t="n">
        <v>553</v>
      </c>
      <c r="B554" s="3" t="inlineStr">
        <is>
          <t>Desember 2025</t>
        </is>
      </c>
      <c r="C554" s="3">
        <f>'Data Aset'!B556</f>
        <v/>
      </c>
      <c r="D554" s="3">
        <f>'Data Aset'!F556</f>
        <v/>
      </c>
      <c r="E554" s="3" t="inlineStr">
        <is>
          <t>Inventaris Ruangan</t>
        </is>
      </c>
      <c r="F554" s="3">
        <f>'Data Aset'!C556</f>
        <v/>
      </c>
      <c r="G554" s="3">
        <f>'Data Aset'!J556</f>
        <v/>
      </c>
      <c r="H554" s="5">
        <f>'Data Aset'!M556</f>
        <v/>
      </c>
      <c r="I554" s="3">
        <f>'Data Aset'!O556</f>
        <v/>
      </c>
      <c r="J554" s="5" t="n">
        <v>0</v>
      </c>
      <c r="K554" s="3" t="inlineStr">
        <is>
          <t>Garis Lurus</t>
        </is>
      </c>
      <c r="L554" s="5">
        <f>IFERROR(M554/12,"")</f>
        <v/>
      </c>
      <c r="M554" s="5">
        <f>IFERROR((H554-J554)/I554,"")</f>
        <v/>
      </c>
      <c r="N554" s="5">
        <f>IFERROR(M554,"")</f>
        <v/>
      </c>
      <c r="O554" s="5">
        <f>IFERROR(H554-N554,"")</f>
        <v/>
      </c>
      <c r="P554" s="3" t="inlineStr">
        <is>
          <t>Belum dihitung</t>
        </is>
      </c>
      <c r="Q554" s="3" t="n"/>
    </row>
    <row r="555">
      <c r="A555" s="3" t="n">
        <v>554</v>
      </c>
      <c r="B555" s="3" t="inlineStr">
        <is>
          <t>Desember 2025</t>
        </is>
      </c>
      <c r="C555" s="3">
        <f>'Data Aset'!B557</f>
        <v/>
      </c>
      <c r="D555" s="3">
        <f>'Data Aset'!F557</f>
        <v/>
      </c>
      <c r="E555" s="3" t="inlineStr">
        <is>
          <t>Inventaris Ruangan</t>
        </is>
      </c>
      <c r="F555" s="3">
        <f>'Data Aset'!C557</f>
        <v/>
      </c>
      <c r="G555" s="3">
        <f>'Data Aset'!J557</f>
        <v/>
      </c>
      <c r="H555" s="5">
        <f>'Data Aset'!M557</f>
        <v/>
      </c>
      <c r="I555" s="3">
        <f>'Data Aset'!O557</f>
        <v/>
      </c>
      <c r="J555" s="5" t="n">
        <v>0</v>
      </c>
      <c r="K555" s="3" t="inlineStr">
        <is>
          <t>Garis Lurus</t>
        </is>
      </c>
      <c r="L555" s="5">
        <f>IFERROR(M555/12,"")</f>
        <v/>
      </c>
      <c r="M555" s="5">
        <f>IFERROR((H555-J555)/I555,"")</f>
        <v/>
      </c>
      <c r="N555" s="5">
        <f>IFERROR(M555,"")</f>
        <v/>
      </c>
      <c r="O555" s="5">
        <f>IFERROR(H555-N555,"")</f>
        <v/>
      </c>
      <c r="P555" s="3" t="inlineStr">
        <is>
          <t>Belum dihitung</t>
        </is>
      </c>
      <c r="Q555" s="3" t="n"/>
    </row>
    <row r="556">
      <c r="A556" s="3" t="n">
        <v>555</v>
      </c>
      <c r="B556" s="3" t="inlineStr">
        <is>
          <t>Desember 2025</t>
        </is>
      </c>
      <c r="C556" s="3">
        <f>'Data Aset'!B558</f>
        <v/>
      </c>
      <c r="D556" s="3">
        <f>'Data Aset'!F558</f>
        <v/>
      </c>
      <c r="E556" s="3" t="inlineStr">
        <is>
          <t>Inventaris Ruangan</t>
        </is>
      </c>
      <c r="F556" s="3">
        <f>'Data Aset'!C558</f>
        <v/>
      </c>
      <c r="G556" s="3">
        <f>'Data Aset'!J558</f>
        <v/>
      </c>
      <c r="H556" s="5">
        <f>'Data Aset'!M558</f>
        <v/>
      </c>
      <c r="I556" s="3">
        <f>'Data Aset'!O558</f>
        <v/>
      </c>
      <c r="J556" s="5" t="n">
        <v>0</v>
      </c>
      <c r="K556" s="3" t="inlineStr">
        <is>
          <t>Garis Lurus</t>
        </is>
      </c>
      <c r="L556" s="5">
        <f>IFERROR(M556/12,"")</f>
        <v/>
      </c>
      <c r="M556" s="5">
        <f>IFERROR((H556-J556)/I556,"")</f>
        <v/>
      </c>
      <c r="N556" s="5">
        <f>IFERROR(M556,"")</f>
        <v/>
      </c>
      <c r="O556" s="5">
        <f>IFERROR(H556-N556,"")</f>
        <v/>
      </c>
      <c r="P556" s="3" t="inlineStr">
        <is>
          <t>Belum dihitung</t>
        </is>
      </c>
      <c r="Q556" s="3" t="n"/>
    </row>
    <row r="557">
      <c r="A557" s="3" t="n">
        <v>556</v>
      </c>
      <c r="B557" s="3" t="inlineStr">
        <is>
          <t>Desember 2025</t>
        </is>
      </c>
      <c r="C557" s="3">
        <f>'Data Aset'!B559</f>
        <v/>
      </c>
      <c r="D557" s="3">
        <f>'Data Aset'!F559</f>
        <v/>
      </c>
      <c r="E557" s="3" t="inlineStr">
        <is>
          <t>Inventaris Ruangan</t>
        </is>
      </c>
      <c r="F557" s="3">
        <f>'Data Aset'!C559</f>
        <v/>
      </c>
      <c r="G557" s="3">
        <f>'Data Aset'!J559</f>
        <v/>
      </c>
      <c r="H557" s="5">
        <f>'Data Aset'!M559</f>
        <v/>
      </c>
      <c r="I557" s="3">
        <f>'Data Aset'!O559</f>
        <v/>
      </c>
      <c r="J557" s="5" t="n">
        <v>0</v>
      </c>
      <c r="K557" s="3" t="inlineStr">
        <is>
          <t>Garis Lurus</t>
        </is>
      </c>
      <c r="L557" s="5">
        <f>IFERROR(M557/12,"")</f>
        <v/>
      </c>
      <c r="M557" s="5">
        <f>IFERROR((H557-J557)/I557,"")</f>
        <v/>
      </c>
      <c r="N557" s="5">
        <f>IFERROR(M557,"")</f>
        <v/>
      </c>
      <c r="O557" s="5">
        <f>IFERROR(H557-N557,"")</f>
        <v/>
      </c>
      <c r="P557" s="3" t="inlineStr">
        <is>
          <t>Belum dihitung</t>
        </is>
      </c>
      <c r="Q557" s="3" t="n"/>
    </row>
    <row r="558">
      <c r="A558" s="3" t="n">
        <v>557</v>
      </c>
      <c r="B558" s="3" t="inlineStr">
        <is>
          <t>Desember 2025</t>
        </is>
      </c>
      <c r="C558" s="3">
        <f>'Data Aset'!B560</f>
        <v/>
      </c>
      <c r="D558" s="3">
        <f>'Data Aset'!F560</f>
        <v/>
      </c>
      <c r="E558" s="3" t="inlineStr">
        <is>
          <t>Inventaris Ruangan</t>
        </is>
      </c>
      <c r="F558" s="3">
        <f>'Data Aset'!C560</f>
        <v/>
      </c>
      <c r="G558" s="3">
        <f>'Data Aset'!J560</f>
        <v/>
      </c>
      <c r="H558" s="5">
        <f>'Data Aset'!M560</f>
        <v/>
      </c>
      <c r="I558" s="3">
        <f>'Data Aset'!O560</f>
        <v/>
      </c>
      <c r="J558" s="5" t="n">
        <v>0</v>
      </c>
      <c r="K558" s="3" t="inlineStr">
        <is>
          <t>Garis Lurus</t>
        </is>
      </c>
      <c r="L558" s="5">
        <f>IFERROR(M558/12,"")</f>
        <v/>
      </c>
      <c r="M558" s="5">
        <f>IFERROR((H558-J558)/I558,"")</f>
        <v/>
      </c>
      <c r="N558" s="5">
        <f>IFERROR(M558,"")</f>
        <v/>
      </c>
      <c r="O558" s="5">
        <f>IFERROR(H558-N558,"")</f>
        <v/>
      </c>
      <c r="P558" s="3" t="inlineStr">
        <is>
          <t>Belum dihitung</t>
        </is>
      </c>
      <c r="Q558" s="3" t="n"/>
    </row>
    <row r="559">
      <c r="A559" s="3" t="n">
        <v>558</v>
      </c>
      <c r="B559" s="3" t="inlineStr">
        <is>
          <t>Desember 2025</t>
        </is>
      </c>
      <c r="C559" s="3">
        <f>'Data Aset'!B561</f>
        <v/>
      </c>
      <c r="D559" s="3">
        <f>'Data Aset'!F561</f>
        <v/>
      </c>
      <c r="E559" s="3" t="inlineStr">
        <is>
          <t>Inventaris Ruangan</t>
        </is>
      </c>
      <c r="F559" s="3">
        <f>'Data Aset'!C561</f>
        <v/>
      </c>
      <c r="G559" s="3">
        <f>'Data Aset'!J561</f>
        <v/>
      </c>
      <c r="H559" s="5">
        <f>'Data Aset'!M561</f>
        <v/>
      </c>
      <c r="I559" s="3">
        <f>'Data Aset'!O561</f>
        <v/>
      </c>
      <c r="J559" s="5" t="n">
        <v>0</v>
      </c>
      <c r="K559" s="3" t="inlineStr">
        <is>
          <t>Garis Lurus</t>
        </is>
      </c>
      <c r="L559" s="5">
        <f>IFERROR(M559/12,"")</f>
        <v/>
      </c>
      <c r="M559" s="5">
        <f>IFERROR((H559-J559)/I559,"")</f>
        <v/>
      </c>
      <c r="N559" s="5">
        <f>IFERROR(M559,"")</f>
        <v/>
      </c>
      <c r="O559" s="5">
        <f>IFERROR(H559-N559,"")</f>
        <v/>
      </c>
      <c r="P559" s="3" t="inlineStr">
        <is>
          <t>Belum dihitung</t>
        </is>
      </c>
      <c r="Q559" s="3" t="n"/>
    </row>
    <row r="560">
      <c r="A560" s="3" t="n">
        <v>559</v>
      </c>
      <c r="B560" s="3" t="inlineStr">
        <is>
          <t>Desember 2025</t>
        </is>
      </c>
      <c r="C560" s="3">
        <f>'Data Aset'!B562</f>
        <v/>
      </c>
      <c r="D560" s="3">
        <f>'Data Aset'!F562</f>
        <v/>
      </c>
      <c r="E560" s="3" t="inlineStr">
        <is>
          <t>Inventaris Ruangan</t>
        </is>
      </c>
      <c r="F560" s="3">
        <f>'Data Aset'!C562</f>
        <v/>
      </c>
      <c r="G560" s="3">
        <f>'Data Aset'!J562</f>
        <v/>
      </c>
      <c r="H560" s="5">
        <f>'Data Aset'!M562</f>
        <v/>
      </c>
      <c r="I560" s="3">
        <f>'Data Aset'!O562</f>
        <v/>
      </c>
      <c r="J560" s="5" t="n">
        <v>0</v>
      </c>
      <c r="K560" s="3" t="inlineStr">
        <is>
          <t>Garis Lurus</t>
        </is>
      </c>
      <c r="L560" s="5">
        <f>IFERROR(M560/12,"")</f>
        <v/>
      </c>
      <c r="M560" s="5">
        <f>IFERROR((H560-J560)/I560,"")</f>
        <v/>
      </c>
      <c r="N560" s="5">
        <f>IFERROR(M560,"")</f>
        <v/>
      </c>
      <c r="O560" s="5">
        <f>IFERROR(H560-N560,"")</f>
        <v/>
      </c>
      <c r="P560" s="3" t="inlineStr">
        <is>
          <t>Belum dihitung</t>
        </is>
      </c>
      <c r="Q560" s="3" t="n"/>
    </row>
    <row r="561">
      <c r="A561" s="3" t="n">
        <v>560</v>
      </c>
      <c r="B561" s="3" t="inlineStr">
        <is>
          <t>Desember 2025</t>
        </is>
      </c>
      <c r="C561" s="3">
        <f>'Data Aset'!B563</f>
        <v/>
      </c>
      <c r="D561" s="3">
        <f>'Data Aset'!F563</f>
        <v/>
      </c>
      <c r="E561" s="3" t="inlineStr">
        <is>
          <t>Inventaris Ruangan</t>
        </is>
      </c>
      <c r="F561" s="3">
        <f>'Data Aset'!C563</f>
        <v/>
      </c>
      <c r="G561" s="3">
        <f>'Data Aset'!J563</f>
        <v/>
      </c>
      <c r="H561" s="5">
        <f>'Data Aset'!M563</f>
        <v/>
      </c>
      <c r="I561" s="3">
        <f>'Data Aset'!O563</f>
        <v/>
      </c>
      <c r="J561" s="5" t="n">
        <v>0</v>
      </c>
      <c r="K561" s="3" t="inlineStr">
        <is>
          <t>Garis Lurus</t>
        </is>
      </c>
      <c r="L561" s="5">
        <f>IFERROR(M561/12,"")</f>
        <v/>
      </c>
      <c r="M561" s="5">
        <f>IFERROR((H561-J561)/I561,"")</f>
        <v/>
      </c>
      <c r="N561" s="5">
        <f>IFERROR(M561,"")</f>
        <v/>
      </c>
      <c r="O561" s="5">
        <f>IFERROR(H561-N561,"")</f>
        <v/>
      </c>
      <c r="P561" s="3" t="inlineStr">
        <is>
          <t>Belum dihitung</t>
        </is>
      </c>
      <c r="Q561" s="3" t="n"/>
    </row>
    <row r="562">
      <c r="A562" s="3" t="n">
        <v>561</v>
      </c>
      <c r="B562" s="3" t="inlineStr">
        <is>
          <t>Desember 2025</t>
        </is>
      </c>
      <c r="C562" s="3">
        <f>'Data Aset'!B564</f>
        <v/>
      </c>
      <c r="D562" s="3">
        <f>'Data Aset'!F564</f>
        <v/>
      </c>
      <c r="E562" s="3" t="inlineStr">
        <is>
          <t>Inventaris Ruangan</t>
        </is>
      </c>
      <c r="F562" s="3">
        <f>'Data Aset'!C564</f>
        <v/>
      </c>
      <c r="G562" s="3">
        <f>'Data Aset'!J564</f>
        <v/>
      </c>
      <c r="H562" s="5">
        <f>'Data Aset'!M564</f>
        <v/>
      </c>
      <c r="I562" s="3">
        <f>'Data Aset'!O564</f>
        <v/>
      </c>
      <c r="J562" s="5" t="n">
        <v>0</v>
      </c>
      <c r="K562" s="3" t="inlineStr">
        <is>
          <t>Garis Lurus</t>
        </is>
      </c>
      <c r="L562" s="5">
        <f>IFERROR(M562/12,"")</f>
        <v/>
      </c>
      <c r="M562" s="5">
        <f>IFERROR((H562-J562)/I562,"")</f>
        <v/>
      </c>
      <c r="N562" s="5">
        <f>IFERROR(M562,"")</f>
        <v/>
      </c>
      <c r="O562" s="5">
        <f>IFERROR(H562-N562,"")</f>
        <v/>
      </c>
      <c r="P562" s="3" t="inlineStr">
        <is>
          <t>Belum dihitung</t>
        </is>
      </c>
      <c r="Q562" s="3" t="n"/>
    </row>
    <row r="563">
      <c r="A563" s="3" t="n">
        <v>562</v>
      </c>
      <c r="B563" s="3" t="inlineStr">
        <is>
          <t>Desember 2025</t>
        </is>
      </c>
      <c r="C563" s="3">
        <f>'Data Aset'!B565</f>
        <v/>
      </c>
      <c r="D563" s="3">
        <f>'Data Aset'!F565</f>
        <v/>
      </c>
      <c r="E563" s="3" t="inlineStr">
        <is>
          <t>Inventaris Ruangan</t>
        </is>
      </c>
      <c r="F563" s="3">
        <f>'Data Aset'!C565</f>
        <v/>
      </c>
      <c r="G563" s="3">
        <f>'Data Aset'!J565</f>
        <v/>
      </c>
      <c r="H563" s="5">
        <f>'Data Aset'!M565</f>
        <v/>
      </c>
      <c r="I563" s="3">
        <f>'Data Aset'!O565</f>
        <v/>
      </c>
      <c r="J563" s="5" t="n">
        <v>0</v>
      </c>
      <c r="K563" s="3" t="inlineStr">
        <is>
          <t>Garis Lurus</t>
        </is>
      </c>
      <c r="L563" s="5">
        <f>IFERROR(M563/12,"")</f>
        <v/>
      </c>
      <c r="M563" s="5">
        <f>IFERROR((H563-J563)/I563,"")</f>
        <v/>
      </c>
      <c r="N563" s="5">
        <f>IFERROR(M563,"")</f>
        <v/>
      </c>
      <c r="O563" s="5">
        <f>IFERROR(H563-N563,"")</f>
        <v/>
      </c>
      <c r="P563" s="3" t="inlineStr">
        <is>
          <t>Belum dihitung</t>
        </is>
      </c>
      <c r="Q563" s="3" t="n"/>
    </row>
    <row r="564">
      <c r="A564" s="3" t="n">
        <v>563</v>
      </c>
      <c r="B564" s="3" t="inlineStr">
        <is>
          <t>Desember 2025</t>
        </is>
      </c>
      <c r="C564" s="3">
        <f>'Data Aset'!B566</f>
        <v/>
      </c>
      <c r="D564" s="3">
        <f>'Data Aset'!F566</f>
        <v/>
      </c>
      <c r="E564" s="3" t="inlineStr">
        <is>
          <t>Inventaris Ruangan</t>
        </is>
      </c>
      <c r="F564" s="3">
        <f>'Data Aset'!C566</f>
        <v/>
      </c>
      <c r="G564" s="3">
        <f>'Data Aset'!J566</f>
        <v/>
      </c>
      <c r="H564" s="5">
        <f>'Data Aset'!M566</f>
        <v/>
      </c>
      <c r="I564" s="3">
        <f>'Data Aset'!O566</f>
        <v/>
      </c>
      <c r="J564" s="5" t="n">
        <v>0</v>
      </c>
      <c r="K564" s="3" t="inlineStr">
        <is>
          <t>Garis Lurus</t>
        </is>
      </c>
      <c r="L564" s="5">
        <f>IFERROR(M564/12,"")</f>
        <v/>
      </c>
      <c r="M564" s="5">
        <f>IFERROR((H564-J564)/I564,"")</f>
        <v/>
      </c>
      <c r="N564" s="5">
        <f>IFERROR(M564,"")</f>
        <v/>
      </c>
      <c r="O564" s="5">
        <f>IFERROR(H564-N564,"")</f>
        <v/>
      </c>
      <c r="P564" s="3" t="inlineStr">
        <is>
          <t>Belum dihitung</t>
        </is>
      </c>
      <c r="Q564" s="3" t="n"/>
    </row>
    <row r="565">
      <c r="A565" s="3" t="n">
        <v>564</v>
      </c>
      <c r="B565" s="3" t="inlineStr">
        <is>
          <t>Desember 2025</t>
        </is>
      </c>
      <c r="C565" s="3">
        <f>'Data Aset'!B567</f>
        <v/>
      </c>
      <c r="D565" s="3">
        <f>'Data Aset'!F567</f>
        <v/>
      </c>
      <c r="E565" s="3" t="inlineStr">
        <is>
          <t>Inventaris Ruangan</t>
        </is>
      </c>
      <c r="F565" s="3">
        <f>'Data Aset'!C567</f>
        <v/>
      </c>
      <c r="G565" s="3">
        <f>'Data Aset'!J567</f>
        <v/>
      </c>
      <c r="H565" s="5">
        <f>'Data Aset'!M567</f>
        <v/>
      </c>
      <c r="I565" s="3">
        <f>'Data Aset'!O567</f>
        <v/>
      </c>
      <c r="J565" s="5" t="n">
        <v>0</v>
      </c>
      <c r="K565" s="3" t="inlineStr">
        <is>
          <t>Garis Lurus</t>
        </is>
      </c>
      <c r="L565" s="5">
        <f>IFERROR(M565/12,"")</f>
        <v/>
      </c>
      <c r="M565" s="5">
        <f>IFERROR((H565-J565)/I565,"")</f>
        <v/>
      </c>
      <c r="N565" s="5">
        <f>IFERROR(M565,"")</f>
        <v/>
      </c>
      <c r="O565" s="5">
        <f>IFERROR(H565-N565,"")</f>
        <v/>
      </c>
      <c r="P565" s="3" t="inlineStr">
        <is>
          <t>Belum dihitung</t>
        </is>
      </c>
      <c r="Q565" s="3" t="n"/>
    </row>
    <row r="566">
      <c r="A566" s="3" t="n">
        <v>565</v>
      </c>
      <c r="B566" s="3" t="inlineStr">
        <is>
          <t>Desember 2025</t>
        </is>
      </c>
      <c r="C566" s="3">
        <f>'Data Aset'!B568</f>
        <v/>
      </c>
      <c r="D566" s="3">
        <f>'Data Aset'!F568</f>
        <v/>
      </c>
      <c r="E566" s="3" t="inlineStr">
        <is>
          <t>Inventaris Ruangan</t>
        </is>
      </c>
      <c r="F566" s="3">
        <f>'Data Aset'!C568</f>
        <v/>
      </c>
      <c r="G566" s="3">
        <f>'Data Aset'!J568</f>
        <v/>
      </c>
      <c r="H566" s="5">
        <f>'Data Aset'!M568</f>
        <v/>
      </c>
      <c r="I566" s="3">
        <f>'Data Aset'!O568</f>
        <v/>
      </c>
      <c r="J566" s="5" t="n">
        <v>0</v>
      </c>
      <c r="K566" s="3" t="inlineStr">
        <is>
          <t>Garis Lurus</t>
        </is>
      </c>
      <c r="L566" s="5">
        <f>IFERROR(M566/12,"")</f>
        <v/>
      </c>
      <c r="M566" s="5">
        <f>IFERROR((H566-J566)/I566,"")</f>
        <v/>
      </c>
      <c r="N566" s="5">
        <f>IFERROR(M566,"")</f>
        <v/>
      </c>
      <c r="O566" s="5">
        <f>IFERROR(H566-N566,"")</f>
        <v/>
      </c>
      <c r="P566" s="3" t="inlineStr">
        <is>
          <t>Belum dihitung</t>
        </is>
      </c>
      <c r="Q566" s="3" t="n"/>
    </row>
    <row r="567">
      <c r="A567" s="3" t="n">
        <v>566</v>
      </c>
      <c r="B567" s="3" t="inlineStr">
        <is>
          <t>Desember 2025</t>
        </is>
      </c>
      <c r="C567" s="3">
        <f>'Data Aset'!B569</f>
        <v/>
      </c>
      <c r="D567" s="3">
        <f>'Data Aset'!F569</f>
        <v/>
      </c>
      <c r="E567" s="3" t="inlineStr">
        <is>
          <t>Inventaris Ruangan</t>
        </is>
      </c>
      <c r="F567" s="3">
        <f>'Data Aset'!C569</f>
        <v/>
      </c>
      <c r="G567" s="3">
        <f>'Data Aset'!J569</f>
        <v/>
      </c>
      <c r="H567" s="5">
        <f>'Data Aset'!M569</f>
        <v/>
      </c>
      <c r="I567" s="3">
        <f>'Data Aset'!O569</f>
        <v/>
      </c>
      <c r="J567" s="5" t="n">
        <v>0</v>
      </c>
      <c r="K567" s="3" t="inlineStr">
        <is>
          <t>Garis Lurus</t>
        </is>
      </c>
      <c r="L567" s="5">
        <f>IFERROR(M567/12,"")</f>
        <v/>
      </c>
      <c r="M567" s="5">
        <f>IFERROR((H567-J567)/I567,"")</f>
        <v/>
      </c>
      <c r="N567" s="5">
        <f>IFERROR(M567,"")</f>
        <v/>
      </c>
      <c r="O567" s="5">
        <f>IFERROR(H567-N567,"")</f>
        <v/>
      </c>
      <c r="P567" s="3" t="inlineStr">
        <is>
          <t>Belum dihitung</t>
        </is>
      </c>
      <c r="Q567" s="3" t="n"/>
    </row>
    <row r="568">
      <c r="A568" s="3" t="n">
        <v>567</v>
      </c>
      <c r="B568" s="3" t="inlineStr">
        <is>
          <t>Desember 2025</t>
        </is>
      </c>
      <c r="C568" s="3">
        <f>'Data Aset'!B570</f>
        <v/>
      </c>
      <c r="D568" s="3">
        <f>'Data Aset'!F570</f>
        <v/>
      </c>
      <c r="E568" s="3" t="inlineStr">
        <is>
          <t>Inventaris Ruangan</t>
        </is>
      </c>
      <c r="F568" s="3">
        <f>'Data Aset'!C570</f>
        <v/>
      </c>
      <c r="G568" s="3">
        <f>'Data Aset'!J570</f>
        <v/>
      </c>
      <c r="H568" s="5">
        <f>'Data Aset'!M570</f>
        <v/>
      </c>
      <c r="I568" s="3">
        <f>'Data Aset'!O570</f>
        <v/>
      </c>
      <c r="J568" s="5" t="n">
        <v>0</v>
      </c>
      <c r="K568" s="3" t="inlineStr">
        <is>
          <t>Garis Lurus</t>
        </is>
      </c>
      <c r="L568" s="5">
        <f>IFERROR(M568/12,"")</f>
        <v/>
      </c>
      <c r="M568" s="5">
        <f>IFERROR((H568-J568)/I568,"")</f>
        <v/>
      </c>
      <c r="N568" s="5">
        <f>IFERROR(M568,"")</f>
        <v/>
      </c>
      <c r="O568" s="5">
        <f>IFERROR(H568-N568,"")</f>
        <v/>
      </c>
      <c r="P568" s="3" t="inlineStr">
        <is>
          <t>Belum dihitung</t>
        </is>
      </c>
      <c r="Q568" s="3" t="n"/>
    </row>
    <row r="569">
      <c r="A569" s="3" t="n">
        <v>568</v>
      </c>
      <c r="B569" s="3" t="inlineStr">
        <is>
          <t>Desember 2025</t>
        </is>
      </c>
      <c r="C569" s="3">
        <f>'Data Aset'!B571</f>
        <v/>
      </c>
      <c r="D569" s="3">
        <f>'Data Aset'!F571</f>
        <v/>
      </c>
      <c r="E569" s="3" t="inlineStr">
        <is>
          <t>Inventaris Ruangan</t>
        </is>
      </c>
      <c r="F569" s="3">
        <f>'Data Aset'!C571</f>
        <v/>
      </c>
      <c r="G569" s="3">
        <f>'Data Aset'!J571</f>
        <v/>
      </c>
      <c r="H569" s="5">
        <f>'Data Aset'!M571</f>
        <v/>
      </c>
      <c r="I569" s="3">
        <f>'Data Aset'!O571</f>
        <v/>
      </c>
      <c r="J569" s="5" t="n">
        <v>0</v>
      </c>
      <c r="K569" s="3" t="inlineStr">
        <is>
          <t>Garis Lurus</t>
        </is>
      </c>
      <c r="L569" s="5">
        <f>IFERROR(M569/12,"")</f>
        <v/>
      </c>
      <c r="M569" s="5">
        <f>IFERROR((H569-J569)/I569,"")</f>
        <v/>
      </c>
      <c r="N569" s="5">
        <f>IFERROR(M569,"")</f>
        <v/>
      </c>
      <c r="O569" s="5">
        <f>IFERROR(H569-N569,"")</f>
        <v/>
      </c>
      <c r="P569" s="3" t="inlineStr">
        <is>
          <t>Belum dihitung</t>
        </is>
      </c>
      <c r="Q569" s="3" t="n"/>
    </row>
    <row r="570">
      <c r="A570" s="3" t="n">
        <v>569</v>
      </c>
      <c r="B570" s="3" t="inlineStr">
        <is>
          <t>Desember 2025</t>
        </is>
      </c>
      <c r="C570" s="3">
        <f>'Data Aset'!B572</f>
        <v/>
      </c>
      <c r="D570" s="3">
        <f>'Data Aset'!F572</f>
        <v/>
      </c>
      <c r="E570" s="3" t="inlineStr">
        <is>
          <t>Inventaris Ruangan</t>
        </is>
      </c>
      <c r="F570" s="3">
        <f>'Data Aset'!C572</f>
        <v/>
      </c>
      <c r="G570" s="3">
        <f>'Data Aset'!J572</f>
        <v/>
      </c>
      <c r="H570" s="5">
        <f>'Data Aset'!M572</f>
        <v/>
      </c>
      <c r="I570" s="3">
        <f>'Data Aset'!O572</f>
        <v/>
      </c>
      <c r="J570" s="5" t="n">
        <v>0</v>
      </c>
      <c r="K570" s="3" t="inlineStr">
        <is>
          <t>Garis Lurus</t>
        </is>
      </c>
      <c r="L570" s="5">
        <f>IFERROR(M570/12,"")</f>
        <v/>
      </c>
      <c r="M570" s="5">
        <f>IFERROR((H570-J570)/I570,"")</f>
        <v/>
      </c>
      <c r="N570" s="5">
        <f>IFERROR(M570,"")</f>
        <v/>
      </c>
      <c r="O570" s="5">
        <f>IFERROR(H570-N570,"")</f>
        <v/>
      </c>
      <c r="P570" s="3" t="inlineStr">
        <is>
          <t>Belum dihitung</t>
        </is>
      </c>
      <c r="Q570" s="3" t="n"/>
    </row>
    <row r="571">
      <c r="A571" s="3" t="n">
        <v>570</v>
      </c>
      <c r="B571" s="3" t="inlineStr">
        <is>
          <t>Desember 2025</t>
        </is>
      </c>
      <c r="C571" s="3">
        <f>'Data Aset'!B573</f>
        <v/>
      </c>
      <c r="D571" s="3">
        <f>'Data Aset'!F573</f>
        <v/>
      </c>
      <c r="E571" s="3" t="inlineStr">
        <is>
          <t>Inventaris Ruangan</t>
        </is>
      </c>
      <c r="F571" s="3">
        <f>'Data Aset'!C573</f>
        <v/>
      </c>
      <c r="G571" s="3">
        <f>'Data Aset'!J573</f>
        <v/>
      </c>
      <c r="H571" s="5">
        <f>'Data Aset'!M573</f>
        <v/>
      </c>
      <c r="I571" s="3">
        <f>'Data Aset'!O573</f>
        <v/>
      </c>
      <c r="J571" s="5" t="n">
        <v>0</v>
      </c>
      <c r="K571" s="3" t="inlineStr">
        <is>
          <t>Garis Lurus</t>
        </is>
      </c>
      <c r="L571" s="5">
        <f>IFERROR(M571/12,"")</f>
        <v/>
      </c>
      <c r="M571" s="5">
        <f>IFERROR((H571-J571)/I571,"")</f>
        <v/>
      </c>
      <c r="N571" s="5">
        <f>IFERROR(M571,"")</f>
        <v/>
      </c>
      <c r="O571" s="5">
        <f>IFERROR(H571-N571,"")</f>
        <v/>
      </c>
      <c r="P571" s="3" t="inlineStr">
        <is>
          <t>Belum dihitung</t>
        </is>
      </c>
      <c r="Q571" s="3" t="n"/>
    </row>
    <row r="572">
      <c r="A572" s="3" t="n">
        <v>571</v>
      </c>
      <c r="B572" s="3" t="inlineStr">
        <is>
          <t>Desember 2025</t>
        </is>
      </c>
      <c r="C572" s="3">
        <f>'Data Aset'!B574</f>
        <v/>
      </c>
      <c r="D572" s="3">
        <f>'Data Aset'!F574</f>
        <v/>
      </c>
      <c r="E572" s="3" t="inlineStr">
        <is>
          <t>Inventaris Ruangan</t>
        </is>
      </c>
      <c r="F572" s="3">
        <f>'Data Aset'!C574</f>
        <v/>
      </c>
      <c r="G572" s="3">
        <f>'Data Aset'!J574</f>
        <v/>
      </c>
      <c r="H572" s="5">
        <f>'Data Aset'!M574</f>
        <v/>
      </c>
      <c r="I572" s="3">
        <f>'Data Aset'!O574</f>
        <v/>
      </c>
      <c r="J572" s="5" t="n">
        <v>0</v>
      </c>
      <c r="K572" s="3" t="inlineStr">
        <is>
          <t>Garis Lurus</t>
        </is>
      </c>
      <c r="L572" s="5">
        <f>IFERROR(M572/12,"")</f>
        <v/>
      </c>
      <c r="M572" s="5">
        <f>IFERROR((H572-J572)/I572,"")</f>
        <v/>
      </c>
      <c r="N572" s="5">
        <f>IFERROR(M572,"")</f>
        <v/>
      </c>
      <c r="O572" s="5">
        <f>IFERROR(H572-N572,"")</f>
        <v/>
      </c>
      <c r="P572" s="3" t="inlineStr">
        <is>
          <t>Belum dihitung</t>
        </is>
      </c>
      <c r="Q572" s="3" t="n"/>
    </row>
    <row r="573">
      <c r="A573" s="3" t="n">
        <v>572</v>
      </c>
      <c r="B573" s="3" t="inlineStr">
        <is>
          <t>Desember 2025</t>
        </is>
      </c>
      <c r="C573" s="3">
        <f>'Data Aset'!B575</f>
        <v/>
      </c>
      <c r="D573" s="3">
        <f>'Data Aset'!F575</f>
        <v/>
      </c>
      <c r="E573" s="3" t="inlineStr">
        <is>
          <t>Inventaris Ruangan</t>
        </is>
      </c>
      <c r="F573" s="3">
        <f>'Data Aset'!C575</f>
        <v/>
      </c>
      <c r="G573" s="3">
        <f>'Data Aset'!J575</f>
        <v/>
      </c>
      <c r="H573" s="5">
        <f>'Data Aset'!M575</f>
        <v/>
      </c>
      <c r="I573" s="3">
        <f>'Data Aset'!O575</f>
        <v/>
      </c>
      <c r="J573" s="5" t="n">
        <v>0</v>
      </c>
      <c r="K573" s="3" t="inlineStr">
        <is>
          <t>Garis Lurus</t>
        </is>
      </c>
      <c r="L573" s="5">
        <f>IFERROR(M573/12,"")</f>
        <v/>
      </c>
      <c r="M573" s="5">
        <f>IFERROR((H573-J573)/I573,"")</f>
        <v/>
      </c>
      <c r="N573" s="5">
        <f>IFERROR(M573,"")</f>
        <v/>
      </c>
      <c r="O573" s="5">
        <f>IFERROR(H573-N573,"")</f>
        <v/>
      </c>
      <c r="P573" s="3" t="inlineStr">
        <is>
          <t>Belum dihitung</t>
        </is>
      </c>
      <c r="Q573" s="3" t="n"/>
    </row>
    <row r="574">
      <c r="A574" s="3" t="n">
        <v>573</v>
      </c>
      <c r="B574" s="3" t="inlineStr">
        <is>
          <t>Desember 2025</t>
        </is>
      </c>
      <c r="C574" s="3">
        <f>'Data Aset'!B576</f>
        <v/>
      </c>
      <c r="D574" s="3">
        <f>'Data Aset'!F576</f>
        <v/>
      </c>
      <c r="E574" s="3" t="inlineStr">
        <is>
          <t>Inventaris Ruangan</t>
        </is>
      </c>
      <c r="F574" s="3">
        <f>'Data Aset'!C576</f>
        <v/>
      </c>
      <c r="G574" s="3">
        <f>'Data Aset'!J576</f>
        <v/>
      </c>
      <c r="H574" s="5">
        <f>'Data Aset'!M576</f>
        <v/>
      </c>
      <c r="I574" s="3">
        <f>'Data Aset'!O576</f>
        <v/>
      </c>
      <c r="J574" s="5" t="n">
        <v>0</v>
      </c>
      <c r="K574" s="3" t="inlineStr">
        <is>
          <t>Garis Lurus</t>
        </is>
      </c>
      <c r="L574" s="5">
        <f>IFERROR(M574/12,"")</f>
        <v/>
      </c>
      <c r="M574" s="5">
        <f>IFERROR((H574-J574)/I574,"")</f>
        <v/>
      </c>
      <c r="N574" s="5">
        <f>IFERROR(M574,"")</f>
        <v/>
      </c>
      <c r="O574" s="5">
        <f>IFERROR(H574-N574,"")</f>
        <v/>
      </c>
      <c r="P574" s="3" t="inlineStr">
        <is>
          <t>Belum dihitung</t>
        </is>
      </c>
      <c r="Q574" s="3" t="n"/>
    </row>
    <row r="575">
      <c r="A575" s="3" t="n">
        <v>574</v>
      </c>
      <c r="B575" s="3" t="inlineStr">
        <is>
          <t>Desember 2025</t>
        </is>
      </c>
      <c r="C575" s="3">
        <f>'Data Aset'!B577</f>
        <v/>
      </c>
      <c r="D575" s="3">
        <f>'Data Aset'!F577</f>
        <v/>
      </c>
      <c r="E575" s="3" t="inlineStr">
        <is>
          <t>Inventaris Ruangan</t>
        </is>
      </c>
      <c r="F575" s="3">
        <f>'Data Aset'!C577</f>
        <v/>
      </c>
      <c r="G575" s="3">
        <f>'Data Aset'!J577</f>
        <v/>
      </c>
      <c r="H575" s="5">
        <f>'Data Aset'!M577</f>
        <v/>
      </c>
      <c r="I575" s="3">
        <f>'Data Aset'!O577</f>
        <v/>
      </c>
      <c r="J575" s="5" t="n">
        <v>0</v>
      </c>
      <c r="K575" s="3" t="inlineStr">
        <is>
          <t>Garis Lurus</t>
        </is>
      </c>
      <c r="L575" s="5">
        <f>IFERROR(M575/12,"")</f>
        <v/>
      </c>
      <c r="M575" s="5">
        <f>IFERROR((H575-J575)/I575,"")</f>
        <v/>
      </c>
      <c r="N575" s="5">
        <f>IFERROR(M575,"")</f>
        <v/>
      </c>
      <c r="O575" s="5">
        <f>IFERROR(H575-N575,"")</f>
        <v/>
      </c>
      <c r="P575" s="3" t="inlineStr">
        <is>
          <t>Belum dihitung</t>
        </is>
      </c>
      <c r="Q575" s="3" t="n"/>
    </row>
    <row r="576">
      <c r="A576" s="3" t="n">
        <v>575</v>
      </c>
      <c r="B576" s="3" t="inlineStr">
        <is>
          <t>Desember 2025</t>
        </is>
      </c>
      <c r="C576" s="3">
        <f>'Data Aset'!B578</f>
        <v/>
      </c>
      <c r="D576" s="3">
        <f>'Data Aset'!F578</f>
        <v/>
      </c>
      <c r="E576" s="3" t="inlineStr">
        <is>
          <t>Inventaris Ruangan</t>
        </is>
      </c>
      <c r="F576" s="3">
        <f>'Data Aset'!C578</f>
        <v/>
      </c>
      <c r="G576" s="3">
        <f>'Data Aset'!J578</f>
        <v/>
      </c>
      <c r="H576" s="5">
        <f>'Data Aset'!M578</f>
        <v/>
      </c>
      <c r="I576" s="3">
        <f>'Data Aset'!O578</f>
        <v/>
      </c>
      <c r="J576" s="5" t="n">
        <v>0</v>
      </c>
      <c r="K576" s="3" t="inlineStr">
        <is>
          <t>Garis Lurus</t>
        </is>
      </c>
      <c r="L576" s="5">
        <f>IFERROR(M576/12,"")</f>
        <v/>
      </c>
      <c r="M576" s="5">
        <f>IFERROR((H576-J576)/I576,"")</f>
        <v/>
      </c>
      <c r="N576" s="5">
        <f>IFERROR(M576,"")</f>
        <v/>
      </c>
      <c r="O576" s="5">
        <f>IFERROR(H576-N576,"")</f>
        <v/>
      </c>
      <c r="P576" s="3" t="inlineStr">
        <is>
          <t>Belum dihitung</t>
        </is>
      </c>
      <c r="Q576" s="3" t="n"/>
    </row>
    <row r="577">
      <c r="A577" s="3" t="n">
        <v>576</v>
      </c>
      <c r="B577" s="3" t="inlineStr">
        <is>
          <t>Desember 2025</t>
        </is>
      </c>
      <c r="C577" s="3">
        <f>'Data Aset'!B579</f>
        <v/>
      </c>
      <c r="D577" s="3">
        <f>'Data Aset'!F579</f>
        <v/>
      </c>
      <c r="E577" s="3" t="inlineStr">
        <is>
          <t>Inventaris Ruangan</t>
        </is>
      </c>
      <c r="F577" s="3">
        <f>'Data Aset'!C579</f>
        <v/>
      </c>
      <c r="G577" s="3">
        <f>'Data Aset'!J579</f>
        <v/>
      </c>
      <c r="H577" s="5">
        <f>'Data Aset'!M579</f>
        <v/>
      </c>
      <c r="I577" s="3">
        <f>'Data Aset'!O579</f>
        <v/>
      </c>
      <c r="J577" s="5" t="n">
        <v>0</v>
      </c>
      <c r="K577" s="3" t="inlineStr">
        <is>
          <t>Garis Lurus</t>
        </is>
      </c>
      <c r="L577" s="5">
        <f>IFERROR(M577/12,"")</f>
        <v/>
      </c>
      <c r="M577" s="5">
        <f>IFERROR((H577-J577)/I577,"")</f>
        <v/>
      </c>
      <c r="N577" s="5">
        <f>IFERROR(M577,"")</f>
        <v/>
      </c>
      <c r="O577" s="5">
        <f>IFERROR(H577-N577,"")</f>
        <v/>
      </c>
      <c r="P577" s="3" t="inlineStr">
        <is>
          <t>Belum dihitung</t>
        </is>
      </c>
      <c r="Q577" s="3" t="n"/>
    </row>
    <row r="578">
      <c r="A578" s="3" t="n">
        <v>577</v>
      </c>
      <c r="B578" s="3" t="inlineStr">
        <is>
          <t>Desember 2025</t>
        </is>
      </c>
      <c r="C578" s="3">
        <f>'Data Aset'!B580</f>
        <v/>
      </c>
      <c r="D578" s="3">
        <f>'Data Aset'!F580</f>
        <v/>
      </c>
      <c r="E578" s="3" t="inlineStr">
        <is>
          <t>Inventaris Ruangan</t>
        </is>
      </c>
      <c r="F578" s="3">
        <f>'Data Aset'!C580</f>
        <v/>
      </c>
      <c r="G578" s="3">
        <f>'Data Aset'!J580</f>
        <v/>
      </c>
      <c r="H578" s="5">
        <f>'Data Aset'!M580</f>
        <v/>
      </c>
      <c r="I578" s="3">
        <f>'Data Aset'!O580</f>
        <v/>
      </c>
      <c r="J578" s="5" t="n">
        <v>0</v>
      </c>
      <c r="K578" s="3" t="inlineStr">
        <is>
          <t>Garis Lurus</t>
        </is>
      </c>
      <c r="L578" s="5">
        <f>IFERROR(M578/12,"")</f>
        <v/>
      </c>
      <c r="M578" s="5">
        <f>IFERROR((H578-J578)/I578,"")</f>
        <v/>
      </c>
      <c r="N578" s="5">
        <f>IFERROR(M578,"")</f>
        <v/>
      </c>
      <c r="O578" s="5">
        <f>IFERROR(H578-N578,"")</f>
        <v/>
      </c>
      <c r="P578" s="3" t="inlineStr">
        <is>
          <t>Belum dihitung</t>
        </is>
      </c>
      <c r="Q578" s="3" t="n"/>
    </row>
    <row r="579">
      <c r="A579" s="3" t="n">
        <v>578</v>
      </c>
      <c r="B579" s="3" t="inlineStr">
        <is>
          <t>Desember 2025</t>
        </is>
      </c>
      <c r="C579" s="3">
        <f>'Data Aset'!B581</f>
        <v/>
      </c>
      <c r="D579" s="3">
        <f>'Data Aset'!F581</f>
        <v/>
      </c>
      <c r="E579" s="3" t="inlineStr">
        <is>
          <t>Inventaris Ruangan</t>
        </is>
      </c>
      <c r="F579" s="3">
        <f>'Data Aset'!C581</f>
        <v/>
      </c>
      <c r="G579" s="3">
        <f>'Data Aset'!J581</f>
        <v/>
      </c>
      <c r="H579" s="5">
        <f>'Data Aset'!M581</f>
        <v/>
      </c>
      <c r="I579" s="3">
        <f>'Data Aset'!O581</f>
        <v/>
      </c>
      <c r="J579" s="5" t="n">
        <v>0</v>
      </c>
      <c r="K579" s="3" t="inlineStr">
        <is>
          <t>Garis Lurus</t>
        </is>
      </c>
      <c r="L579" s="5">
        <f>IFERROR(M579/12,"")</f>
        <v/>
      </c>
      <c r="M579" s="5">
        <f>IFERROR((H579-J579)/I579,"")</f>
        <v/>
      </c>
      <c r="N579" s="5">
        <f>IFERROR(M579,"")</f>
        <v/>
      </c>
      <c r="O579" s="5">
        <f>IFERROR(H579-N579,"")</f>
        <v/>
      </c>
      <c r="P579" s="3" t="inlineStr">
        <is>
          <t>Belum dihitung</t>
        </is>
      </c>
      <c r="Q579" s="3" t="n"/>
    </row>
    <row r="580">
      <c r="A580" s="3" t="n">
        <v>579</v>
      </c>
      <c r="B580" s="3" t="inlineStr">
        <is>
          <t>Desember 2025</t>
        </is>
      </c>
      <c r="C580" s="3">
        <f>'Data Aset'!B582</f>
        <v/>
      </c>
      <c r="D580" s="3">
        <f>'Data Aset'!F582</f>
        <v/>
      </c>
      <c r="E580" s="3" t="inlineStr">
        <is>
          <t>Inventaris Ruangan</t>
        </is>
      </c>
      <c r="F580" s="3">
        <f>'Data Aset'!C582</f>
        <v/>
      </c>
      <c r="G580" s="3">
        <f>'Data Aset'!J582</f>
        <v/>
      </c>
      <c r="H580" s="5">
        <f>'Data Aset'!M582</f>
        <v/>
      </c>
      <c r="I580" s="3">
        <f>'Data Aset'!O582</f>
        <v/>
      </c>
      <c r="J580" s="5" t="n">
        <v>0</v>
      </c>
      <c r="K580" s="3" t="inlineStr">
        <is>
          <t>Garis Lurus</t>
        </is>
      </c>
      <c r="L580" s="5">
        <f>IFERROR(M580/12,"")</f>
        <v/>
      </c>
      <c r="M580" s="5">
        <f>IFERROR((H580-J580)/I580,"")</f>
        <v/>
      </c>
      <c r="N580" s="5">
        <f>IFERROR(M580,"")</f>
        <v/>
      </c>
      <c r="O580" s="5">
        <f>IFERROR(H580-N580,"")</f>
        <v/>
      </c>
      <c r="P580" s="3" t="inlineStr">
        <is>
          <t>Belum dihitung</t>
        </is>
      </c>
      <c r="Q580" s="3" t="n"/>
    </row>
    <row r="581">
      <c r="A581" s="3" t="n">
        <v>580</v>
      </c>
      <c r="B581" s="3" t="inlineStr">
        <is>
          <t>Desember 2025</t>
        </is>
      </c>
      <c r="C581" s="3">
        <f>'Data Aset'!B583</f>
        <v/>
      </c>
      <c r="D581" s="3">
        <f>'Data Aset'!F583</f>
        <v/>
      </c>
      <c r="E581" s="3" t="inlineStr">
        <is>
          <t>Inventaris Ruangan</t>
        </is>
      </c>
      <c r="F581" s="3">
        <f>'Data Aset'!C583</f>
        <v/>
      </c>
      <c r="G581" s="3">
        <f>'Data Aset'!J583</f>
        <v/>
      </c>
      <c r="H581" s="5">
        <f>'Data Aset'!M583</f>
        <v/>
      </c>
      <c r="I581" s="3">
        <f>'Data Aset'!O583</f>
        <v/>
      </c>
      <c r="J581" s="5" t="n">
        <v>0</v>
      </c>
      <c r="K581" s="3" t="inlineStr">
        <is>
          <t>Garis Lurus</t>
        </is>
      </c>
      <c r="L581" s="5">
        <f>IFERROR(M581/12,"")</f>
        <v/>
      </c>
      <c r="M581" s="5">
        <f>IFERROR((H581-J581)/I581,"")</f>
        <v/>
      </c>
      <c r="N581" s="5">
        <f>IFERROR(M581,"")</f>
        <v/>
      </c>
      <c r="O581" s="5">
        <f>IFERROR(H581-N581,"")</f>
        <v/>
      </c>
      <c r="P581" s="3" t="inlineStr">
        <is>
          <t>Belum dihitung</t>
        </is>
      </c>
      <c r="Q581" s="3" t="n"/>
    </row>
    <row r="582">
      <c r="A582" s="3" t="n">
        <v>581</v>
      </c>
      <c r="B582" s="3" t="inlineStr">
        <is>
          <t>Desember 2025</t>
        </is>
      </c>
      <c r="C582" s="3">
        <f>'Data Aset'!B584</f>
        <v/>
      </c>
      <c r="D582" s="3">
        <f>'Data Aset'!F584</f>
        <v/>
      </c>
      <c r="E582" s="3" t="inlineStr">
        <is>
          <t>Inventaris Ruangan</t>
        </is>
      </c>
      <c r="F582" s="3">
        <f>'Data Aset'!C584</f>
        <v/>
      </c>
      <c r="G582" s="3">
        <f>'Data Aset'!J584</f>
        <v/>
      </c>
      <c r="H582" s="5">
        <f>'Data Aset'!M584</f>
        <v/>
      </c>
      <c r="I582" s="3">
        <f>'Data Aset'!O584</f>
        <v/>
      </c>
      <c r="J582" s="5" t="n">
        <v>0</v>
      </c>
      <c r="K582" s="3" t="inlineStr">
        <is>
          <t>Garis Lurus</t>
        </is>
      </c>
      <c r="L582" s="5">
        <f>IFERROR(M582/12,"")</f>
        <v/>
      </c>
      <c r="M582" s="5">
        <f>IFERROR((H582-J582)/I582,"")</f>
        <v/>
      </c>
      <c r="N582" s="5">
        <f>IFERROR(M582,"")</f>
        <v/>
      </c>
      <c r="O582" s="5">
        <f>IFERROR(H582-N582,"")</f>
        <v/>
      </c>
      <c r="P582" s="3" t="inlineStr">
        <is>
          <t>Belum dihitung</t>
        </is>
      </c>
      <c r="Q582" s="3" t="n"/>
    </row>
    <row r="583">
      <c r="A583" s="3" t="n">
        <v>582</v>
      </c>
      <c r="B583" s="3" t="inlineStr">
        <is>
          <t>Desember 2025</t>
        </is>
      </c>
      <c r="C583" s="3">
        <f>'Data Aset'!B585</f>
        <v/>
      </c>
      <c r="D583" s="3">
        <f>'Data Aset'!F585</f>
        <v/>
      </c>
      <c r="E583" s="3" t="inlineStr">
        <is>
          <t>Inventaris Ruangan</t>
        </is>
      </c>
      <c r="F583" s="3">
        <f>'Data Aset'!C585</f>
        <v/>
      </c>
      <c r="G583" s="3">
        <f>'Data Aset'!J585</f>
        <v/>
      </c>
      <c r="H583" s="5">
        <f>'Data Aset'!M585</f>
        <v/>
      </c>
      <c r="I583" s="3">
        <f>'Data Aset'!O585</f>
        <v/>
      </c>
      <c r="J583" s="5" t="n">
        <v>0</v>
      </c>
      <c r="K583" s="3" t="inlineStr">
        <is>
          <t>Garis Lurus</t>
        </is>
      </c>
      <c r="L583" s="5">
        <f>IFERROR(M583/12,"")</f>
        <v/>
      </c>
      <c r="M583" s="5">
        <f>IFERROR((H583-J583)/I583,"")</f>
        <v/>
      </c>
      <c r="N583" s="5">
        <f>IFERROR(M583,"")</f>
        <v/>
      </c>
      <c r="O583" s="5">
        <f>IFERROR(H583-N583,"")</f>
        <v/>
      </c>
      <c r="P583" s="3" t="inlineStr">
        <is>
          <t>Belum dihitung</t>
        </is>
      </c>
      <c r="Q583" s="3" t="n"/>
    </row>
    <row r="584">
      <c r="A584" s="3" t="n">
        <v>583</v>
      </c>
      <c r="B584" s="3" t="inlineStr">
        <is>
          <t>Desember 2025</t>
        </is>
      </c>
      <c r="C584" s="3">
        <f>'Data Aset'!B586</f>
        <v/>
      </c>
      <c r="D584" s="3">
        <f>'Data Aset'!F586</f>
        <v/>
      </c>
      <c r="E584" s="3" t="inlineStr">
        <is>
          <t>Inventaris Ruangan</t>
        </is>
      </c>
      <c r="F584" s="3">
        <f>'Data Aset'!C586</f>
        <v/>
      </c>
      <c r="G584" s="3">
        <f>'Data Aset'!J586</f>
        <v/>
      </c>
      <c r="H584" s="5">
        <f>'Data Aset'!M586</f>
        <v/>
      </c>
      <c r="I584" s="3">
        <f>'Data Aset'!O586</f>
        <v/>
      </c>
      <c r="J584" s="5" t="n">
        <v>0</v>
      </c>
      <c r="K584" s="3" t="inlineStr">
        <is>
          <t>Garis Lurus</t>
        </is>
      </c>
      <c r="L584" s="5">
        <f>IFERROR(M584/12,"")</f>
        <v/>
      </c>
      <c r="M584" s="5">
        <f>IFERROR((H584-J584)/I584,"")</f>
        <v/>
      </c>
      <c r="N584" s="5">
        <f>IFERROR(M584,"")</f>
        <v/>
      </c>
      <c r="O584" s="5">
        <f>IFERROR(H584-N584,"")</f>
        <v/>
      </c>
      <c r="P584" s="3" t="inlineStr">
        <is>
          <t>Belum dihitung</t>
        </is>
      </c>
      <c r="Q584" s="3" t="n"/>
    </row>
    <row r="585">
      <c r="A585" s="3" t="n">
        <v>584</v>
      </c>
      <c r="B585" s="3" t="inlineStr">
        <is>
          <t>Desember 2025</t>
        </is>
      </c>
      <c r="C585" s="3">
        <f>'Data Aset'!B587</f>
        <v/>
      </c>
      <c r="D585" s="3">
        <f>'Data Aset'!F587</f>
        <v/>
      </c>
      <c r="E585" s="3" t="inlineStr">
        <is>
          <t>Inventaris Ruangan</t>
        </is>
      </c>
      <c r="F585" s="3">
        <f>'Data Aset'!C587</f>
        <v/>
      </c>
      <c r="G585" s="3">
        <f>'Data Aset'!J587</f>
        <v/>
      </c>
      <c r="H585" s="5">
        <f>'Data Aset'!M587</f>
        <v/>
      </c>
      <c r="I585" s="3">
        <f>'Data Aset'!O587</f>
        <v/>
      </c>
      <c r="J585" s="5" t="n">
        <v>0</v>
      </c>
      <c r="K585" s="3" t="inlineStr">
        <is>
          <t>Garis Lurus</t>
        </is>
      </c>
      <c r="L585" s="5">
        <f>IFERROR(M585/12,"")</f>
        <v/>
      </c>
      <c r="M585" s="5">
        <f>IFERROR((H585-J585)/I585,"")</f>
        <v/>
      </c>
      <c r="N585" s="5">
        <f>IFERROR(M585,"")</f>
        <v/>
      </c>
      <c r="O585" s="5">
        <f>IFERROR(H585-N585,"")</f>
        <v/>
      </c>
      <c r="P585" s="3" t="inlineStr">
        <is>
          <t>Belum dihitung</t>
        </is>
      </c>
      <c r="Q585" s="3" t="n"/>
    </row>
    <row r="586">
      <c r="A586" s="3" t="n">
        <v>585</v>
      </c>
      <c r="B586" s="3" t="inlineStr">
        <is>
          <t>Desember 2025</t>
        </is>
      </c>
      <c r="C586" s="3">
        <f>'Data Aset'!B588</f>
        <v/>
      </c>
      <c r="D586" s="3">
        <f>'Data Aset'!F588</f>
        <v/>
      </c>
      <c r="E586" s="3" t="inlineStr">
        <is>
          <t>Inventaris Ruangan</t>
        </is>
      </c>
      <c r="F586" s="3">
        <f>'Data Aset'!C588</f>
        <v/>
      </c>
      <c r="G586" s="3">
        <f>'Data Aset'!J588</f>
        <v/>
      </c>
      <c r="H586" s="5">
        <f>'Data Aset'!M588</f>
        <v/>
      </c>
      <c r="I586" s="3">
        <f>'Data Aset'!O588</f>
        <v/>
      </c>
      <c r="J586" s="5" t="n">
        <v>0</v>
      </c>
      <c r="K586" s="3" t="inlineStr">
        <is>
          <t>Garis Lurus</t>
        </is>
      </c>
      <c r="L586" s="5">
        <f>IFERROR(M586/12,"")</f>
        <v/>
      </c>
      <c r="M586" s="5">
        <f>IFERROR((H586-J586)/I586,"")</f>
        <v/>
      </c>
      <c r="N586" s="5">
        <f>IFERROR(M586,"")</f>
        <v/>
      </c>
      <c r="O586" s="5">
        <f>IFERROR(H586-N586,"")</f>
        <v/>
      </c>
      <c r="P586" s="3" t="inlineStr">
        <is>
          <t>Belum dihitung</t>
        </is>
      </c>
      <c r="Q586" s="3" t="n"/>
    </row>
    <row r="587">
      <c r="A587" s="3" t="n">
        <v>586</v>
      </c>
      <c r="B587" s="3" t="inlineStr">
        <is>
          <t>Desember 2025</t>
        </is>
      </c>
      <c r="C587" s="3">
        <f>'Data Aset'!B589</f>
        <v/>
      </c>
      <c r="D587" s="3">
        <f>'Data Aset'!F589</f>
        <v/>
      </c>
      <c r="E587" s="3" t="inlineStr">
        <is>
          <t>Inventaris Ruangan</t>
        </is>
      </c>
      <c r="F587" s="3">
        <f>'Data Aset'!C589</f>
        <v/>
      </c>
      <c r="G587" s="3">
        <f>'Data Aset'!J589</f>
        <v/>
      </c>
      <c r="H587" s="5">
        <f>'Data Aset'!M589</f>
        <v/>
      </c>
      <c r="I587" s="3">
        <f>'Data Aset'!O589</f>
        <v/>
      </c>
      <c r="J587" s="5" t="n">
        <v>0</v>
      </c>
      <c r="K587" s="3" t="inlineStr">
        <is>
          <t>Garis Lurus</t>
        </is>
      </c>
      <c r="L587" s="5">
        <f>IFERROR(M587/12,"")</f>
        <v/>
      </c>
      <c r="M587" s="5">
        <f>IFERROR((H587-J587)/I587,"")</f>
        <v/>
      </c>
      <c r="N587" s="5">
        <f>IFERROR(M587,"")</f>
        <v/>
      </c>
      <c r="O587" s="5">
        <f>IFERROR(H587-N587,"")</f>
        <v/>
      </c>
      <c r="P587" s="3" t="inlineStr">
        <is>
          <t>Belum dihitung</t>
        </is>
      </c>
      <c r="Q587" s="3" t="n"/>
    </row>
    <row r="588">
      <c r="A588" s="3" t="n">
        <v>587</v>
      </c>
      <c r="B588" s="3" t="inlineStr">
        <is>
          <t>Desember 2025</t>
        </is>
      </c>
      <c r="C588" s="3">
        <f>'Data Aset'!B590</f>
        <v/>
      </c>
      <c r="D588" s="3">
        <f>'Data Aset'!F590</f>
        <v/>
      </c>
      <c r="E588" s="3" t="inlineStr">
        <is>
          <t>Inventaris Ruangan</t>
        </is>
      </c>
      <c r="F588" s="3">
        <f>'Data Aset'!C590</f>
        <v/>
      </c>
      <c r="G588" s="3">
        <f>'Data Aset'!J590</f>
        <v/>
      </c>
      <c r="H588" s="5">
        <f>'Data Aset'!M590</f>
        <v/>
      </c>
      <c r="I588" s="3">
        <f>'Data Aset'!O590</f>
        <v/>
      </c>
      <c r="J588" s="5" t="n">
        <v>0</v>
      </c>
      <c r="K588" s="3" t="inlineStr">
        <is>
          <t>Garis Lurus</t>
        </is>
      </c>
      <c r="L588" s="5">
        <f>IFERROR(M588/12,"")</f>
        <v/>
      </c>
      <c r="M588" s="5">
        <f>IFERROR((H588-J588)/I588,"")</f>
        <v/>
      </c>
      <c r="N588" s="5">
        <f>IFERROR(M588,"")</f>
        <v/>
      </c>
      <c r="O588" s="5">
        <f>IFERROR(H588-N588,"")</f>
        <v/>
      </c>
      <c r="P588" s="3" t="inlineStr">
        <is>
          <t>Belum dihitung</t>
        </is>
      </c>
      <c r="Q588" s="3" t="n"/>
    </row>
    <row r="589">
      <c r="A589" s="3" t="n">
        <v>588</v>
      </c>
      <c r="B589" s="3" t="inlineStr">
        <is>
          <t>Desember 2025</t>
        </is>
      </c>
      <c r="C589" s="3">
        <f>'Data Aset'!B591</f>
        <v/>
      </c>
      <c r="D589" s="3">
        <f>'Data Aset'!F591</f>
        <v/>
      </c>
      <c r="E589" s="3" t="inlineStr">
        <is>
          <t>Inventaris Ruangan</t>
        </is>
      </c>
      <c r="F589" s="3">
        <f>'Data Aset'!C591</f>
        <v/>
      </c>
      <c r="G589" s="3">
        <f>'Data Aset'!J591</f>
        <v/>
      </c>
      <c r="H589" s="5">
        <f>'Data Aset'!M591</f>
        <v/>
      </c>
      <c r="I589" s="3">
        <f>'Data Aset'!O591</f>
        <v/>
      </c>
      <c r="J589" s="5" t="n">
        <v>0</v>
      </c>
      <c r="K589" s="3" t="inlineStr">
        <is>
          <t>Garis Lurus</t>
        </is>
      </c>
      <c r="L589" s="5">
        <f>IFERROR(M589/12,"")</f>
        <v/>
      </c>
      <c r="M589" s="5">
        <f>IFERROR((H589-J589)/I589,"")</f>
        <v/>
      </c>
      <c r="N589" s="5">
        <f>IFERROR(M589,"")</f>
        <v/>
      </c>
      <c r="O589" s="5">
        <f>IFERROR(H589-N589,"")</f>
        <v/>
      </c>
      <c r="P589" s="3" t="inlineStr">
        <is>
          <t>Belum dihitung</t>
        </is>
      </c>
      <c r="Q589" s="3" t="n"/>
    </row>
    <row r="590">
      <c r="A590" s="3" t="n">
        <v>589</v>
      </c>
      <c r="B590" s="3" t="inlineStr">
        <is>
          <t>Desember 2025</t>
        </is>
      </c>
      <c r="C590" s="3">
        <f>'Data Aset'!B592</f>
        <v/>
      </c>
      <c r="D590" s="3">
        <f>'Data Aset'!F592</f>
        <v/>
      </c>
      <c r="E590" s="3" t="inlineStr">
        <is>
          <t>Inventaris Ruangan</t>
        </is>
      </c>
      <c r="F590" s="3">
        <f>'Data Aset'!C592</f>
        <v/>
      </c>
      <c r="G590" s="3">
        <f>'Data Aset'!J592</f>
        <v/>
      </c>
      <c r="H590" s="5">
        <f>'Data Aset'!M592</f>
        <v/>
      </c>
      <c r="I590" s="3">
        <f>'Data Aset'!O592</f>
        <v/>
      </c>
      <c r="J590" s="5" t="n">
        <v>0</v>
      </c>
      <c r="K590" s="3" t="inlineStr">
        <is>
          <t>Garis Lurus</t>
        </is>
      </c>
      <c r="L590" s="5">
        <f>IFERROR(M590/12,"")</f>
        <v/>
      </c>
      <c r="M590" s="5">
        <f>IFERROR((H590-J590)/I590,"")</f>
        <v/>
      </c>
      <c r="N590" s="5">
        <f>IFERROR(M590,"")</f>
        <v/>
      </c>
      <c r="O590" s="5">
        <f>IFERROR(H590-N590,"")</f>
        <v/>
      </c>
      <c r="P590" s="3" t="inlineStr">
        <is>
          <t>Belum dihitung</t>
        </is>
      </c>
      <c r="Q590" s="3" t="n"/>
    </row>
    <row r="591">
      <c r="A591" s="3" t="n">
        <v>590</v>
      </c>
      <c r="B591" s="3" t="inlineStr">
        <is>
          <t>Desember 2025</t>
        </is>
      </c>
      <c r="C591" s="3">
        <f>'Data Aset'!B593</f>
        <v/>
      </c>
      <c r="D591" s="3">
        <f>'Data Aset'!F593</f>
        <v/>
      </c>
      <c r="E591" s="3" t="inlineStr">
        <is>
          <t>Inventaris Ruangan</t>
        </is>
      </c>
      <c r="F591" s="3">
        <f>'Data Aset'!C593</f>
        <v/>
      </c>
      <c r="G591" s="3">
        <f>'Data Aset'!J593</f>
        <v/>
      </c>
      <c r="H591" s="5">
        <f>'Data Aset'!M593</f>
        <v/>
      </c>
      <c r="I591" s="3">
        <f>'Data Aset'!O593</f>
        <v/>
      </c>
      <c r="J591" s="5" t="n">
        <v>0</v>
      </c>
      <c r="K591" s="3" t="inlineStr">
        <is>
          <t>Garis Lurus</t>
        </is>
      </c>
      <c r="L591" s="5">
        <f>IFERROR(M591/12,"")</f>
        <v/>
      </c>
      <c r="M591" s="5">
        <f>IFERROR((H591-J591)/I591,"")</f>
        <v/>
      </c>
      <c r="N591" s="5">
        <f>IFERROR(M591,"")</f>
        <v/>
      </c>
      <c r="O591" s="5">
        <f>IFERROR(H591-N591,"")</f>
        <v/>
      </c>
      <c r="P591" s="3" t="inlineStr">
        <is>
          <t>Belum dihitung</t>
        </is>
      </c>
      <c r="Q591" s="3" t="n"/>
    </row>
    <row r="592">
      <c r="A592" s="3" t="n">
        <v>591</v>
      </c>
      <c r="B592" s="3" t="inlineStr">
        <is>
          <t>Desember 2025</t>
        </is>
      </c>
      <c r="C592" s="3">
        <f>'Data Aset'!B594</f>
        <v/>
      </c>
      <c r="D592" s="3">
        <f>'Data Aset'!F594</f>
        <v/>
      </c>
      <c r="E592" s="3" t="inlineStr">
        <is>
          <t>Inventaris Ruangan</t>
        </is>
      </c>
      <c r="F592" s="3">
        <f>'Data Aset'!C594</f>
        <v/>
      </c>
      <c r="G592" s="3">
        <f>'Data Aset'!J594</f>
        <v/>
      </c>
      <c r="H592" s="5">
        <f>'Data Aset'!M594</f>
        <v/>
      </c>
      <c r="I592" s="3">
        <f>'Data Aset'!O594</f>
        <v/>
      </c>
      <c r="J592" s="5" t="n">
        <v>0</v>
      </c>
      <c r="K592" s="3" t="inlineStr">
        <is>
          <t>Garis Lurus</t>
        </is>
      </c>
      <c r="L592" s="5">
        <f>IFERROR(M592/12,"")</f>
        <v/>
      </c>
      <c r="M592" s="5">
        <f>IFERROR((H592-J592)/I592,"")</f>
        <v/>
      </c>
      <c r="N592" s="5">
        <f>IFERROR(M592,"")</f>
        <v/>
      </c>
      <c r="O592" s="5">
        <f>IFERROR(H592-N592,"")</f>
        <v/>
      </c>
      <c r="P592" s="3" t="inlineStr">
        <is>
          <t>Belum dihitung</t>
        </is>
      </c>
      <c r="Q592" s="3" t="n"/>
    </row>
    <row r="593">
      <c r="A593" s="3" t="n">
        <v>592</v>
      </c>
      <c r="B593" s="3" t="inlineStr">
        <is>
          <t>Desember 2025</t>
        </is>
      </c>
      <c r="C593" s="3">
        <f>'Data Aset'!B595</f>
        <v/>
      </c>
      <c r="D593" s="3">
        <f>'Data Aset'!F595</f>
        <v/>
      </c>
      <c r="E593" s="3" t="inlineStr">
        <is>
          <t>Inventaris Ruangan</t>
        </is>
      </c>
      <c r="F593" s="3">
        <f>'Data Aset'!C595</f>
        <v/>
      </c>
      <c r="G593" s="3">
        <f>'Data Aset'!J595</f>
        <v/>
      </c>
      <c r="H593" s="5">
        <f>'Data Aset'!M595</f>
        <v/>
      </c>
      <c r="I593" s="3">
        <f>'Data Aset'!O595</f>
        <v/>
      </c>
      <c r="J593" s="5" t="n">
        <v>0</v>
      </c>
      <c r="K593" s="3" t="inlineStr">
        <is>
          <t>Garis Lurus</t>
        </is>
      </c>
      <c r="L593" s="5">
        <f>IFERROR(M593/12,"")</f>
        <v/>
      </c>
      <c r="M593" s="5">
        <f>IFERROR((H593-J593)/I593,"")</f>
        <v/>
      </c>
      <c r="N593" s="5">
        <f>IFERROR(M593,"")</f>
        <v/>
      </c>
      <c r="O593" s="5">
        <f>IFERROR(H593-N593,"")</f>
        <v/>
      </c>
      <c r="P593" s="3" t="inlineStr">
        <is>
          <t>Belum dihitung</t>
        </is>
      </c>
      <c r="Q593" s="3" t="n"/>
    </row>
    <row r="594">
      <c r="A594" s="3" t="n">
        <v>593</v>
      </c>
      <c r="B594" s="3" t="inlineStr">
        <is>
          <t>Desember 2025</t>
        </is>
      </c>
      <c r="C594" s="3">
        <f>'Data Aset'!B596</f>
        <v/>
      </c>
      <c r="D594" s="3">
        <f>'Data Aset'!F596</f>
        <v/>
      </c>
      <c r="E594" s="3" t="inlineStr">
        <is>
          <t>Inventaris Ruangan</t>
        </is>
      </c>
      <c r="F594" s="3">
        <f>'Data Aset'!C596</f>
        <v/>
      </c>
      <c r="G594" s="3">
        <f>'Data Aset'!J596</f>
        <v/>
      </c>
      <c r="H594" s="5">
        <f>'Data Aset'!M596</f>
        <v/>
      </c>
      <c r="I594" s="3">
        <f>'Data Aset'!O596</f>
        <v/>
      </c>
      <c r="J594" s="5" t="n">
        <v>0</v>
      </c>
      <c r="K594" s="3" t="inlineStr">
        <is>
          <t>Garis Lurus</t>
        </is>
      </c>
      <c r="L594" s="5">
        <f>IFERROR(M594/12,"")</f>
        <v/>
      </c>
      <c r="M594" s="5">
        <f>IFERROR((H594-J594)/I594,"")</f>
        <v/>
      </c>
      <c r="N594" s="5">
        <f>IFERROR(M594,"")</f>
        <v/>
      </c>
      <c r="O594" s="5">
        <f>IFERROR(H594-N594,"")</f>
        <v/>
      </c>
      <c r="P594" s="3" t="inlineStr">
        <is>
          <t>Belum dihitung</t>
        </is>
      </c>
      <c r="Q594" s="3" t="n"/>
    </row>
    <row r="595">
      <c r="A595" s="3" t="n">
        <v>594</v>
      </c>
      <c r="B595" s="3" t="inlineStr">
        <is>
          <t>Desember 2025</t>
        </is>
      </c>
      <c r="C595" s="3">
        <f>'Data Aset'!B597</f>
        <v/>
      </c>
      <c r="D595" s="3">
        <f>'Data Aset'!F597</f>
        <v/>
      </c>
      <c r="E595" s="3" t="inlineStr">
        <is>
          <t>Inventaris Ruangan</t>
        </is>
      </c>
      <c r="F595" s="3">
        <f>'Data Aset'!C597</f>
        <v/>
      </c>
      <c r="G595" s="3">
        <f>'Data Aset'!J597</f>
        <v/>
      </c>
      <c r="H595" s="5">
        <f>'Data Aset'!M597</f>
        <v/>
      </c>
      <c r="I595" s="3">
        <f>'Data Aset'!O597</f>
        <v/>
      </c>
      <c r="J595" s="5" t="n">
        <v>0</v>
      </c>
      <c r="K595" s="3" t="inlineStr">
        <is>
          <t>Garis Lurus</t>
        </is>
      </c>
      <c r="L595" s="5">
        <f>IFERROR(M595/12,"")</f>
        <v/>
      </c>
      <c r="M595" s="5">
        <f>IFERROR((H595-J595)/I595,"")</f>
        <v/>
      </c>
      <c r="N595" s="5">
        <f>IFERROR(M595,"")</f>
        <v/>
      </c>
      <c r="O595" s="5">
        <f>IFERROR(H595-N595,"")</f>
        <v/>
      </c>
      <c r="P595" s="3" t="inlineStr">
        <is>
          <t>Belum dihitung</t>
        </is>
      </c>
      <c r="Q595" s="3" t="n"/>
    </row>
    <row r="596">
      <c r="A596" s="3" t="n">
        <v>595</v>
      </c>
      <c r="B596" s="3" t="inlineStr">
        <is>
          <t>Desember 2025</t>
        </is>
      </c>
      <c r="C596" s="3">
        <f>'Data Aset'!B598</f>
        <v/>
      </c>
      <c r="D596" s="3">
        <f>'Data Aset'!F598</f>
        <v/>
      </c>
      <c r="E596" s="3" t="inlineStr">
        <is>
          <t>Inventaris Ruangan</t>
        </is>
      </c>
      <c r="F596" s="3">
        <f>'Data Aset'!C598</f>
        <v/>
      </c>
      <c r="G596" s="3">
        <f>'Data Aset'!J598</f>
        <v/>
      </c>
      <c r="H596" s="5">
        <f>'Data Aset'!M598</f>
        <v/>
      </c>
      <c r="I596" s="3">
        <f>'Data Aset'!O598</f>
        <v/>
      </c>
      <c r="J596" s="5" t="n">
        <v>0</v>
      </c>
      <c r="K596" s="3" t="inlineStr">
        <is>
          <t>Garis Lurus</t>
        </is>
      </c>
      <c r="L596" s="5">
        <f>IFERROR(M596/12,"")</f>
        <v/>
      </c>
      <c r="M596" s="5">
        <f>IFERROR((H596-J596)/I596,"")</f>
        <v/>
      </c>
      <c r="N596" s="5">
        <f>IFERROR(M596,"")</f>
        <v/>
      </c>
      <c r="O596" s="5">
        <f>IFERROR(H596-N596,"")</f>
        <v/>
      </c>
      <c r="P596" s="3" t="inlineStr">
        <is>
          <t>Belum dihitung</t>
        </is>
      </c>
      <c r="Q596" s="3" t="n"/>
    </row>
    <row r="597">
      <c r="A597" s="3" t="n">
        <v>596</v>
      </c>
      <c r="B597" s="3" t="inlineStr">
        <is>
          <t>Desember 2025</t>
        </is>
      </c>
      <c r="C597" s="3">
        <f>'Data Aset'!B599</f>
        <v/>
      </c>
      <c r="D597" s="3">
        <f>'Data Aset'!F599</f>
        <v/>
      </c>
      <c r="E597" s="3" t="inlineStr">
        <is>
          <t>Inventaris Ruangan</t>
        </is>
      </c>
      <c r="F597" s="3">
        <f>'Data Aset'!C599</f>
        <v/>
      </c>
      <c r="G597" s="3">
        <f>'Data Aset'!J599</f>
        <v/>
      </c>
      <c r="H597" s="5">
        <f>'Data Aset'!M599</f>
        <v/>
      </c>
      <c r="I597" s="3">
        <f>'Data Aset'!O599</f>
        <v/>
      </c>
      <c r="J597" s="5" t="n">
        <v>0</v>
      </c>
      <c r="K597" s="3" t="inlineStr">
        <is>
          <t>Garis Lurus</t>
        </is>
      </c>
      <c r="L597" s="5">
        <f>IFERROR(M597/12,"")</f>
        <v/>
      </c>
      <c r="M597" s="5">
        <f>IFERROR((H597-J597)/I597,"")</f>
        <v/>
      </c>
      <c r="N597" s="5">
        <f>IFERROR(M597,"")</f>
        <v/>
      </c>
      <c r="O597" s="5">
        <f>IFERROR(H597-N597,"")</f>
        <v/>
      </c>
      <c r="P597" s="3" t="inlineStr">
        <is>
          <t>Belum dihitung</t>
        </is>
      </c>
      <c r="Q597" s="3" t="n"/>
    </row>
    <row r="598">
      <c r="A598" s="3" t="n">
        <v>597</v>
      </c>
      <c r="B598" s="3" t="inlineStr">
        <is>
          <t>Desember 2025</t>
        </is>
      </c>
      <c r="C598" s="3">
        <f>'Data Aset'!B600</f>
        <v/>
      </c>
      <c r="D598" s="3">
        <f>'Data Aset'!F600</f>
        <v/>
      </c>
      <c r="E598" s="3" t="inlineStr">
        <is>
          <t>Inventaris Ruangan</t>
        </is>
      </c>
      <c r="F598" s="3">
        <f>'Data Aset'!C600</f>
        <v/>
      </c>
      <c r="G598" s="3">
        <f>'Data Aset'!J600</f>
        <v/>
      </c>
      <c r="H598" s="5">
        <f>'Data Aset'!M600</f>
        <v/>
      </c>
      <c r="I598" s="3">
        <f>'Data Aset'!O600</f>
        <v/>
      </c>
      <c r="J598" s="5" t="n">
        <v>0</v>
      </c>
      <c r="K598" s="3" t="inlineStr">
        <is>
          <t>Garis Lurus</t>
        </is>
      </c>
      <c r="L598" s="5">
        <f>IFERROR(M598/12,"")</f>
        <v/>
      </c>
      <c r="M598" s="5">
        <f>IFERROR((H598-J598)/I598,"")</f>
        <v/>
      </c>
      <c r="N598" s="5">
        <f>IFERROR(M598,"")</f>
        <v/>
      </c>
      <c r="O598" s="5">
        <f>IFERROR(H598-N598,"")</f>
        <v/>
      </c>
      <c r="P598" s="3" t="inlineStr">
        <is>
          <t>Belum dihitung</t>
        </is>
      </c>
      <c r="Q598" s="3" t="n"/>
    </row>
    <row r="599">
      <c r="A599" s="3" t="n">
        <v>598</v>
      </c>
      <c r="B599" s="3" t="inlineStr">
        <is>
          <t>Desember 2025</t>
        </is>
      </c>
      <c r="C599" s="3">
        <f>'Data Aset'!B601</f>
        <v/>
      </c>
      <c r="D599" s="3">
        <f>'Data Aset'!F601</f>
        <v/>
      </c>
      <c r="E599" s="3" t="inlineStr">
        <is>
          <t>Inventaris Ruangan</t>
        </is>
      </c>
      <c r="F599" s="3">
        <f>'Data Aset'!C601</f>
        <v/>
      </c>
      <c r="G599" s="3">
        <f>'Data Aset'!J601</f>
        <v/>
      </c>
      <c r="H599" s="5">
        <f>'Data Aset'!M601</f>
        <v/>
      </c>
      <c r="I599" s="3">
        <f>'Data Aset'!O601</f>
        <v/>
      </c>
      <c r="J599" s="5" t="n">
        <v>0</v>
      </c>
      <c r="K599" s="3" t="inlineStr">
        <is>
          <t>Garis Lurus</t>
        </is>
      </c>
      <c r="L599" s="5">
        <f>IFERROR(M599/12,"")</f>
        <v/>
      </c>
      <c r="M599" s="5">
        <f>IFERROR((H599-J599)/I599,"")</f>
        <v/>
      </c>
      <c r="N599" s="5">
        <f>IFERROR(M599,"")</f>
        <v/>
      </c>
      <c r="O599" s="5">
        <f>IFERROR(H599-N599,"")</f>
        <v/>
      </c>
      <c r="P599" s="3" t="inlineStr">
        <is>
          <t>Belum dihitung</t>
        </is>
      </c>
      <c r="Q599" s="3" t="n"/>
    </row>
    <row r="600">
      <c r="A600" s="3" t="n">
        <v>599</v>
      </c>
      <c r="B600" s="3" t="inlineStr">
        <is>
          <t>Desember 2025</t>
        </is>
      </c>
      <c r="C600" s="3">
        <f>'Data Aset'!B602</f>
        <v/>
      </c>
      <c r="D600" s="3">
        <f>'Data Aset'!F602</f>
        <v/>
      </c>
      <c r="E600" s="3" t="inlineStr">
        <is>
          <t>Inventaris Ruangan</t>
        </is>
      </c>
      <c r="F600" s="3">
        <f>'Data Aset'!C602</f>
        <v/>
      </c>
      <c r="G600" s="3">
        <f>'Data Aset'!J602</f>
        <v/>
      </c>
      <c r="H600" s="5">
        <f>'Data Aset'!M602</f>
        <v/>
      </c>
      <c r="I600" s="3">
        <f>'Data Aset'!O602</f>
        <v/>
      </c>
      <c r="J600" s="5" t="n">
        <v>0</v>
      </c>
      <c r="K600" s="3" t="inlineStr">
        <is>
          <t>Garis Lurus</t>
        </is>
      </c>
      <c r="L600" s="5">
        <f>IFERROR(M600/12,"")</f>
        <v/>
      </c>
      <c r="M600" s="5">
        <f>IFERROR((H600-J600)/I600,"")</f>
        <v/>
      </c>
      <c r="N600" s="5">
        <f>IFERROR(M600,"")</f>
        <v/>
      </c>
      <c r="O600" s="5">
        <f>IFERROR(H600-N600,"")</f>
        <v/>
      </c>
      <c r="P600" s="3" t="inlineStr">
        <is>
          <t>Belum dihitung</t>
        </is>
      </c>
      <c r="Q600" s="3" t="n"/>
    </row>
    <row r="601">
      <c r="A601" s="3" t="n">
        <v>600</v>
      </c>
      <c r="B601" s="3" t="inlineStr">
        <is>
          <t>Desember 2025</t>
        </is>
      </c>
      <c r="C601" s="3">
        <f>'Data Aset'!B603</f>
        <v/>
      </c>
      <c r="D601" s="3">
        <f>'Data Aset'!F603</f>
        <v/>
      </c>
      <c r="E601" s="3" t="inlineStr">
        <is>
          <t>Inventaris Ruangan</t>
        </is>
      </c>
      <c r="F601" s="3">
        <f>'Data Aset'!C603</f>
        <v/>
      </c>
      <c r="G601" s="3">
        <f>'Data Aset'!J603</f>
        <v/>
      </c>
      <c r="H601" s="5">
        <f>'Data Aset'!M603</f>
        <v/>
      </c>
      <c r="I601" s="3">
        <f>'Data Aset'!O603</f>
        <v/>
      </c>
      <c r="J601" s="5" t="n">
        <v>0</v>
      </c>
      <c r="K601" s="3" t="inlineStr">
        <is>
          <t>Garis Lurus</t>
        </is>
      </c>
      <c r="L601" s="5">
        <f>IFERROR(M601/12,"")</f>
        <v/>
      </c>
      <c r="M601" s="5">
        <f>IFERROR((H601-J601)/I601,"")</f>
        <v/>
      </c>
      <c r="N601" s="5">
        <f>IFERROR(M601,"")</f>
        <v/>
      </c>
      <c r="O601" s="5">
        <f>IFERROR(H601-N601,"")</f>
        <v/>
      </c>
      <c r="P601" s="3" t="inlineStr">
        <is>
          <t>Belum dihitung</t>
        </is>
      </c>
      <c r="Q601" s="3" t="n"/>
    </row>
    <row r="602">
      <c r="A602" s="3" t="n">
        <v>601</v>
      </c>
      <c r="B602" s="3" t="inlineStr">
        <is>
          <t>Desember 2025</t>
        </is>
      </c>
      <c r="C602" s="3">
        <f>'Data Aset'!B604</f>
        <v/>
      </c>
      <c r="D602" s="3">
        <f>'Data Aset'!F604</f>
        <v/>
      </c>
      <c r="E602" s="3" t="inlineStr">
        <is>
          <t>Inventaris Ruangan</t>
        </is>
      </c>
      <c r="F602" s="3">
        <f>'Data Aset'!C604</f>
        <v/>
      </c>
      <c r="G602" s="3">
        <f>'Data Aset'!J604</f>
        <v/>
      </c>
      <c r="H602" s="5">
        <f>'Data Aset'!M604</f>
        <v/>
      </c>
      <c r="I602" s="3">
        <f>'Data Aset'!O604</f>
        <v/>
      </c>
      <c r="J602" s="5" t="n">
        <v>0</v>
      </c>
      <c r="K602" s="3" t="inlineStr">
        <is>
          <t>Garis Lurus</t>
        </is>
      </c>
      <c r="L602" s="5">
        <f>IFERROR(M602/12,"")</f>
        <v/>
      </c>
      <c r="M602" s="5">
        <f>IFERROR((H602-J602)/I602,"")</f>
        <v/>
      </c>
      <c r="N602" s="5">
        <f>IFERROR(M602,"")</f>
        <v/>
      </c>
      <c r="O602" s="5">
        <f>IFERROR(H602-N602,"")</f>
        <v/>
      </c>
      <c r="P602" s="3" t="inlineStr">
        <is>
          <t>Belum dihitung</t>
        </is>
      </c>
      <c r="Q602" s="3" t="n"/>
    </row>
    <row r="603">
      <c r="A603" s="3" t="n">
        <v>602</v>
      </c>
      <c r="B603" s="3" t="inlineStr">
        <is>
          <t>Desember 2025</t>
        </is>
      </c>
      <c r="C603" s="3">
        <f>'Data Aset'!B605</f>
        <v/>
      </c>
      <c r="D603" s="3">
        <f>'Data Aset'!F605</f>
        <v/>
      </c>
      <c r="E603" s="3" t="inlineStr">
        <is>
          <t>Inventaris Ruangan</t>
        </is>
      </c>
      <c r="F603" s="3">
        <f>'Data Aset'!C605</f>
        <v/>
      </c>
      <c r="G603" s="3">
        <f>'Data Aset'!J605</f>
        <v/>
      </c>
      <c r="H603" s="5">
        <f>'Data Aset'!M605</f>
        <v/>
      </c>
      <c r="I603" s="3">
        <f>'Data Aset'!O605</f>
        <v/>
      </c>
      <c r="J603" s="5" t="n">
        <v>0</v>
      </c>
      <c r="K603" s="3" t="inlineStr">
        <is>
          <t>Garis Lurus</t>
        </is>
      </c>
      <c r="L603" s="5">
        <f>IFERROR(M603/12,"")</f>
        <v/>
      </c>
      <c r="M603" s="5">
        <f>IFERROR((H603-J603)/I603,"")</f>
        <v/>
      </c>
      <c r="N603" s="5">
        <f>IFERROR(M603,"")</f>
        <v/>
      </c>
      <c r="O603" s="5">
        <f>IFERROR(H603-N603,"")</f>
        <v/>
      </c>
      <c r="P603" s="3" t="inlineStr">
        <is>
          <t>Belum dihitung</t>
        </is>
      </c>
      <c r="Q603" s="3" t="n"/>
    </row>
    <row r="604">
      <c r="A604" s="3" t="n">
        <v>603</v>
      </c>
      <c r="B604" s="3" t="inlineStr">
        <is>
          <t>Desember 2025</t>
        </is>
      </c>
      <c r="C604" s="3">
        <f>'Data Aset'!B606</f>
        <v/>
      </c>
      <c r="D604" s="3">
        <f>'Data Aset'!F606</f>
        <v/>
      </c>
      <c r="E604" s="3" t="inlineStr">
        <is>
          <t>Inventaris Ruangan</t>
        </is>
      </c>
      <c r="F604" s="3">
        <f>'Data Aset'!C606</f>
        <v/>
      </c>
      <c r="G604" s="3">
        <f>'Data Aset'!J606</f>
        <v/>
      </c>
      <c r="H604" s="5">
        <f>'Data Aset'!M606</f>
        <v/>
      </c>
      <c r="I604" s="3">
        <f>'Data Aset'!O606</f>
        <v/>
      </c>
      <c r="J604" s="5" t="n">
        <v>0</v>
      </c>
      <c r="K604" s="3" t="inlineStr">
        <is>
          <t>Garis Lurus</t>
        </is>
      </c>
      <c r="L604" s="5">
        <f>IFERROR(M604/12,"")</f>
        <v/>
      </c>
      <c r="M604" s="5">
        <f>IFERROR((H604-J604)/I604,"")</f>
        <v/>
      </c>
      <c r="N604" s="5">
        <f>IFERROR(M604,"")</f>
        <v/>
      </c>
      <c r="O604" s="5">
        <f>IFERROR(H604-N604,"")</f>
        <v/>
      </c>
      <c r="P604" s="3" t="inlineStr">
        <is>
          <t>Belum dihitung</t>
        </is>
      </c>
      <c r="Q604" s="3" t="n"/>
    </row>
    <row r="605">
      <c r="A605" s="3" t="n">
        <v>604</v>
      </c>
      <c r="B605" s="3" t="inlineStr">
        <is>
          <t>Desember 2025</t>
        </is>
      </c>
      <c r="C605" s="3">
        <f>'Data Aset'!B607</f>
        <v/>
      </c>
      <c r="D605" s="3">
        <f>'Data Aset'!F607</f>
        <v/>
      </c>
      <c r="E605" s="3" t="inlineStr">
        <is>
          <t>Inventaris Ruangan</t>
        </is>
      </c>
      <c r="F605" s="3">
        <f>'Data Aset'!C607</f>
        <v/>
      </c>
      <c r="G605" s="3">
        <f>'Data Aset'!J607</f>
        <v/>
      </c>
      <c r="H605" s="5">
        <f>'Data Aset'!M607</f>
        <v/>
      </c>
      <c r="I605" s="3">
        <f>'Data Aset'!O607</f>
        <v/>
      </c>
      <c r="J605" s="5" t="n">
        <v>0</v>
      </c>
      <c r="K605" s="3" t="inlineStr">
        <is>
          <t>Garis Lurus</t>
        </is>
      </c>
      <c r="L605" s="5">
        <f>IFERROR(M605/12,"")</f>
        <v/>
      </c>
      <c r="M605" s="5">
        <f>IFERROR((H605-J605)/I605,"")</f>
        <v/>
      </c>
      <c r="N605" s="5">
        <f>IFERROR(M605,"")</f>
        <v/>
      </c>
      <c r="O605" s="5">
        <f>IFERROR(H605-N605,"")</f>
        <v/>
      </c>
      <c r="P605" s="3" t="inlineStr">
        <is>
          <t>Belum dihitung</t>
        </is>
      </c>
      <c r="Q605" s="3" t="n"/>
    </row>
    <row r="606">
      <c r="A606" s="3" t="n">
        <v>605</v>
      </c>
      <c r="B606" s="3" t="inlineStr">
        <is>
          <t>Desember 2025</t>
        </is>
      </c>
      <c r="C606" s="3">
        <f>'Data Aset'!B608</f>
        <v/>
      </c>
      <c r="D606" s="3">
        <f>'Data Aset'!F608</f>
        <v/>
      </c>
      <c r="E606" s="3" t="inlineStr">
        <is>
          <t>Inventaris Ruangan</t>
        </is>
      </c>
      <c r="F606" s="3">
        <f>'Data Aset'!C608</f>
        <v/>
      </c>
      <c r="G606" s="3">
        <f>'Data Aset'!J608</f>
        <v/>
      </c>
      <c r="H606" s="5">
        <f>'Data Aset'!M608</f>
        <v/>
      </c>
      <c r="I606" s="3">
        <f>'Data Aset'!O608</f>
        <v/>
      </c>
      <c r="J606" s="5" t="n">
        <v>0</v>
      </c>
      <c r="K606" s="3" t="inlineStr">
        <is>
          <t>Garis Lurus</t>
        </is>
      </c>
      <c r="L606" s="5">
        <f>IFERROR(M606/12,"")</f>
        <v/>
      </c>
      <c r="M606" s="5">
        <f>IFERROR((H606-J606)/I606,"")</f>
        <v/>
      </c>
      <c r="N606" s="5">
        <f>IFERROR(M606,"")</f>
        <v/>
      </c>
      <c r="O606" s="5">
        <f>IFERROR(H606-N606,"")</f>
        <v/>
      </c>
      <c r="P606" s="3" t="inlineStr">
        <is>
          <t>Belum dihitung</t>
        </is>
      </c>
      <c r="Q606" s="3" t="n"/>
    </row>
    <row r="607">
      <c r="A607" s="3" t="n">
        <v>606</v>
      </c>
      <c r="B607" s="3" t="inlineStr">
        <is>
          <t>Desember 2025</t>
        </is>
      </c>
      <c r="C607" s="3">
        <f>'Data Aset'!B609</f>
        <v/>
      </c>
      <c r="D607" s="3">
        <f>'Data Aset'!F609</f>
        <v/>
      </c>
      <c r="E607" s="3" t="inlineStr">
        <is>
          <t>Inventaris Ruangan</t>
        </is>
      </c>
      <c r="F607" s="3">
        <f>'Data Aset'!C609</f>
        <v/>
      </c>
      <c r="G607" s="3">
        <f>'Data Aset'!J609</f>
        <v/>
      </c>
      <c r="H607" s="5">
        <f>'Data Aset'!M609</f>
        <v/>
      </c>
      <c r="I607" s="3">
        <f>'Data Aset'!O609</f>
        <v/>
      </c>
      <c r="J607" s="5" t="n">
        <v>0</v>
      </c>
      <c r="K607" s="3" t="inlineStr">
        <is>
          <t>Garis Lurus</t>
        </is>
      </c>
      <c r="L607" s="5">
        <f>IFERROR(M607/12,"")</f>
        <v/>
      </c>
      <c r="M607" s="5">
        <f>IFERROR((H607-J607)/I607,"")</f>
        <v/>
      </c>
      <c r="N607" s="5">
        <f>IFERROR(M607,"")</f>
        <v/>
      </c>
      <c r="O607" s="5">
        <f>IFERROR(H607-N607,"")</f>
        <v/>
      </c>
      <c r="P607" s="3" t="inlineStr">
        <is>
          <t>Belum dihitung</t>
        </is>
      </c>
      <c r="Q607" s="3" t="n"/>
    </row>
    <row r="608">
      <c r="A608" s="3" t="n">
        <v>607</v>
      </c>
      <c r="B608" s="3" t="inlineStr">
        <is>
          <t>Desember 2025</t>
        </is>
      </c>
      <c r="C608" s="3">
        <f>'Data Aset'!B610</f>
        <v/>
      </c>
      <c r="D608" s="3">
        <f>'Data Aset'!F610</f>
        <v/>
      </c>
      <c r="E608" s="3" t="inlineStr">
        <is>
          <t>Inventaris Ruangan</t>
        </is>
      </c>
      <c r="F608" s="3">
        <f>'Data Aset'!C610</f>
        <v/>
      </c>
      <c r="G608" s="3">
        <f>'Data Aset'!J610</f>
        <v/>
      </c>
      <c r="H608" s="5">
        <f>'Data Aset'!M610</f>
        <v/>
      </c>
      <c r="I608" s="3">
        <f>'Data Aset'!O610</f>
        <v/>
      </c>
      <c r="J608" s="5" t="n">
        <v>0</v>
      </c>
      <c r="K608" s="3" t="inlineStr">
        <is>
          <t>Garis Lurus</t>
        </is>
      </c>
      <c r="L608" s="5">
        <f>IFERROR(M608/12,"")</f>
        <v/>
      </c>
      <c r="M608" s="5">
        <f>IFERROR((H608-J608)/I608,"")</f>
        <v/>
      </c>
      <c r="N608" s="5">
        <f>IFERROR(M608,"")</f>
        <v/>
      </c>
      <c r="O608" s="5">
        <f>IFERROR(H608-N608,"")</f>
        <v/>
      </c>
      <c r="P608" s="3" t="inlineStr">
        <is>
          <t>Belum dihitung</t>
        </is>
      </c>
      <c r="Q608" s="3" t="n"/>
    </row>
    <row r="609">
      <c r="A609" s="3" t="n">
        <v>608</v>
      </c>
      <c r="B609" s="3" t="inlineStr">
        <is>
          <t>Desember 2025</t>
        </is>
      </c>
      <c r="C609" s="3">
        <f>'Data Aset'!B611</f>
        <v/>
      </c>
      <c r="D609" s="3">
        <f>'Data Aset'!F611</f>
        <v/>
      </c>
      <c r="E609" s="3" t="inlineStr">
        <is>
          <t>Inventaris Ruangan</t>
        </is>
      </c>
      <c r="F609" s="3">
        <f>'Data Aset'!C611</f>
        <v/>
      </c>
      <c r="G609" s="3">
        <f>'Data Aset'!J611</f>
        <v/>
      </c>
      <c r="H609" s="5">
        <f>'Data Aset'!M611</f>
        <v/>
      </c>
      <c r="I609" s="3">
        <f>'Data Aset'!O611</f>
        <v/>
      </c>
      <c r="J609" s="5" t="n">
        <v>0</v>
      </c>
      <c r="K609" s="3" t="inlineStr">
        <is>
          <t>Garis Lurus</t>
        </is>
      </c>
      <c r="L609" s="5">
        <f>IFERROR(M609/12,"")</f>
        <v/>
      </c>
      <c r="M609" s="5">
        <f>IFERROR((H609-J609)/I609,"")</f>
        <v/>
      </c>
      <c r="N609" s="5">
        <f>IFERROR(M609,"")</f>
        <v/>
      </c>
      <c r="O609" s="5">
        <f>IFERROR(H609-N609,"")</f>
        <v/>
      </c>
      <c r="P609" s="3" t="inlineStr">
        <is>
          <t>Belum dihitung</t>
        </is>
      </c>
      <c r="Q609" s="3" t="n"/>
    </row>
    <row r="610">
      <c r="A610" s="3" t="n">
        <v>609</v>
      </c>
      <c r="B610" s="3" t="inlineStr">
        <is>
          <t>Desember 2025</t>
        </is>
      </c>
      <c r="C610" s="3">
        <f>'Data Aset'!B612</f>
        <v/>
      </c>
      <c r="D610" s="3">
        <f>'Data Aset'!F612</f>
        <v/>
      </c>
      <c r="E610" s="3" t="inlineStr">
        <is>
          <t>Inventaris Ruangan</t>
        </is>
      </c>
      <c r="F610" s="3">
        <f>'Data Aset'!C612</f>
        <v/>
      </c>
      <c r="G610" s="3">
        <f>'Data Aset'!J612</f>
        <v/>
      </c>
      <c r="H610" s="5">
        <f>'Data Aset'!M612</f>
        <v/>
      </c>
      <c r="I610" s="3">
        <f>'Data Aset'!O612</f>
        <v/>
      </c>
      <c r="J610" s="5" t="n">
        <v>0</v>
      </c>
      <c r="K610" s="3" t="inlineStr">
        <is>
          <t>Garis Lurus</t>
        </is>
      </c>
      <c r="L610" s="5">
        <f>IFERROR(M610/12,"")</f>
        <v/>
      </c>
      <c r="M610" s="5">
        <f>IFERROR((H610-J610)/I610,"")</f>
        <v/>
      </c>
      <c r="N610" s="5">
        <f>IFERROR(M610,"")</f>
        <v/>
      </c>
      <c r="O610" s="5">
        <f>IFERROR(H610-N610,"")</f>
        <v/>
      </c>
      <c r="P610" s="3" t="inlineStr">
        <is>
          <t>Belum dihitung</t>
        </is>
      </c>
      <c r="Q610" s="3" t="n"/>
    </row>
    <row r="611">
      <c r="A611" s="3" t="n">
        <v>610</v>
      </c>
      <c r="B611" s="3" t="inlineStr">
        <is>
          <t>Desember 2025</t>
        </is>
      </c>
      <c r="C611" s="3">
        <f>'Data Aset'!B613</f>
        <v/>
      </c>
      <c r="D611" s="3">
        <f>'Data Aset'!F613</f>
        <v/>
      </c>
      <c r="E611" s="3" t="inlineStr">
        <is>
          <t>Inventaris Ruangan</t>
        </is>
      </c>
      <c r="F611" s="3">
        <f>'Data Aset'!C613</f>
        <v/>
      </c>
      <c r="G611" s="3">
        <f>'Data Aset'!J613</f>
        <v/>
      </c>
      <c r="H611" s="5">
        <f>'Data Aset'!M613</f>
        <v/>
      </c>
      <c r="I611" s="3">
        <f>'Data Aset'!O613</f>
        <v/>
      </c>
      <c r="J611" s="5" t="n">
        <v>0</v>
      </c>
      <c r="K611" s="3" t="inlineStr">
        <is>
          <t>Garis Lurus</t>
        </is>
      </c>
      <c r="L611" s="5">
        <f>IFERROR(M611/12,"")</f>
        <v/>
      </c>
      <c r="M611" s="5">
        <f>IFERROR((H611-J611)/I611,"")</f>
        <v/>
      </c>
      <c r="N611" s="5">
        <f>IFERROR(M611,"")</f>
        <v/>
      </c>
      <c r="O611" s="5">
        <f>IFERROR(H611-N611,"")</f>
        <v/>
      </c>
      <c r="P611" s="3" t="inlineStr">
        <is>
          <t>Belum dihitung</t>
        </is>
      </c>
      <c r="Q611" s="3" t="n"/>
    </row>
    <row r="612">
      <c r="A612" s="3" t="n">
        <v>611</v>
      </c>
      <c r="B612" s="3" t="inlineStr">
        <is>
          <t>Desember 2025</t>
        </is>
      </c>
      <c r="C612" s="3">
        <f>'Data Aset'!B614</f>
        <v/>
      </c>
      <c r="D612" s="3">
        <f>'Data Aset'!F614</f>
        <v/>
      </c>
      <c r="E612" s="3" t="inlineStr">
        <is>
          <t>Inventaris Ruangan</t>
        </is>
      </c>
      <c r="F612" s="3">
        <f>'Data Aset'!C614</f>
        <v/>
      </c>
      <c r="G612" s="3">
        <f>'Data Aset'!J614</f>
        <v/>
      </c>
      <c r="H612" s="5">
        <f>'Data Aset'!M614</f>
        <v/>
      </c>
      <c r="I612" s="3">
        <f>'Data Aset'!O614</f>
        <v/>
      </c>
      <c r="J612" s="5" t="n">
        <v>0</v>
      </c>
      <c r="K612" s="3" t="inlineStr">
        <is>
          <t>Garis Lurus</t>
        </is>
      </c>
      <c r="L612" s="5">
        <f>IFERROR(M612/12,"")</f>
        <v/>
      </c>
      <c r="M612" s="5">
        <f>IFERROR((H612-J612)/I612,"")</f>
        <v/>
      </c>
      <c r="N612" s="5">
        <f>IFERROR(M612,"")</f>
        <v/>
      </c>
      <c r="O612" s="5">
        <f>IFERROR(H612-N612,"")</f>
        <v/>
      </c>
      <c r="P612" s="3" t="inlineStr">
        <is>
          <t>Belum dihitung</t>
        </is>
      </c>
      <c r="Q612" s="3" t="n"/>
    </row>
    <row r="613">
      <c r="A613" s="3" t="n">
        <v>612</v>
      </c>
      <c r="B613" s="3" t="inlineStr">
        <is>
          <t>Desember 2025</t>
        </is>
      </c>
      <c r="C613" s="3">
        <f>'Data Aset'!B615</f>
        <v/>
      </c>
      <c r="D613" s="3">
        <f>'Data Aset'!F615</f>
        <v/>
      </c>
      <c r="E613" s="3" t="inlineStr">
        <is>
          <t>Inventaris Ruangan</t>
        </is>
      </c>
      <c r="F613" s="3">
        <f>'Data Aset'!C615</f>
        <v/>
      </c>
      <c r="G613" s="3">
        <f>'Data Aset'!J615</f>
        <v/>
      </c>
      <c r="H613" s="5">
        <f>'Data Aset'!M615</f>
        <v/>
      </c>
      <c r="I613" s="3">
        <f>'Data Aset'!O615</f>
        <v/>
      </c>
      <c r="J613" s="5" t="n">
        <v>0</v>
      </c>
      <c r="K613" s="3" t="inlineStr">
        <is>
          <t>Garis Lurus</t>
        </is>
      </c>
      <c r="L613" s="5">
        <f>IFERROR(M613/12,"")</f>
        <v/>
      </c>
      <c r="M613" s="5">
        <f>IFERROR((H613-J613)/I613,"")</f>
        <v/>
      </c>
      <c r="N613" s="5">
        <f>IFERROR(M613,"")</f>
        <v/>
      </c>
      <c r="O613" s="5">
        <f>IFERROR(H613-N613,"")</f>
        <v/>
      </c>
      <c r="P613" s="3" t="inlineStr">
        <is>
          <t>Belum dihitung</t>
        </is>
      </c>
      <c r="Q613" s="3" t="n"/>
    </row>
    <row r="614">
      <c r="A614" s="3" t="n">
        <v>613</v>
      </c>
      <c r="B614" s="3" t="inlineStr">
        <is>
          <t>Desember 2025</t>
        </is>
      </c>
      <c r="C614" s="3">
        <f>'Data Aset'!B616</f>
        <v/>
      </c>
      <c r="D614" s="3">
        <f>'Data Aset'!F616</f>
        <v/>
      </c>
      <c r="E614" s="3" t="inlineStr">
        <is>
          <t>Inventaris Ruangan</t>
        </is>
      </c>
      <c r="F614" s="3">
        <f>'Data Aset'!C616</f>
        <v/>
      </c>
      <c r="G614" s="3">
        <f>'Data Aset'!J616</f>
        <v/>
      </c>
      <c r="H614" s="5">
        <f>'Data Aset'!M616</f>
        <v/>
      </c>
      <c r="I614" s="3">
        <f>'Data Aset'!O616</f>
        <v/>
      </c>
      <c r="J614" s="5" t="n">
        <v>0</v>
      </c>
      <c r="K614" s="3" t="inlineStr">
        <is>
          <t>Garis Lurus</t>
        </is>
      </c>
      <c r="L614" s="5">
        <f>IFERROR(M614/12,"")</f>
        <v/>
      </c>
      <c r="M614" s="5">
        <f>IFERROR((H614-J614)/I614,"")</f>
        <v/>
      </c>
      <c r="N614" s="5">
        <f>IFERROR(M614,"")</f>
        <v/>
      </c>
      <c r="O614" s="5">
        <f>IFERROR(H614-N614,"")</f>
        <v/>
      </c>
      <c r="P614" s="3" t="inlineStr">
        <is>
          <t>Belum dihitung</t>
        </is>
      </c>
      <c r="Q614" s="3" t="n"/>
    </row>
    <row r="615">
      <c r="A615" s="3" t="n">
        <v>614</v>
      </c>
      <c r="B615" s="3" t="inlineStr">
        <is>
          <t>Desember 2025</t>
        </is>
      </c>
      <c r="C615" s="3">
        <f>'Data Aset'!B617</f>
        <v/>
      </c>
      <c r="D615" s="3">
        <f>'Data Aset'!F617</f>
        <v/>
      </c>
      <c r="E615" s="3" t="inlineStr">
        <is>
          <t>Inventaris Ruangan</t>
        </is>
      </c>
      <c r="F615" s="3">
        <f>'Data Aset'!C617</f>
        <v/>
      </c>
      <c r="G615" s="3">
        <f>'Data Aset'!J617</f>
        <v/>
      </c>
      <c r="H615" s="5">
        <f>'Data Aset'!M617</f>
        <v/>
      </c>
      <c r="I615" s="3">
        <f>'Data Aset'!O617</f>
        <v/>
      </c>
      <c r="J615" s="5" t="n">
        <v>0</v>
      </c>
      <c r="K615" s="3" t="inlineStr">
        <is>
          <t>Garis Lurus</t>
        </is>
      </c>
      <c r="L615" s="5">
        <f>IFERROR(M615/12,"")</f>
        <v/>
      </c>
      <c r="M615" s="5">
        <f>IFERROR((H615-J615)/I615,"")</f>
        <v/>
      </c>
      <c r="N615" s="5">
        <f>IFERROR(M615,"")</f>
        <v/>
      </c>
      <c r="O615" s="5">
        <f>IFERROR(H615-N615,"")</f>
        <v/>
      </c>
      <c r="P615" s="3" t="inlineStr">
        <is>
          <t>Belum dihitung</t>
        </is>
      </c>
      <c r="Q615" s="3" t="n"/>
    </row>
    <row r="616">
      <c r="A616" s="3" t="n">
        <v>615</v>
      </c>
      <c r="B616" s="3" t="inlineStr">
        <is>
          <t>Desember 2025</t>
        </is>
      </c>
      <c r="C616" s="3">
        <f>'Data Aset'!B618</f>
        <v/>
      </c>
      <c r="D616" s="3">
        <f>'Data Aset'!F618</f>
        <v/>
      </c>
      <c r="E616" s="3" t="inlineStr">
        <is>
          <t>Inventaris Ruangan</t>
        </is>
      </c>
      <c r="F616" s="3">
        <f>'Data Aset'!C618</f>
        <v/>
      </c>
      <c r="G616" s="3">
        <f>'Data Aset'!J618</f>
        <v/>
      </c>
      <c r="H616" s="5">
        <f>'Data Aset'!M618</f>
        <v/>
      </c>
      <c r="I616" s="3">
        <f>'Data Aset'!O618</f>
        <v/>
      </c>
      <c r="J616" s="5" t="n">
        <v>0</v>
      </c>
      <c r="K616" s="3" t="inlineStr">
        <is>
          <t>Garis Lurus</t>
        </is>
      </c>
      <c r="L616" s="5">
        <f>IFERROR(M616/12,"")</f>
        <v/>
      </c>
      <c r="M616" s="5">
        <f>IFERROR((H616-J616)/I616,"")</f>
        <v/>
      </c>
      <c r="N616" s="5">
        <f>IFERROR(M616,"")</f>
        <v/>
      </c>
      <c r="O616" s="5">
        <f>IFERROR(H616-N616,"")</f>
        <v/>
      </c>
      <c r="P616" s="3" t="inlineStr">
        <is>
          <t>Belum dihitung</t>
        </is>
      </c>
      <c r="Q616" s="3" t="n"/>
    </row>
    <row r="617">
      <c r="A617" s="3" t="n">
        <v>616</v>
      </c>
      <c r="B617" s="3" t="inlineStr">
        <is>
          <t>Desember 2025</t>
        </is>
      </c>
      <c r="C617" s="3">
        <f>'Data Aset'!B619</f>
        <v/>
      </c>
      <c r="D617" s="3">
        <f>'Data Aset'!F619</f>
        <v/>
      </c>
      <c r="E617" s="3" t="inlineStr">
        <is>
          <t>Inventaris Ruangan</t>
        </is>
      </c>
      <c r="F617" s="3">
        <f>'Data Aset'!C619</f>
        <v/>
      </c>
      <c r="G617" s="3">
        <f>'Data Aset'!J619</f>
        <v/>
      </c>
      <c r="H617" s="5">
        <f>'Data Aset'!M619</f>
        <v/>
      </c>
      <c r="I617" s="3">
        <f>'Data Aset'!O619</f>
        <v/>
      </c>
      <c r="J617" s="5" t="n">
        <v>0</v>
      </c>
      <c r="K617" s="3" t="inlineStr">
        <is>
          <t>Garis Lurus</t>
        </is>
      </c>
      <c r="L617" s="5">
        <f>IFERROR(M617/12,"")</f>
        <v/>
      </c>
      <c r="M617" s="5">
        <f>IFERROR((H617-J617)/I617,"")</f>
        <v/>
      </c>
      <c r="N617" s="5">
        <f>IFERROR(M617,"")</f>
        <v/>
      </c>
      <c r="O617" s="5">
        <f>IFERROR(H617-N617,"")</f>
        <v/>
      </c>
      <c r="P617" s="3" t="inlineStr">
        <is>
          <t>Belum dihitung</t>
        </is>
      </c>
      <c r="Q617" s="3" t="n"/>
    </row>
    <row r="618">
      <c r="A618" s="3" t="n">
        <v>617</v>
      </c>
      <c r="B618" s="3" t="inlineStr">
        <is>
          <t>Desember 2025</t>
        </is>
      </c>
      <c r="C618" s="3">
        <f>'Data Aset'!B620</f>
        <v/>
      </c>
      <c r="D618" s="3">
        <f>'Data Aset'!F620</f>
        <v/>
      </c>
      <c r="E618" s="3" t="inlineStr">
        <is>
          <t>Inventaris Ruangan</t>
        </is>
      </c>
      <c r="F618" s="3">
        <f>'Data Aset'!C620</f>
        <v/>
      </c>
      <c r="G618" s="3">
        <f>'Data Aset'!J620</f>
        <v/>
      </c>
      <c r="H618" s="5">
        <f>'Data Aset'!M620</f>
        <v/>
      </c>
      <c r="I618" s="3">
        <f>'Data Aset'!O620</f>
        <v/>
      </c>
      <c r="J618" s="5" t="n">
        <v>0</v>
      </c>
      <c r="K618" s="3" t="inlineStr">
        <is>
          <t>Garis Lurus</t>
        </is>
      </c>
      <c r="L618" s="5">
        <f>IFERROR(M618/12,"")</f>
        <v/>
      </c>
      <c r="M618" s="5">
        <f>IFERROR((H618-J618)/I618,"")</f>
        <v/>
      </c>
      <c r="N618" s="5">
        <f>IFERROR(M618,"")</f>
        <v/>
      </c>
      <c r="O618" s="5">
        <f>IFERROR(H618-N618,"")</f>
        <v/>
      </c>
      <c r="P618" s="3" t="inlineStr">
        <is>
          <t>Belum dihitung</t>
        </is>
      </c>
      <c r="Q618" s="3" t="n"/>
    </row>
    <row r="619">
      <c r="A619" s="3" t="n">
        <v>618</v>
      </c>
      <c r="B619" s="3" t="inlineStr">
        <is>
          <t>Desember 2025</t>
        </is>
      </c>
      <c r="C619" s="3">
        <f>'Data Aset'!B621</f>
        <v/>
      </c>
      <c r="D619" s="3">
        <f>'Data Aset'!F621</f>
        <v/>
      </c>
      <c r="E619" s="3" t="inlineStr">
        <is>
          <t>Inventaris Ruangan</t>
        </is>
      </c>
      <c r="F619" s="3">
        <f>'Data Aset'!C621</f>
        <v/>
      </c>
      <c r="G619" s="3">
        <f>'Data Aset'!J621</f>
        <v/>
      </c>
      <c r="H619" s="5">
        <f>'Data Aset'!M621</f>
        <v/>
      </c>
      <c r="I619" s="3">
        <f>'Data Aset'!O621</f>
        <v/>
      </c>
      <c r="J619" s="5" t="n">
        <v>0</v>
      </c>
      <c r="K619" s="3" t="inlineStr">
        <is>
          <t>Garis Lurus</t>
        </is>
      </c>
      <c r="L619" s="5">
        <f>IFERROR(M619/12,"")</f>
        <v/>
      </c>
      <c r="M619" s="5">
        <f>IFERROR((H619-J619)/I619,"")</f>
        <v/>
      </c>
      <c r="N619" s="5">
        <f>IFERROR(M619,"")</f>
        <v/>
      </c>
      <c r="O619" s="5">
        <f>IFERROR(H619-N619,"")</f>
        <v/>
      </c>
      <c r="P619" s="3" t="inlineStr">
        <is>
          <t>Belum dihitung</t>
        </is>
      </c>
      <c r="Q619" s="3" t="n"/>
    </row>
    <row r="620">
      <c r="A620" s="3" t="n">
        <v>619</v>
      </c>
      <c r="B620" s="3" t="inlineStr">
        <is>
          <t>Desember 2025</t>
        </is>
      </c>
      <c r="C620" s="3">
        <f>'Data Aset'!B622</f>
        <v/>
      </c>
      <c r="D620" s="3">
        <f>'Data Aset'!F622</f>
        <v/>
      </c>
      <c r="E620" s="3" t="inlineStr">
        <is>
          <t>Inventaris Ruangan</t>
        </is>
      </c>
      <c r="F620" s="3">
        <f>'Data Aset'!C622</f>
        <v/>
      </c>
      <c r="G620" s="3">
        <f>'Data Aset'!J622</f>
        <v/>
      </c>
      <c r="H620" s="5">
        <f>'Data Aset'!M622</f>
        <v/>
      </c>
      <c r="I620" s="3">
        <f>'Data Aset'!O622</f>
        <v/>
      </c>
      <c r="J620" s="5" t="n">
        <v>0</v>
      </c>
      <c r="K620" s="3" t="inlineStr">
        <is>
          <t>Garis Lurus</t>
        </is>
      </c>
      <c r="L620" s="5">
        <f>IFERROR(M620/12,"")</f>
        <v/>
      </c>
      <c r="M620" s="5">
        <f>IFERROR((H620-J620)/I620,"")</f>
        <v/>
      </c>
      <c r="N620" s="5">
        <f>IFERROR(M620,"")</f>
        <v/>
      </c>
      <c r="O620" s="5">
        <f>IFERROR(H620-N620,"")</f>
        <v/>
      </c>
      <c r="P620" s="3" t="inlineStr">
        <is>
          <t>Belum dihitung</t>
        </is>
      </c>
      <c r="Q620" s="3" t="n"/>
    </row>
    <row r="621">
      <c r="A621" s="3" t="n">
        <v>620</v>
      </c>
      <c r="B621" s="3" t="inlineStr">
        <is>
          <t>Desember 2025</t>
        </is>
      </c>
      <c r="C621" s="3">
        <f>'Data Aset'!B623</f>
        <v/>
      </c>
      <c r="D621" s="3">
        <f>'Data Aset'!F623</f>
        <v/>
      </c>
      <c r="E621" s="3" t="inlineStr">
        <is>
          <t>Inventaris Ruangan</t>
        </is>
      </c>
      <c r="F621" s="3">
        <f>'Data Aset'!C623</f>
        <v/>
      </c>
      <c r="G621" s="3">
        <f>'Data Aset'!J623</f>
        <v/>
      </c>
      <c r="H621" s="5">
        <f>'Data Aset'!M623</f>
        <v/>
      </c>
      <c r="I621" s="3">
        <f>'Data Aset'!O623</f>
        <v/>
      </c>
      <c r="J621" s="5" t="n">
        <v>0</v>
      </c>
      <c r="K621" s="3" t="inlineStr">
        <is>
          <t>Garis Lurus</t>
        </is>
      </c>
      <c r="L621" s="5">
        <f>IFERROR(M621/12,"")</f>
        <v/>
      </c>
      <c r="M621" s="5">
        <f>IFERROR((H621-J621)/I621,"")</f>
        <v/>
      </c>
      <c r="N621" s="5">
        <f>IFERROR(M621,"")</f>
        <v/>
      </c>
      <c r="O621" s="5">
        <f>IFERROR(H621-N621,"")</f>
        <v/>
      </c>
      <c r="P621" s="3" t="inlineStr">
        <is>
          <t>Belum dihitung</t>
        </is>
      </c>
      <c r="Q621" s="3" t="n"/>
    </row>
    <row r="622">
      <c r="A622" s="3" t="n">
        <v>621</v>
      </c>
      <c r="B622" s="3" t="inlineStr">
        <is>
          <t>Desember 2025</t>
        </is>
      </c>
      <c r="C622" s="3">
        <f>'Data Aset'!B624</f>
        <v/>
      </c>
      <c r="D622" s="3">
        <f>'Data Aset'!F624</f>
        <v/>
      </c>
      <c r="E622" s="3" t="inlineStr">
        <is>
          <t>Inventaris Ruangan</t>
        </is>
      </c>
      <c r="F622" s="3">
        <f>'Data Aset'!C624</f>
        <v/>
      </c>
      <c r="G622" s="3">
        <f>'Data Aset'!J624</f>
        <v/>
      </c>
      <c r="H622" s="5">
        <f>'Data Aset'!M624</f>
        <v/>
      </c>
      <c r="I622" s="3">
        <f>'Data Aset'!O624</f>
        <v/>
      </c>
      <c r="J622" s="5" t="n">
        <v>0</v>
      </c>
      <c r="K622" s="3" t="inlineStr">
        <is>
          <t>Garis Lurus</t>
        </is>
      </c>
      <c r="L622" s="5">
        <f>IFERROR(M622/12,"")</f>
        <v/>
      </c>
      <c r="M622" s="5">
        <f>IFERROR((H622-J622)/I622,"")</f>
        <v/>
      </c>
      <c r="N622" s="5">
        <f>IFERROR(M622,"")</f>
        <v/>
      </c>
      <c r="O622" s="5">
        <f>IFERROR(H622-N622,"")</f>
        <v/>
      </c>
      <c r="P622" s="3" t="inlineStr">
        <is>
          <t>Belum dihitung</t>
        </is>
      </c>
      <c r="Q622" s="3" t="n"/>
    </row>
    <row r="623">
      <c r="A623" s="3" t="n">
        <v>622</v>
      </c>
      <c r="B623" s="3" t="inlineStr">
        <is>
          <t>Desember 2025</t>
        </is>
      </c>
      <c r="C623" s="3">
        <f>'Data Aset'!B625</f>
        <v/>
      </c>
      <c r="D623" s="3">
        <f>'Data Aset'!F625</f>
        <v/>
      </c>
      <c r="E623" s="3" t="inlineStr">
        <is>
          <t>Inventaris Ruangan</t>
        </is>
      </c>
      <c r="F623" s="3">
        <f>'Data Aset'!C625</f>
        <v/>
      </c>
      <c r="G623" s="3">
        <f>'Data Aset'!J625</f>
        <v/>
      </c>
      <c r="H623" s="5">
        <f>'Data Aset'!M625</f>
        <v/>
      </c>
      <c r="I623" s="3">
        <f>'Data Aset'!O625</f>
        <v/>
      </c>
      <c r="J623" s="5" t="n">
        <v>0</v>
      </c>
      <c r="K623" s="3" t="inlineStr">
        <is>
          <t>Garis Lurus</t>
        </is>
      </c>
      <c r="L623" s="5">
        <f>IFERROR(M623/12,"")</f>
        <v/>
      </c>
      <c r="M623" s="5">
        <f>IFERROR((H623-J623)/I623,"")</f>
        <v/>
      </c>
      <c r="N623" s="5">
        <f>IFERROR(M623,"")</f>
        <v/>
      </c>
      <c r="O623" s="5">
        <f>IFERROR(H623-N623,"")</f>
        <v/>
      </c>
      <c r="P623" s="3" t="inlineStr">
        <is>
          <t>Belum dihitung</t>
        </is>
      </c>
      <c r="Q623" s="3" t="n"/>
    </row>
    <row r="624">
      <c r="A624" s="3" t="n">
        <v>623</v>
      </c>
      <c r="B624" s="3" t="inlineStr">
        <is>
          <t>Desember 2025</t>
        </is>
      </c>
      <c r="C624" s="3">
        <f>'Data Aset'!B626</f>
        <v/>
      </c>
      <c r="D624" s="3">
        <f>'Data Aset'!F626</f>
        <v/>
      </c>
      <c r="E624" s="3" t="inlineStr">
        <is>
          <t>Inventaris Ruangan</t>
        </is>
      </c>
      <c r="F624" s="3">
        <f>'Data Aset'!C626</f>
        <v/>
      </c>
      <c r="G624" s="3">
        <f>'Data Aset'!J626</f>
        <v/>
      </c>
      <c r="H624" s="5">
        <f>'Data Aset'!M626</f>
        <v/>
      </c>
      <c r="I624" s="3">
        <f>'Data Aset'!O626</f>
        <v/>
      </c>
      <c r="J624" s="5" t="n">
        <v>0</v>
      </c>
      <c r="K624" s="3" t="inlineStr">
        <is>
          <t>Garis Lurus</t>
        </is>
      </c>
      <c r="L624" s="5">
        <f>IFERROR(M624/12,"")</f>
        <v/>
      </c>
      <c r="M624" s="5">
        <f>IFERROR((H624-J624)/I624,"")</f>
        <v/>
      </c>
      <c r="N624" s="5">
        <f>IFERROR(M624,"")</f>
        <v/>
      </c>
      <c r="O624" s="5">
        <f>IFERROR(H624-N624,"")</f>
        <v/>
      </c>
      <c r="P624" s="3" t="inlineStr">
        <is>
          <t>Belum dihitung</t>
        </is>
      </c>
      <c r="Q624" s="3" t="n"/>
    </row>
    <row r="625">
      <c r="A625" s="3" t="n">
        <v>624</v>
      </c>
      <c r="B625" s="3" t="inlineStr">
        <is>
          <t>Desember 2025</t>
        </is>
      </c>
      <c r="C625" s="3">
        <f>'Data Aset'!B627</f>
        <v/>
      </c>
      <c r="D625" s="3">
        <f>'Data Aset'!F627</f>
        <v/>
      </c>
      <c r="E625" s="3" t="inlineStr">
        <is>
          <t>Inventaris Ruangan</t>
        </is>
      </c>
      <c r="F625" s="3">
        <f>'Data Aset'!C627</f>
        <v/>
      </c>
      <c r="G625" s="3">
        <f>'Data Aset'!J627</f>
        <v/>
      </c>
      <c r="H625" s="5">
        <f>'Data Aset'!M627</f>
        <v/>
      </c>
      <c r="I625" s="3">
        <f>'Data Aset'!O627</f>
        <v/>
      </c>
      <c r="J625" s="5" t="n">
        <v>0</v>
      </c>
      <c r="K625" s="3" t="inlineStr">
        <is>
          <t>Garis Lurus</t>
        </is>
      </c>
      <c r="L625" s="5">
        <f>IFERROR(M625/12,"")</f>
        <v/>
      </c>
      <c r="M625" s="5">
        <f>IFERROR((H625-J625)/I625,"")</f>
        <v/>
      </c>
      <c r="N625" s="5">
        <f>IFERROR(M625,"")</f>
        <v/>
      </c>
      <c r="O625" s="5">
        <f>IFERROR(H625-N625,"")</f>
        <v/>
      </c>
      <c r="P625" s="3" t="inlineStr">
        <is>
          <t>Belum dihitung</t>
        </is>
      </c>
      <c r="Q625" s="3" t="n"/>
    </row>
    <row r="626">
      <c r="A626" s="3" t="n">
        <v>625</v>
      </c>
      <c r="B626" s="3" t="inlineStr">
        <is>
          <t>Desember 2025</t>
        </is>
      </c>
      <c r="C626" s="3">
        <f>'Data Aset'!B628</f>
        <v/>
      </c>
      <c r="D626" s="3">
        <f>'Data Aset'!F628</f>
        <v/>
      </c>
      <c r="E626" s="3" t="inlineStr">
        <is>
          <t>Inventaris Ruangan</t>
        </is>
      </c>
      <c r="F626" s="3">
        <f>'Data Aset'!C628</f>
        <v/>
      </c>
      <c r="G626" s="3">
        <f>'Data Aset'!J628</f>
        <v/>
      </c>
      <c r="H626" s="5">
        <f>'Data Aset'!M628</f>
        <v/>
      </c>
      <c r="I626" s="3">
        <f>'Data Aset'!O628</f>
        <v/>
      </c>
      <c r="J626" s="5" t="n">
        <v>0</v>
      </c>
      <c r="K626" s="3" t="inlineStr">
        <is>
          <t>Garis Lurus</t>
        </is>
      </c>
      <c r="L626" s="5">
        <f>IFERROR(M626/12,"")</f>
        <v/>
      </c>
      <c r="M626" s="5">
        <f>IFERROR((H626-J626)/I626,"")</f>
        <v/>
      </c>
      <c r="N626" s="5">
        <f>IFERROR(M626,"")</f>
        <v/>
      </c>
      <c r="O626" s="5">
        <f>IFERROR(H626-N626,"")</f>
        <v/>
      </c>
      <c r="P626" s="3" t="inlineStr">
        <is>
          <t>Belum dihitung</t>
        </is>
      </c>
      <c r="Q626" s="3" t="n"/>
    </row>
    <row r="627">
      <c r="A627" s="3" t="n">
        <v>626</v>
      </c>
      <c r="B627" s="3" t="inlineStr">
        <is>
          <t>Desember 2025</t>
        </is>
      </c>
      <c r="C627" s="3">
        <f>'Data Aset'!B629</f>
        <v/>
      </c>
      <c r="D627" s="3">
        <f>'Data Aset'!F629</f>
        <v/>
      </c>
      <c r="E627" s="3" t="inlineStr">
        <is>
          <t>Inventaris Ruangan</t>
        </is>
      </c>
      <c r="F627" s="3">
        <f>'Data Aset'!C629</f>
        <v/>
      </c>
      <c r="G627" s="3">
        <f>'Data Aset'!J629</f>
        <v/>
      </c>
      <c r="H627" s="5">
        <f>'Data Aset'!M629</f>
        <v/>
      </c>
      <c r="I627" s="3">
        <f>'Data Aset'!O629</f>
        <v/>
      </c>
      <c r="J627" s="5" t="n">
        <v>0</v>
      </c>
      <c r="K627" s="3" t="inlineStr">
        <is>
          <t>Garis Lurus</t>
        </is>
      </c>
      <c r="L627" s="5">
        <f>IFERROR(M627/12,"")</f>
        <v/>
      </c>
      <c r="M627" s="5">
        <f>IFERROR((H627-J627)/I627,"")</f>
        <v/>
      </c>
      <c r="N627" s="5">
        <f>IFERROR(M627,"")</f>
        <v/>
      </c>
      <c r="O627" s="5">
        <f>IFERROR(H627-N627,"")</f>
        <v/>
      </c>
      <c r="P627" s="3" t="inlineStr">
        <is>
          <t>Belum dihitung</t>
        </is>
      </c>
      <c r="Q627" s="3" t="n"/>
    </row>
    <row r="628">
      <c r="A628" s="3" t="n">
        <v>627</v>
      </c>
      <c r="B628" s="3" t="inlineStr">
        <is>
          <t>Desember 2025</t>
        </is>
      </c>
      <c r="C628" s="3">
        <f>'Data Aset'!B630</f>
        <v/>
      </c>
      <c r="D628" s="3">
        <f>'Data Aset'!F630</f>
        <v/>
      </c>
      <c r="E628" s="3" t="inlineStr">
        <is>
          <t>Inventaris Ruangan</t>
        </is>
      </c>
      <c r="F628" s="3">
        <f>'Data Aset'!C630</f>
        <v/>
      </c>
      <c r="G628" s="3">
        <f>'Data Aset'!J630</f>
        <v/>
      </c>
      <c r="H628" s="5">
        <f>'Data Aset'!M630</f>
        <v/>
      </c>
      <c r="I628" s="3">
        <f>'Data Aset'!O630</f>
        <v/>
      </c>
      <c r="J628" s="5" t="n">
        <v>0</v>
      </c>
      <c r="K628" s="3" t="inlineStr">
        <is>
          <t>Garis Lurus</t>
        </is>
      </c>
      <c r="L628" s="5">
        <f>IFERROR(M628/12,"")</f>
        <v/>
      </c>
      <c r="M628" s="5">
        <f>IFERROR((H628-J628)/I628,"")</f>
        <v/>
      </c>
      <c r="N628" s="5">
        <f>IFERROR(M628,"")</f>
        <v/>
      </c>
      <c r="O628" s="5">
        <f>IFERROR(H628-N628,"")</f>
        <v/>
      </c>
      <c r="P628" s="3" t="inlineStr">
        <is>
          <t>Belum dihitung</t>
        </is>
      </c>
      <c r="Q628" s="3" t="n"/>
    </row>
    <row r="629">
      <c r="A629" s="3" t="n">
        <v>628</v>
      </c>
      <c r="B629" s="3" t="inlineStr">
        <is>
          <t>Desember 2025</t>
        </is>
      </c>
      <c r="C629" s="3">
        <f>'Data Aset'!B631</f>
        <v/>
      </c>
      <c r="D629" s="3">
        <f>'Data Aset'!F631</f>
        <v/>
      </c>
      <c r="E629" s="3" t="inlineStr">
        <is>
          <t>Inventaris Ruangan</t>
        </is>
      </c>
      <c r="F629" s="3">
        <f>'Data Aset'!C631</f>
        <v/>
      </c>
      <c r="G629" s="3">
        <f>'Data Aset'!J631</f>
        <v/>
      </c>
      <c r="H629" s="5">
        <f>'Data Aset'!M631</f>
        <v/>
      </c>
      <c r="I629" s="3">
        <f>'Data Aset'!O631</f>
        <v/>
      </c>
      <c r="J629" s="5" t="n">
        <v>0</v>
      </c>
      <c r="K629" s="3" t="inlineStr">
        <is>
          <t>Garis Lurus</t>
        </is>
      </c>
      <c r="L629" s="5">
        <f>IFERROR(M629/12,"")</f>
        <v/>
      </c>
      <c r="M629" s="5">
        <f>IFERROR((H629-J629)/I629,"")</f>
        <v/>
      </c>
      <c r="N629" s="5">
        <f>IFERROR(M629,"")</f>
        <v/>
      </c>
      <c r="O629" s="5">
        <f>IFERROR(H629-N629,"")</f>
        <v/>
      </c>
      <c r="P629" s="3" t="inlineStr">
        <is>
          <t>Belum dihitung</t>
        </is>
      </c>
      <c r="Q629" s="3" t="n"/>
    </row>
    <row r="630">
      <c r="A630" s="3" t="n">
        <v>629</v>
      </c>
      <c r="B630" s="3" t="inlineStr">
        <is>
          <t>Desember 2025</t>
        </is>
      </c>
      <c r="C630" s="3">
        <f>'Data Aset'!B632</f>
        <v/>
      </c>
      <c r="D630" s="3">
        <f>'Data Aset'!F632</f>
        <v/>
      </c>
      <c r="E630" s="3" t="inlineStr">
        <is>
          <t>Inventaris Ruangan</t>
        </is>
      </c>
      <c r="F630" s="3">
        <f>'Data Aset'!C632</f>
        <v/>
      </c>
      <c r="G630" s="3">
        <f>'Data Aset'!J632</f>
        <v/>
      </c>
      <c r="H630" s="5">
        <f>'Data Aset'!M632</f>
        <v/>
      </c>
      <c r="I630" s="3">
        <f>'Data Aset'!O632</f>
        <v/>
      </c>
      <c r="J630" s="5" t="n">
        <v>0</v>
      </c>
      <c r="K630" s="3" t="inlineStr">
        <is>
          <t>Garis Lurus</t>
        </is>
      </c>
      <c r="L630" s="5">
        <f>IFERROR(M630/12,"")</f>
        <v/>
      </c>
      <c r="M630" s="5">
        <f>IFERROR((H630-J630)/I630,"")</f>
        <v/>
      </c>
      <c r="N630" s="5">
        <f>IFERROR(M630,"")</f>
        <v/>
      </c>
      <c r="O630" s="5">
        <f>IFERROR(H630-N630,"")</f>
        <v/>
      </c>
      <c r="P630" s="3" t="inlineStr">
        <is>
          <t>Belum dihitung</t>
        </is>
      </c>
      <c r="Q630" s="3" t="n"/>
    </row>
    <row r="631">
      <c r="A631" s="3" t="n">
        <v>630</v>
      </c>
      <c r="B631" s="3" t="inlineStr">
        <is>
          <t>Desember 2025</t>
        </is>
      </c>
      <c r="C631" s="3">
        <f>'Data Aset'!B633</f>
        <v/>
      </c>
      <c r="D631" s="3">
        <f>'Data Aset'!F633</f>
        <v/>
      </c>
      <c r="E631" s="3" t="inlineStr">
        <is>
          <t>Inventaris Ruangan</t>
        </is>
      </c>
      <c r="F631" s="3">
        <f>'Data Aset'!C633</f>
        <v/>
      </c>
      <c r="G631" s="3">
        <f>'Data Aset'!J633</f>
        <v/>
      </c>
      <c r="H631" s="5">
        <f>'Data Aset'!M633</f>
        <v/>
      </c>
      <c r="I631" s="3">
        <f>'Data Aset'!O633</f>
        <v/>
      </c>
      <c r="J631" s="5" t="n">
        <v>0</v>
      </c>
      <c r="K631" s="3" t="inlineStr">
        <is>
          <t>Garis Lurus</t>
        </is>
      </c>
      <c r="L631" s="5">
        <f>IFERROR(M631/12,"")</f>
        <v/>
      </c>
      <c r="M631" s="5">
        <f>IFERROR((H631-J631)/I631,"")</f>
        <v/>
      </c>
      <c r="N631" s="5">
        <f>IFERROR(M631,"")</f>
        <v/>
      </c>
      <c r="O631" s="5">
        <f>IFERROR(H631-N631,"")</f>
        <v/>
      </c>
      <c r="P631" s="3" t="inlineStr">
        <is>
          <t>Belum dihitung</t>
        </is>
      </c>
      <c r="Q631" s="3" t="n"/>
    </row>
    <row r="632">
      <c r="A632" s="3" t="n">
        <v>631</v>
      </c>
      <c r="B632" s="3" t="inlineStr">
        <is>
          <t>Desember 2025</t>
        </is>
      </c>
      <c r="C632" s="3">
        <f>'Data Aset'!B634</f>
        <v/>
      </c>
      <c r="D632" s="3">
        <f>'Data Aset'!F634</f>
        <v/>
      </c>
      <c r="E632" s="3" t="inlineStr">
        <is>
          <t>Inventaris Ruangan</t>
        </is>
      </c>
      <c r="F632" s="3">
        <f>'Data Aset'!C634</f>
        <v/>
      </c>
      <c r="G632" s="3">
        <f>'Data Aset'!J634</f>
        <v/>
      </c>
      <c r="H632" s="5">
        <f>'Data Aset'!M634</f>
        <v/>
      </c>
      <c r="I632" s="3">
        <f>'Data Aset'!O634</f>
        <v/>
      </c>
      <c r="J632" s="5" t="n">
        <v>0</v>
      </c>
      <c r="K632" s="3" t="inlineStr">
        <is>
          <t>Garis Lurus</t>
        </is>
      </c>
      <c r="L632" s="5">
        <f>IFERROR(M632/12,"")</f>
        <v/>
      </c>
      <c r="M632" s="5">
        <f>IFERROR((H632-J632)/I632,"")</f>
        <v/>
      </c>
      <c r="N632" s="5">
        <f>IFERROR(M632,"")</f>
        <v/>
      </c>
      <c r="O632" s="5">
        <f>IFERROR(H632-N632,"")</f>
        <v/>
      </c>
      <c r="P632" s="3" t="inlineStr">
        <is>
          <t>Belum dihitung</t>
        </is>
      </c>
      <c r="Q632" s="3" t="n"/>
    </row>
    <row r="633">
      <c r="A633" s="3" t="n">
        <v>632</v>
      </c>
      <c r="B633" s="3" t="inlineStr">
        <is>
          <t>Desember 2025</t>
        </is>
      </c>
      <c r="C633" s="3">
        <f>'Data Aset'!B635</f>
        <v/>
      </c>
      <c r="D633" s="3">
        <f>'Data Aset'!F635</f>
        <v/>
      </c>
      <c r="E633" s="3" t="inlineStr">
        <is>
          <t>Inventaris Ruangan</t>
        </is>
      </c>
      <c r="F633" s="3">
        <f>'Data Aset'!C635</f>
        <v/>
      </c>
      <c r="G633" s="3">
        <f>'Data Aset'!J635</f>
        <v/>
      </c>
      <c r="H633" s="5">
        <f>'Data Aset'!M635</f>
        <v/>
      </c>
      <c r="I633" s="3">
        <f>'Data Aset'!O635</f>
        <v/>
      </c>
      <c r="J633" s="5" t="n">
        <v>0</v>
      </c>
      <c r="K633" s="3" t="inlineStr">
        <is>
          <t>Garis Lurus</t>
        </is>
      </c>
      <c r="L633" s="5">
        <f>IFERROR(M633/12,"")</f>
        <v/>
      </c>
      <c r="M633" s="5">
        <f>IFERROR((H633-J633)/I633,"")</f>
        <v/>
      </c>
      <c r="N633" s="5">
        <f>IFERROR(M633,"")</f>
        <v/>
      </c>
      <c r="O633" s="5">
        <f>IFERROR(H633-N633,"")</f>
        <v/>
      </c>
      <c r="P633" s="3" t="inlineStr">
        <is>
          <t>Belum dihitung</t>
        </is>
      </c>
      <c r="Q633" s="3" t="n"/>
    </row>
    <row r="634">
      <c r="A634" s="3" t="n">
        <v>633</v>
      </c>
      <c r="B634" s="3" t="inlineStr">
        <is>
          <t>Desember 2025</t>
        </is>
      </c>
      <c r="C634" s="3">
        <f>'Data Aset'!B636</f>
        <v/>
      </c>
      <c r="D634" s="3">
        <f>'Data Aset'!F636</f>
        <v/>
      </c>
      <c r="E634" s="3" t="inlineStr">
        <is>
          <t>Inventaris Ruangan</t>
        </is>
      </c>
      <c r="F634" s="3">
        <f>'Data Aset'!C636</f>
        <v/>
      </c>
      <c r="G634" s="3">
        <f>'Data Aset'!J636</f>
        <v/>
      </c>
      <c r="H634" s="5">
        <f>'Data Aset'!M636</f>
        <v/>
      </c>
      <c r="I634" s="3">
        <f>'Data Aset'!O636</f>
        <v/>
      </c>
      <c r="J634" s="5" t="n">
        <v>0</v>
      </c>
      <c r="K634" s="3" t="inlineStr">
        <is>
          <t>Garis Lurus</t>
        </is>
      </c>
      <c r="L634" s="5">
        <f>IFERROR(M634/12,"")</f>
        <v/>
      </c>
      <c r="M634" s="5">
        <f>IFERROR((H634-J634)/I634,"")</f>
        <v/>
      </c>
      <c r="N634" s="5">
        <f>IFERROR(M634,"")</f>
        <v/>
      </c>
      <c r="O634" s="5">
        <f>IFERROR(H634-N634,"")</f>
        <v/>
      </c>
      <c r="P634" s="3" t="inlineStr">
        <is>
          <t>Belum dihitung</t>
        </is>
      </c>
      <c r="Q634" s="3" t="n"/>
    </row>
    <row r="635">
      <c r="A635" s="3" t="n">
        <v>634</v>
      </c>
      <c r="B635" s="3" t="inlineStr">
        <is>
          <t>Desember 2025</t>
        </is>
      </c>
      <c r="C635" s="3">
        <f>'Data Aset'!B637</f>
        <v/>
      </c>
      <c r="D635" s="3">
        <f>'Data Aset'!F637</f>
        <v/>
      </c>
      <c r="E635" s="3" t="inlineStr">
        <is>
          <t>Inventaris Ruangan</t>
        </is>
      </c>
      <c r="F635" s="3">
        <f>'Data Aset'!C637</f>
        <v/>
      </c>
      <c r="G635" s="3">
        <f>'Data Aset'!J637</f>
        <v/>
      </c>
      <c r="H635" s="5">
        <f>'Data Aset'!M637</f>
        <v/>
      </c>
      <c r="I635" s="3">
        <f>'Data Aset'!O637</f>
        <v/>
      </c>
      <c r="J635" s="5" t="n">
        <v>0</v>
      </c>
      <c r="K635" s="3" t="inlineStr">
        <is>
          <t>Garis Lurus</t>
        </is>
      </c>
      <c r="L635" s="5">
        <f>IFERROR(M635/12,"")</f>
        <v/>
      </c>
      <c r="M635" s="5">
        <f>IFERROR((H635-J635)/I635,"")</f>
        <v/>
      </c>
      <c r="N635" s="5">
        <f>IFERROR(M635,"")</f>
        <v/>
      </c>
      <c r="O635" s="5">
        <f>IFERROR(H635-N635,"")</f>
        <v/>
      </c>
      <c r="P635" s="3" t="inlineStr">
        <is>
          <t>Belum dihitung</t>
        </is>
      </c>
      <c r="Q635" s="3" t="n"/>
    </row>
    <row r="636">
      <c r="A636" s="3" t="n">
        <v>635</v>
      </c>
      <c r="B636" s="3" t="inlineStr">
        <is>
          <t>Desember 2025</t>
        </is>
      </c>
      <c r="C636" s="3">
        <f>'Data Aset'!B638</f>
        <v/>
      </c>
      <c r="D636" s="3">
        <f>'Data Aset'!F638</f>
        <v/>
      </c>
      <c r="E636" s="3" t="inlineStr">
        <is>
          <t>Inventaris Ruangan</t>
        </is>
      </c>
      <c r="F636" s="3">
        <f>'Data Aset'!C638</f>
        <v/>
      </c>
      <c r="G636" s="3">
        <f>'Data Aset'!J638</f>
        <v/>
      </c>
      <c r="H636" s="5">
        <f>'Data Aset'!M638</f>
        <v/>
      </c>
      <c r="I636" s="3">
        <f>'Data Aset'!O638</f>
        <v/>
      </c>
      <c r="J636" s="5" t="n">
        <v>0</v>
      </c>
      <c r="K636" s="3" t="inlineStr">
        <is>
          <t>Garis Lurus</t>
        </is>
      </c>
      <c r="L636" s="5">
        <f>IFERROR(M636/12,"")</f>
        <v/>
      </c>
      <c r="M636" s="5">
        <f>IFERROR((H636-J636)/I636,"")</f>
        <v/>
      </c>
      <c r="N636" s="5">
        <f>IFERROR(M636,"")</f>
        <v/>
      </c>
      <c r="O636" s="5">
        <f>IFERROR(H636-N636,"")</f>
        <v/>
      </c>
      <c r="P636" s="3" t="inlineStr">
        <is>
          <t>Belum dihitung</t>
        </is>
      </c>
      <c r="Q636" s="3" t="n"/>
    </row>
    <row r="637">
      <c r="A637" s="3" t="n">
        <v>636</v>
      </c>
      <c r="B637" s="3" t="inlineStr">
        <is>
          <t>Desember 2025</t>
        </is>
      </c>
      <c r="C637" s="3">
        <f>'Data Aset'!B639</f>
        <v/>
      </c>
      <c r="D637" s="3">
        <f>'Data Aset'!F639</f>
        <v/>
      </c>
      <c r="E637" s="3" t="inlineStr">
        <is>
          <t>Inventaris Ruangan</t>
        </is>
      </c>
      <c r="F637" s="3">
        <f>'Data Aset'!C639</f>
        <v/>
      </c>
      <c r="G637" s="3">
        <f>'Data Aset'!J639</f>
        <v/>
      </c>
      <c r="H637" s="5">
        <f>'Data Aset'!M639</f>
        <v/>
      </c>
      <c r="I637" s="3">
        <f>'Data Aset'!O639</f>
        <v/>
      </c>
      <c r="J637" s="5" t="n">
        <v>0</v>
      </c>
      <c r="K637" s="3" t="inlineStr">
        <is>
          <t>Garis Lurus</t>
        </is>
      </c>
      <c r="L637" s="5">
        <f>IFERROR(M637/12,"")</f>
        <v/>
      </c>
      <c r="M637" s="5">
        <f>IFERROR((H637-J637)/I637,"")</f>
        <v/>
      </c>
      <c r="N637" s="5">
        <f>IFERROR(M637,"")</f>
        <v/>
      </c>
      <c r="O637" s="5">
        <f>IFERROR(H637-N637,"")</f>
        <v/>
      </c>
      <c r="P637" s="3" t="inlineStr">
        <is>
          <t>Belum dihitung</t>
        </is>
      </c>
      <c r="Q637" s="3" t="n"/>
    </row>
    <row r="638">
      <c r="A638" s="3" t="n">
        <v>637</v>
      </c>
      <c r="B638" s="3" t="inlineStr">
        <is>
          <t>Desember 2025</t>
        </is>
      </c>
      <c r="C638" s="3">
        <f>'Data Aset'!B640</f>
        <v/>
      </c>
      <c r="D638" s="3">
        <f>'Data Aset'!F640</f>
        <v/>
      </c>
      <c r="E638" s="3" t="inlineStr">
        <is>
          <t>Inventaris Ruangan</t>
        </is>
      </c>
      <c r="F638" s="3">
        <f>'Data Aset'!C640</f>
        <v/>
      </c>
      <c r="G638" s="3">
        <f>'Data Aset'!J640</f>
        <v/>
      </c>
      <c r="H638" s="5">
        <f>'Data Aset'!M640</f>
        <v/>
      </c>
      <c r="I638" s="3">
        <f>'Data Aset'!O640</f>
        <v/>
      </c>
      <c r="J638" s="5" t="n">
        <v>0</v>
      </c>
      <c r="K638" s="3" t="inlineStr">
        <is>
          <t>Garis Lurus</t>
        </is>
      </c>
      <c r="L638" s="5">
        <f>IFERROR(M638/12,"")</f>
        <v/>
      </c>
      <c r="M638" s="5">
        <f>IFERROR((H638-J638)/I638,"")</f>
        <v/>
      </c>
      <c r="N638" s="5">
        <f>IFERROR(M638,"")</f>
        <v/>
      </c>
      <c r="O638" s="5">
        <f>IFERROR(H638-N638,"")</f>
        <v/>
      </c>
      <c r="P638" s="3" t="inlineStr">
        <is>
          <t>Belum dihitung</t>
        </is>
      </c>
      <c r="Q638" s="3" t="n"/>
    </row>
    <row r="639">
      <c r="A639" s="3" t="n">
        <v>638</v>
      </c>
      <c r="B639" s="3" t="inlineStr">
        <is>
          <t>Desember 2025</t>
        </is>
      </c>
      <c r="C639" s="3">
        <f>'Data Aset'!B641</f>
        <v/>
      </c>
      <c r="D639" s="3">
        <f>'Data Aset'!F641</f>
        <v/>
      </c>
      <c r="E639" s="3" t="inlineStr">
        <is>
          <t>Inventaris Ruangan</t>
        </is>
      </c>
      <c r="F639" s="3">
        <f>'Data Aset'!C641</f>
        <v/>
      </c>
      <c r="G639" s="3">
        <f>'Data Aset'!J641</f>
        <v/>
      </c>
      <c r="H639" s="5">
        <f>'Data Aset'!M641</f>
        <v/>
      </c>
      <c r="I639" s="3">
        <f>'Data Aset'!O641</f>
        <v/>
      </c>
      <c r="J639" s="5" t="n">
        <v>0</v>
      </c>
      <c r="K639" s="3" t="inlineStr">
        <is>
          <t>Garis Lurus</t>
        </is>
      </c>
      <c r="L639" s="5">
        <f>IFERROR(M639/12,"")</f>
        <v/>
      </c>
      <c r="M639" s="5">
        <f>IFERROR((H639-J639)/I639,"")</f>
        <v/>
      </c>
      <c r="N639" s="5">
        <f>IFERROR(M639,"")</f>
        <v/>
      </c>
      <c r="O639" s="5">
        <f>IFERROR(H639-N639,"")</f>
        <v/>
      </c>
      <c r="P639" s="3" t="inlineStr">
        <is>
          <t>Belum dihitung</t>
        </is>
      </c>
      <c r="Q639" s="3" t="n"/>
    </row>
    <row r="640">
      <c r="A640" s="3" t="n">
        <v>639</v>
      </c>
      <c r="B640" s="3" t="inlineStr">
        <is>
          <t>Desember 2025</t>
        </is>
      </c>
      <c r="C640" s="3">
        <f>'Data Aset'!B642</f>
        <v/>
      </c>
      <c r="D640" s="3">
        <f>'Data Aset'!F642</f>
        <v/>
      </c>
      <c r="E640" s="3" t="inlineStr">
        <is>
          <t>Inventaris Ruangan</t>
        </is>
      </c>
      <c r="F640" s="3">
        <f>'Data Aset'!C642</f>
        <v/>
      </c>
      <c r="G640" s="3">
        <f>'Data Aset'!J642</f>
        <v/>
      </c>
      <c r="H640" s="5">
        <f>'Data Aset'!M642</f>
        <v/>
      </c>
      <c r="I640" s="3">
        <f>'Data Aset'!O642</f>
        <v/>
      </c>
      <c r="J640" s="5" t="n">
        <v>0</v>
      </c>
      <c r="K640" s="3" t="inlineStr">
        <is>
          <t>Garis Lurus</t>
        </is>
      </c>
      <c r="L640" s="5">
        <f>IFERROR(M640/12,"")</f>
        <v/>
      </c>
      <c r="M640" s="5">
        <f>IFERROR((H640-J640)/I640,"")</f>
        <v/>
      </c>
      <c r="N640" s="5">
        <f>IFERROR(M640,"")</f>
        <v/>
      </c>
      <c r="O640" s="5">
        <f>IFERROR(H640-N640,"")</f>
        <v/>
      </c>
      <c r="P640" s="3" t="inlineStr">
        <is>
          <t>Belum dihitung</t>
        </is>
      </c>
      <c r="Q640" s="3" t="n"/>
    </row>
    <row r="641">
      <c r="A641" s="3" t="n">
        <v>640</v>
      </c>
      <c r="B641" s="3" t="inlineStr">
        <is>
          <t>Desember 2025</t>
        </is>
      </c>
      <c r="C641" s="3">
        <f>'Data Aset'!B643</f>
        <v/>
      </c>
      <c r="D641" s="3">
        <f>'Data Aset'!F643</f>
        <v/>
      </c>
      <c r="E641" s="3" t="inlineStr">
        <is>
          <t>Inventaris Ruangan</t>
        </is>
      </c>
      <c r="F641" s="3">
        <f>'Data Aset'!C643</f>
        <v/>
      </c>
      <c r="G641" s="3">
        <f>'Data Aset'!J643</f>
        <v/>
      </c>
      <c r="H641" s="5">
        <f>'Data Aset'!M643</f>
        <v/>
      </c>
      <c r="I641" s="3">
        <f>'Data Aset'!O643</f>
        <v/>
      </c>
      <c r="J641" s="5" t="n">
        <v>0</v>
      </c>
      <c r="K641" s="3" t="inlineStr">
        <is>
          <t>Garis Lurus</t>
        </is>
      </c>
      <c r="L641" s="5">
        <f>IFERROR(M641/12,"")</f>
        <v/>
      </c>
      <c r="M641" s="5">
        <f>IFERROR((H641-J641)/I641,"")</f>
        <v/>
      </c>
      <c r="N641" s="5">
        <f>IFERROR(M641,"")</f>
        <v/>
      </c>
      <c r="O641" s="5">
        <f>IFERROR(H641-N641,"")</f>
        <v/>
      </c>
      <c r="P641" s="3" t="inlineStr">
        <is>
          <t>Belum dihitung</t>
        </is>
      </c>
      <c r="Q641" s="3" t="n"/>
    </row>
    <row r="642">
      <c r="A642" s="3" t="n">
        <v>641</v>
      </c>
      <c r="B642" s="3" t="inlineStr">
        <is>
          <t>Desember 2025</t>
        </is>
      </c>
      <c r="C642" s="3">
        <f>'Data Aset'!B644</f>
        <v/>
      </c>
      <c r="D642" s="3">
        <f>'Data Aset'!F644</f>
        <v/>
      </c>
      <c r="E642" s="3" t="inlineStr">
        <is>
          <t>Inventaris Ruangan</t>
        </is>
      </c>
      <c r="F642" s="3">
        <f>'Data Aset'!C644</f>
        <v/>
      </c>
      <c r="G642" s="3">
        <f>'Data Aset'!J644</f>
        <v/>
      </c>
      <c r="H642" s="5">
        <f>'Data Aset'!M644</f>
        <v/>
      </c>
      <c r="I642" s="3">
        <f>'Data Aset'!O644</f>
        <v/>
      </c>
      <c r="J642" s="5" t="n">
        <v>0</v>
      </c>
      <c r="K642" s="3" t="inlineStr">
        <is>
          <t>Garis Lurus</t>
        </is>
      </c>
      <c r="L642" s="5">
        <f>IFERROR(M642/12,"")</f>
        <v/>
      </c>
      <c r="M642" s="5">
        <f>IFERROR((H642-J642)/I642,"")</f>
        <v/>
      </c>
      <c r="N642" s="5">
        <f>IFERROR(M642,"")</f>
        <v/>
      </c>
      <c r="O642" s="5">
        <f>IFERROR(H642-N642,"")</f>
        <v/>
      </c>
      <c r="P642" s="3" t="inlineStr">
        <is>
          <t>Belum dihitung</t>
        </is>
      </c>
      <c r="Q642" s="3" t="n"/>
    </row>
    <row r="643">
      <c r="A643" s="3" t="n">
        <v>642</v>
      </c>
      <c r="B643" s="3" t="inlineStr">
        <is>
          <t>Desember 2025</t>
        </is>
      </c>
      <c r="C643" s="3">
        <f>'Data Aset'!B645</f>
        <v/>
      </c>
      <c r="D643" s="3">
        <f>'Data Aset'!F645</f>
        <v/>
      </c>
      <c r="E643" s="3" t="inlineStr">
        <is>
          <t>Inventaris Ruangan</t>
        </is>
      </c>
      <c r="F643" s="3">
        <f>'Data Aset'!C645</f>
        <v/>
      </c>
      <c r="G643" s="3">
        <f>'Data Aset'!J645</f>
        <v/>
      </c>
      <c r="H643" s="5">
        <f>'Data Aset'!M645</f>
        <v/>
      </c>
      <c r="I643" s="3">
        <f>'Data Aset'!O645</f>
        <v/>
      </c>
      <c r="J643" s="5" t="n">
        <v>0</v>
      </c>
      <c r="K643" s="3" t="inlineStr">
        <is>
          <t>Garis Lurus</t>
        </is>
      </c>
      <c r="L643" s="5">
        <f>IFERROR(M643/12,"")</f>
        <v/>
      </c>
      <c r="M643" s="5">
        <f>IFERROR((H643-J643)/I643,"")</f>
        <v/>
      </c>
      <c r="N643" s="5">
        <f>IFERROR(M643,"")</f>
        <v/>
      </c>
      <c r="O643" s="5">
        <f>IFERROR(H643-N643,"")</f>
        <v/>
      </c>
      <c r="P643" s="3" t="inlineStr">
        <is>
          <t>Belum dihitung</t>
        </is>
      </c>
      <c r="Q643" s="3" t="n"/>
    </row>
    <row r="644">
      <c r="A644" s="3" t="n">
        <v>643</v>
      </c>
      <c r="B644" s="3" t="inlineStr">
        <is>
          <t>Desember 2025</t>
        </is>
      </c>
      <c r="C644" s="3">
        <f>'Data Aset'!B646</f>
        <v/>
      </c>
      <c r="D644" s="3">
        <f>'Data Aset'!F646</f>
        <v/>
      </c>
      <c r="E644" s="3" t="inlineStr">
        <is>
          <t>Inventaris Ruangan</t>
        </is>
      </c>
      <c r="F644" s="3">
        <f>'Data Aset'!C646</f>
        <v/>
      </c>
      <c r="G644" s="3">
        <f>'Data Aset'!J646</f>
        <v/>
      </c>
      <c r="H644" s="5">
        <f>'Data Aset'!M646</f>
        <v/>
      </c>
      <c r="I644" s="3">
        <f>'Data Aset'!O646</f>
        <v/>
      </c>
      <c r="J644" s="5" t="n">
        <v>0</v>
      </c>
      <c r="K644" s="3" t="inlineStr">
        <is>
          <t>Garis Lurus</t>
        </is>
      </c>
      <c r="L644" s="5">
        <f>IFERROR(M644/12,"")</f>
        <v/>
      </c>
      <c r="M644" s="5">
        <f>IFERROR((H644-J644)/I644,"")</f>
        <v/>
      </c>
      <c r="N644" s="5">
        <f>IFERROR(M644,"")</f>
        <v/>
      </c>
      <c r="O644" s="5">
        <f>IFERROR(H644-N644,"")</f>
        <v/>
      </c>
      <c r="P644" s="3" t="inlineStr">
        <is>
          <t>Belum dihitung</t>
        </is>
      </c>
      <c r="Q644" s="3" t="n"/>
    </row>
    <row r="645">
      <c r="A645" s="3" t="n">
        <v>644</v>
      </c>
      <c r="B645" s="3" t="inlineStr">
        <is>
          <t>Desember 2025</t>
        </is>
      </c>
      <c r="C645" s="3">
        <f>'Data Aset'!B647</f>
        <v/>
      </c>
      <c r="D645" s="3">
        <f>'Data Aset'!F647</f>
        <v/>
      </c>
      <c r="E645" s="3" t="inlineStr">
        <is>
          <t>Inventaris Ruangan</t>
        </is>
      </c>
      <c r="F645" s="3">
        <f>'Data Aset'!C647</f>
        <v/>
      </c>
      <c r="G645" s="3">
        <f>'Data Aset'!J647</f>
        <v/>
      </c>
      <c r="H645" s="5">
        <f>'Data Aset'!M647</f>
        <v/>
      </c>
      <c r="I645" s="3">
        <f>'Data Aset'!O647</f>
        <v/>
      </c>
      <c r="J645" s="5" t="n">
        <v>0</v>
      </c>
      <c r="K645" s="3" t="inlineStr">
        <is>
          <t>Garis Lurus</t>
        </is>
      </c>
      <c r="L645" s="5">
        <f>IFERROR(M645/12,"")</f>
        <v/>
      </c>
      <c r="M645" s="5">
        <f>IFERROR((H645-J645)/I645,"")</f>
        <v/>
      </c>
      <c r="N645" s="5">
        <f>IFERROR(M645,"")</f>
        <v/>
      </c>
      <c r="O645" s="5">
        <f>IFERROR(H645-N645,"")</f>
        <v/>
      </c>
      <c r="P645" s="3" t="inlineStr">
        <is>
          <t>Belum dihitung</t>
        </is>
      </c>
      <c r="Q645" s="3" t="n"/>
    </row>
    <row r="646">
      <c r="A646" s="3" t="n">
        <v>645</v>
      </c>
      <c r="B646" s="3" t="inlineStr">
        <is>
          <t>Desember 2025</t>
        </is>
      </c>
      <c r="C646" s="3">
        <f>'Data Aset'!B648</f>
        <v/>
      </c>
      <c r="D646" s="3">
        <f>'Data Aset'!F648</f>
        <v/>
      </c>
      <c r="E646" s="3" t="inlineStr">
        <is>
          <t>Inventaris Ruangan</t>
        </is>
      </c>
      <c r="F646" s="3">
        <f>'Data Aset'!C648</f>
        <v/>
      </c>
      <c r="G646" s="3">
        <f>'Data Aset'!J648</f>
        <v/>
      </c>
      <c r="H646" s="5">
        <f>'Data Aset'!M648</f>
        <v/>
      </c>
      <c r="I646" s="3">
        <f>'Data Aset'!O648</f>
        <v/>
      </c>
      <c r="J646" s="5" t="n">
        <v>0</v>
      </c>
      <c r="K646" s="3" t="inlineStr">
        <is>
          <t>Garis Lurus</t>
        </is>
      </c>
      <c r="L646" s="5">
        <f>IFERROR(M646/12,"")</f>
        <v/>
      </c>
      <c r="M646" s="5">
        <f>IFERROR((H646-J646)/I646,"")</f>
        <v/>
      </c>
      <c r="N646" s="5">
        <f>IFERROR(M646,"")</f>
        <v/>
      </c>
      <c r="O646" s="5">
        <f>IFERROR(H646-N646,"")</f>
        <v/>
      </c>
      <c r="P646" s="3" t="inlineStr">
        <is>
          <t>Belum dihitung</t>
        </is>
      </c>
      <c r="Q646" s="3" t="n"/>
    </row>
    <row r="647">
      <c r="A647" s="3" t="n">
        <v>646</v>
      </c>
      <c r="B647" s="3" t="inlineStr">
        <is>
          <t>Desember 2025</t>
        </is>
      </c>
      <c r="C647" s="3">
        <f>'Data Aset'!B649</f>
        <v/>
      </c>
      <c r="D647" s="3">
        <f>'Data Aset'!F649</f>
        <v/>
      </c>
      <c r="E647" s="3" t="inlineStr">
        <is>
          <t>Inventaris Ruangan</t>
        </is>
      </c>
      <c r="F647" s="3">
        <f>'Data Aset'!C649</f>
        <v/>
      </c>
      <c r="G647" s="3">
        <f>'Data Aset'!J649</f>
        <v/>
      </c>
      <c r="H647" s="5">
        <f>'Data Aset'!M649</f>
        <v/>
      </c>
      <c r="I647" s="3">
        <f>'Data Aset'!O649</f>
        <v/>
      </c>
      <c r="J647" s="5" t="n">
        <v>0</v>
      </c>
      <c r="K647" s="3" t="inlineStr">
        <is>
          <t>Garis Lurus</t>
        </is>
      </c>
      <c r="L647" s="5">
        <f>IFERROR(M647/12,"")</f>
        <v/>
      </c>
      <c r="M647" s="5">
        <f>IFERROR((H647-J647)/I647,"")</f>
        <v/>
      </c>
      <c r="N647" s="5">
        <f>IFERROR(M647,"")</f>
        <v/>
      </c>
      <c r="O647" s="5">
        <f>IFERROR(H647-N647,"")</f>
        <v/>
      </c>
      <c r="P647" s="3" t="inlineStr">
        <is>
          <t>Belum dihitung</t>
        </is>
      </c>
      <c r="Q647" s="3" t="n"/>
    </row>
    <row r="648">
      <c r="A648" s="3" t="n">
        <v>647</v>
      </c>
      <c r="B648" s="3" t="inlineStr">
        <is>
          <t>Desember 2025</t>
        </is>
      </c>
      <c r="C648" s="3">
        <f>'Data Aset'!B650</f>
        <v/>
      </c>
      <c r="D648" s="3">
        <f>'Data Aset'!F650</f>
        <v/>
      </c>
      <c r="E648" s="3" t="inlineStr">
        <is>
          <t>Inventaris Ruangan</t>
        </is>
      </c>
      <c r="F648" s="3">
        <f>'Data Aset'!C650</f>
        <v/>
      </c>
      <c r="G648" s="3">
        <f>'Data Aset'!J650</f>
        <v/>
      </c>
      <c r="H648" s="5">
        <f>'Data Aset'!M650</f>
        <v/>
      </c>
      <c r="I648" s="3">
        <f>'Data Aset'!O650</f>
        <v/>
      </c>
      <c r="J648" s="5" t="n">
        <v>0</v>
      </c>
      <c r="K648" s="3" t="inlineStr">
        <is>
          <t>Garis Lurus</t>
        </is>
      </c>
      <c r="L648" s="5">
        <f>IFERROR(M648/12,"")</f>
        <v/>
      </c>
      <c r="M648" s="5">
        <f>IFERROR((H648-J648)/I648,"")</f>
        <v/>
      </c>
      <c r="N648" s="5">
        <f>IFERROR(M648,"")</f>
        <v/>
      </c>
      <c r="O648" s="5">
        <f>IFERROR(H648-N648,"")</f>
        <v/>
      </c>
      <c r="P648" s="3" t="inlineStr">
        <is>
          <t>Belum dihitung</t>
        </is>
      </c>
      <c r="Q648" s="3" t="n"/>
    </row>
    <row r="649">
      <c r="A649" s="3" t="n">
        <v>648</v>
      </c>
      <c r="B649" s="3" t="inlineStr">
        <is>
          <t>Desember 2025</t>
        </is>
      </c>
      <c r="C649" s="3">
        <f>'Data Aset'!B651</f>
        <v/>
      </c>
      <c r="D649" s="3">
        <f>'Data Aset'!F651</f>
        <v/>
      </c>
      <c r="E649" s="3" t="inlineStr">
        <is>
          <t>Inventaris Ruangan</t>
        </is>
      </c>
      <c r="F649" s="3">
        <f>'Data Aset'!C651</f>
        <v/>
      </c>
      <c r="G649" s="3">
        <f>'Data Aset'!J651</f>
        <v/>
      </c>
      <c r="H649" s="5">
        <f>'Data Aset'!M651</f>
        <v/>
      </c>
      <c r="I649" s="3">
        <f>'Data Aset'!O651</f>
        <v/>
      </c>
      <c r="J649" s="5" t="n">
        <v>0</v>
      </c>
      <c r="K649" s="3" t="inlineStr">
        <is>
          <t>Garis Lurus</t>
        </is>
      </c>
      <c r="L649" s="5">
        <f>IFERROR(M649/12,"")</f>
        <v/>
      </c>
      <c r="M649" s="5">
        <f>IFERROR((H649-J649)/I649,"")</f>
        <v/>
      </c>
      <c r="N649" s="5">
        <f>IFERROR(M649,"")</f>
        <v/>
      </c>
      <c r="O649" s="5">
        <f>IFERROR(H649-N649,"")</f>
        <v/>
      </c>
      <c r="P649" s="3" t="inlineStr">
        <is>
          <t>Belum dihitung</t>
        </is>
      </c>
      <c r="Q649" s="3" t="n"/>
    </row>
    <row r="650">
      <c r="A650" s="3" t="n">
        <v>649</v>
      </c>
      <c r="B650" s="3" t="inlineStr">
        <is>
          <t>Desember 2025</t>
        </is>
      </c>
      <c r="C650" s="3">
        <f>'Data Aset'!B652</f>
        <v/>
      </c>
      <c r="D650" s="3">
        <f>'Data Aset'!F652</f>
        <v/>
      </c>
      <c r="E650" s="3" t="inlineStr">
        <is>
          <t>Inventaris Ruangan</t>
        </is>
      </c>
      <c r="F650" s="3">
        <f>'Data Aset'!C652</f>
        <v/>
      </c>
      <c r="G650" s="3">
        <f>'Data Aset'!J652</f>
        <v/>
      </c>
      <c r="H650" s="5">
        <f>'Data Aset'!M652</f>
        <v/>
      </c>
      <c r="I650" s="3">
        <f>'Data Aset'!O652</f>
        <v/>
      </c>
      <c r="J650" s="5" t="n">
        <v>0</v>
      </c>
      <c r="K650" s="3" t="inlineStr">
        <is>
          <t>Garis Lurus</t>
        </is>
      </c>
      <c r="L650" s="5">
        <f>IFERROR(M650/12,"")</f>
        <v/>
      </c>
      <c r="M650" s="5">
        <f>IFERROR((H650-J650)/I650,"")</f>
        <v/>
      </c>
      <c r="N650" s="5">
        <f>IFERROR(M650,"")</f>
        <v/>
      </c>
      <c r="O650" s="5">
        <f>IFERROR(H650-N650,"")</f>
        <v/>
      </c>
      <c r="P650" s="3" t="inlineStr">
        <is>
          <t>Belum dihitung</t>
        </is>
      </c>
      <c r="Q650" s="3" t="n"/>
    </row>
    <row r="651">
      <c r="A651" s="3" t="n">
        <v>650</v>
      </c>
      <c r="B651" s="3" t="inlineStr">
        <is>
          <t>Desember 2025</t>
        </is>
      </c>
      <c r="C651" s="3">
        <f>'Data Aset'!B653</f>
        <v/>
      </c>
      <c r="D651" s="3">
        <f>'Data Aset'!F653</f>
        <v/>
      </c>
      <c r="E651" s="3" t="inlineStr">
        <is>
          <t>Inventaris Ruangan</t>
        </is>
      </c>
      <c r="F651" s="3">
        <f>'Data Aset'!C653</f>
        <v/>
      </c>
      <c r="G651" s="3">
        <f>'Data Aset'!J653</f>
        <v/>
      </c>
      <c r="H651" s="5">
        <f>'Data Aset'!M653</f>
        <v/>
      </c>
      <c r="I651" s="3">
        <f>'Data Aset'!O653</f>
        <v/>
      </c>
      <c r="J651" s="5" t="n">
        <v>0</v>
      </c>
      <c r="K651" s="3" t="inlineStr">
        <is>
          <t>Garis Lurus</t>
        </is>
      </c>
      <c r="L651" s="5">
        <f>IFERROR(M651/12,"")</f>
        <v/>
      </c>
      <c r="M651" s="5">
        <f>IFERROR((H651-J651)/I651,"")</f>
        <v/>
      </c>
      <c r="N651" s="5">
        <f>IFERROR(M651,"")</f>
        <v/>
      </c>
      <c r="O651" s="5">
        <f>IFERROR(H651-N651,"")</f>
        <v/>
      </c>
      <c r="P651" s="3" t="inlineStr">
        <is>
          <t>Belum dihitung</t>
        </is>
      </c>
      <c r="Q651" s="3" t="n"/>
    </row>
    <row r="652">
      <c r="A652" s="3" t="n">
        <v>651</v>
      </c>
      <c r="B652" s="3" t="inlineStr">
        <is>
          <t>Desember 2025</t>
        </is>
      </c>
      <c r="C652" s="3">
        <f>'Data Aset'!B654</f>
        <v/>
      </c>
      <c r="D652" s="3">
        <f>'Data Aset'!F654</f>
        <v/>
      </c>
      <c r="E652" s="3" t="inlineStr">
        <is>
          <t>Inventaris Ruangan</t>
        </is>
      </c>
      <c r="F652" s="3">
        <f>'Data Aset'!C654</f>
        <v/>
      </c>
      <c r="G652" s="3">
        <f>'Data Aset'!J654</f>
        <v/>
      </c>
      <c r="H652" s="5">
        <f>'Data Aset'!M654</f>
        <v/>
      </c>
      <c r="I652" s="3">
        <f>'Data Aset'!O654</f>
        <v/>
      </c>
      <c r="J652" s="5" t="n">
        <v>0</v>
      </c>
      <c r="K652" s="3" t="inlineStr">
        <is>
          <t>Garis Lurus</t>
        </is>
      </c>
      <c r="L652" s="5">
        <f>IFERROR(M652/12,"")</f>
        <v/>
      </c>
      <c r="M652" s="5">
        <f>IFERROR((H652-J652)/I652,"")</f>
        <v/>
      </c>
      <c r="N652" s="5">
        <f>IFERROR(M652,"")</f>
        <v/>
      </c>
      <c r="O652" s="5">
        <f>IFERROR(H652-N652,"")</f>
        <v/>
      </c>
      <c r="P652" s="3" t="inlineStr">
        <is>
          <t>Belum dihitung</t>
        </is>
      </c>
      <c r="Q652" s="3" t="n"/>
    </row>
    <row r="653">
      <c r="A653" s="3" t="n">
        <v>652</v>
      </c>
      <c r="B653" s="3" t="inlineStr">
        <is>
          <t>Desember 2025</t>
        </is>
      </c>
      <c r="C653" s="3">
        <f>'Data Aset'!B655</f>
        <v/>
      </c>
      <c r="D653" s="3">
        <f>'Data Aset'!F655</f>
        <v/>
      </c>
      <c r="E653" s="3" t="inlineStr">
        <is>
          <t>Inventaris Ruangan</t>
        </is>
      </c>
      <c r="F653" s="3">
        <f>'Data Aset'!C655</f>
        <v/>
      </c>
      <c r="G653" s="3">
        <f>'Data Aset'!J655</f>
        <v/>
      </c>
      <c r="H653" s="5">
        <f>'Data Aset'!M655</f>
        <v/>
      </c>
      <c r="I653" s="3">
        <f>'Data Aset'!O655</f>
        <v/>
      </c>
      <c r="J653" s="5" t="n">
        <v>0</v>
      </c>
      <c r="K653" s="3" t="inlineStr">
        <is>
          <t>Garis Lurus</t>
        </is>
      </c>
      <c r="L653" s="5">
        <f>IFERROR(M653/12,"")</f>
        <v/>
      </c>
      <c r="M653" s="5">
        <f>IFERROR((H653-J653)/I653,"")</f>
        <v/>
      </c>
      <c r="N653" s="5">
        <f>IFERROR(M653,"")</f>
        <v/>
      </c>
      <c r="O653" s="5">
        <f>IFERROR(H653-N653,"")</f>
        <v/>
      </c>
      <c r="P653" s="3" t="inlineStr">
        <is>
          <t>Belum dihitung</t>
        </is>
      </c>
      <c r="Q653" s="3" t="n"/>
    </row>
    <row r="654">
      <c r="A654" s="3" t="n">
        <v>653</v>
      </c>
      <c r="B654" s="3" t="inlineStr">
        <is>
          <t>Desember 2025</t>
        </is>
      </c>
      <c r="C654" s="3">
        <f>'Data Aset'!B656</f>
        <v/>
      </c>
      <c r="D654" s="3">
        <f>'Data Aset'!F656</f>
        <v/>
      </c>
      <c r="E654" s="3" t="inlineStr">
        <is>
          <t>Inventaris Ruangan</t>
        </is>
      </c>
      <c r="F654" s="3">
        <f>'Data Aset'!C656</f>
        <v/>
      </c>
      <c r="G654" s="3">
        <f>'Data Aset'!J656</f>
        <v/>
      </c>
      <c r="H654" s="5">
        <f>'Data Aset'!M656</f>
        <v/>
      </c>
      <c r="I654" s="3">
        <f>'Data Aset'!O656</f>
        <v/>
      </c>
      <c r="J654" s="5" t="n">
        <v>0</v>
      </c>
      <c r="K654" s="3" t="inlineStr">
        <is>
          <t>Garis Lurus</t>
        </is>
      </c>
      <c r="L654" s="5">
        <f>IFERROR(M654/12,"")</f>
        <v/>
      </c>
      <c r="M654" s="5">
        <f>IFERROR((H654-J654)/I654,"")</f>
        <v/>
      </c>
      <c r="N654" s="5">
        <f>IFERROR(M654,"")</f>
        <v/>
      </c>
      <c r="O654" s="5">
        <f>IFERROR(H654-N654,"")</f>
        <v/>
      </c>
      <c r="P654" s="3" t="inlineStr">
        <is>
          <t>Belum dihitung</t>
        </is>
      </c>
      <c r="Q654" s="3" t="n"/>
    </row>
    <row r="655">
      <c r="A655" s="3" t="n">
        <v>654</v>
      </c>
      <c r="B655" s="3" t="inlineStr">
        <is>
          <t>Desember 2025</t>
        </is>
      </c>
      <c r="C655" s="3">
        <f>'Data Aset'!B657</f>
        <v/>
      </c>
      <c r="D655" s="3">
        <f>'Data Aset'!F657</f>
        <v/>
      </c>
      <c r="E655" s="3" t="inlineStr">
        <is>
          <t>Inventaris Ruangan</t>
        </is>
      </c>
      <c r="F655" s="3">
        <f>'Data Aset'!C657</f>
        <v/>
      </c>
      <c r="G655" s="3">
        <f>'Data Aset'!J657</f>
        <v/>
      </c>
      <c r="H655" s="5">
        <f>'Data Aset'!M657</f>
        <v/>
      </c>
      <c r="I655" s="3">
        <f>'Data Aset'!O657</f>
        <v/>
      </c>
      <c r="J655" s="5" t="n">
        <v>0</v>
      </c>
      <c r="K655" s="3" t="inlineStr">
        <is>
          <t>Garis Lurus</t>
        </is>
      </c>
      <c r="L655" s="5">
        <f>IFERROR(M655/12,"")</f>
        <v/>
      </c>
      <c r="M655" s="5">
        <f>IFERROR((H655-J655)/I655,"")</f>
        <v/>
      </c>
      <c r="N655" s="5">
        <f>IFERROR(M655,"")</f>
        <v/>
      </c>
      <c r="O655" s="5">
        <f>IFERROR(H655-N655,"")</f>
        <v/>
      </c>
      <c r="P655" s="3" t="inlineStr">
        <is>
          <t>Belum dihitung</t>
        </is>
      </c>
      <c r="Q655" s="3" t="n"/>
    </row>
    <row r="656">
      <c r="A656" s="3" t="n">
        <v>655</v>
      </c>
      <c r="B656" s="3" t="inlineStr">
        <is>
          <t>Desember 2025</t>
        </is>
      </c>
      <c r="C656" s="3">
        <f>'Data Aset'!B658</f>
        <v/>
      </c>
      <c r="D656" s="3">
        <f>'Data Aset'!F658</f>
        <v/>
      </c>
      <c r="E656" s="3" t="inlineStr">
        <is>
          <t>Inventaris Ruangan</t>
        </is>
      </c>
      <c r="F656" s="3">
        <f>'Data Aset'!C658</f>
        <v/>
      </c>
      <c r="G656" s="3">
        <f>'Data Aset'!J658</f>
        <v/>
      </c>
      <c r="H656" s="5">
        <f>'Data Aset'!M658</f>
        <v/>
      </c>
      <c r="I656" s="3">
        <f>'Data Aset'!O658</f>
        <v/>
      </c>
      <c r="J656" s="5" t="n">
        <v>0</v>
      </c>
      <c r="K656" s="3" t="inlineStr">
        <is>
          <t>Garis Lurus</t>
        </is>
      </c>
      <c r="L656" s="5">
        <f>IFERROR(M656/12,"")</f>
        <v/>
      </c>
      <c r="M656" s="5">
        <f>IFERROR((H656-J656)/I656,"")</f>
        <v/>
      </c>
      <c r="N656" s="5">
        <f>IFERROR(M656,"")</f>
        <v/>
      </c>
      <c r="O656" s="5">
        <f>IFERROR(H656-N656,"")</f>
        <v/>
      </c>
      <c r="P656" s="3" t="inlineStr">
        <is>
          <t>Belum dihitung</t>
        </is>
      </c>
      <c r="Q656" s="3" t="n"/>
    </row>
    <row r="657">
      <c r="A657" s="3" t="n">
        <v>656</v>
      </c>
      <c r="B657" s="3" t="inlineStr">
        <is>
          <t>Desember 2025</t>
        </is>
      </c>
      <c r="C657" s="3">
        <f>'Data Aset'!B659</f>
        <v/>
      </c>
      <c r="D657" s="3">
        <f>'Data Aset'!F659</f>
        <v/>
      </c>
      <c r="E657" s="3" t="inlineStr">
        <is>
          <t>Inventaris Ruangan</t>
        </is>
      </c>
      <c r="F657" s="3">
        <f>'Data Aset'!C659</f>
        <v/>
      </c>
      <c r="G657" s="3">
        <f>'Data Aset'!J659</f>
        <v/>
      </c>
      <c r="H657" s="5">
        <f>'Data Aset'!M659</f>
        <v/>
      </c>
      <c r="I657" s="3">
        <f>'Data Aset'!O659</f>
        <v/>
      </c>
      <c r="J657" s="5" t="n">
        <v>0</v>
      </c>
      <c r="K657" s="3" t="inlineStr">
        <is>
          <t>Garis Lurus</t>
        </is>
      </c>
      <c r="L657" s="5">
        <f>IFERROR(M657/12,"")</f>
        <v/>
      </c>
      <c r="M657" s="5">
        <f>IFERROR((H657-J657)/I657,"")</f>
        <v/>
      </c>
      <c r="N657" s="5">
        <f>IFERROR(M657,"")</f>
        <v/>
      </c>
      <c r="O657" s="5">
        <f>IFERROR(H657-N657,"")</f>
        <v/>
      </c>
      <c r="P657" s="3" t="inlineStr">
        <is>
          <t>Belum dihitung</t>
        </is>
      </c>
      <c r="Q657" s="3" t="n"/>
    </row>
    <row r="658">
      <c r="A658" s="3" t="n">
        <v>657</v>
      </c>
      <c r="B658" s="3" t="inlineStr">
        <is>
          <t>Desember 2025</t>
        </is>
      </c>
      <c r="C658" s="3">
        <f>'Data Aset'!B660</f>
        <v/>
      </c>
      <c r="D658" s="3">
        <f>'Data Aset'!F660</f>
        <v/>
      </c>
      <c r="E658" s="3" t="inlineStr">
        <is>
          <t>Inventaris Ruangan</t>
        </is>
      </c>
      <c r="F658" s="3">
        <f>'Data Aset'!C660</f>
        <v/>
      </c>
      <c r="G658" s="3">
        <f>'Data Aset'!J660</f>
        <v/>
      </c>
      <c r="H658" s="5">
        <f>'Data Aset'!M660</f>
        <v/>
      </c>
      <c r="I658" s="3">
        <f>'Data Aset'!O660</f>
        <v/>
      </c>
      <c r="J658" s="5" t="n">
        <v>0</v>
      </c>
      <c r="K658" s="3" t="inlineStr">
        <is>
          <t>Garis Lurus</t>
        </is>
      </c>
      <c r="L658" s="5">
        <f>IFERROR(M658/12,"")</f>
        <v/>
      </c>
      <c r="M658" s="5">
        <f>IFERROR((H658-J658)/I658,"")</f>
        <v/>
      </c>
      <c r="N658" s="5">
        <f>IFERROR(M658,"")</f>
        <v/>
      </c>
      <c r="O658" s="5">
        <f>IFERROR(H658-N658,"")</f>
        <v/>
      </c>
      <c r="P658" s="3" t="inlineStr">
        <is>
          <t>Belum dihitung</t>
        </is>
      </c>
      <c r="Q658" s="3" t="n"/>
    </row>
    <row r="659">
      <c r="A659" s="3" t="n">
        <v>658</v>
      </c>
      <c r="B659" s="3" t="inlineStr">
        <is>
          <t>Desember 2025</t>
        </is>
      </c>
      <c r="C659" s="3">
        <f>'Data Aset'!B661</f>
        <v/>
      </c>
      <c r="D659" s="3">
        <f>'Data Aset'!F661</f>
        <v/>
      </c>
      <c r="E659" s="3" t="inlineStr">
        <is>
          <t>Inventaris Ruangan</t>
        </is>
      </c>
      <c r="F659" s="3">
        <f>'Data Aset'!C661</f>
        <v/>
      </c>
      <c r="G659" s="3">
        <f>'Data Aset'!J661</f>
        <v/>
      </c>
      <c r="H659" s="5">
        <f>'Data Aset'!M661</f>
        <v/>
      </c>
      <c r="I659" s="3">
        <f>'Data Aset'!O661</f>
        <v/>
      </c>
      <c r="J659" s="5" t="n">
        <v>0</v>
      </c>
      <c r="K659" s="3" t="inlineStr">
        <is>
          <t>Garis Lurus</t>
        </is>
      </c>
      <c r="L659" s="5">
        <f>IFERROR(M659/12,"")</f>
        <v/>
      </c>
      <c r="M659" s="5">
        <f>IFERROR((H659-J659)/I659,"")</f>
        <v/>
      </c>
      <c r="N659" s="5">
        <f>IFERROR(M659,"")</f>
        <v/>
      </c>
      <c r="O659" s="5">
        <f>IFERROR(H659-N659,"")</f>
        <v/>
      </c>
      <c r="P659" s="3" t="inlineStr">
        <is>
          <t>Belum dihitung</t>
        </is>
      </c>
      <c r="Q659" s="3" t="n"/>
    </row>
    <row r="660">
      <c r="A660" s="3" t="n">
        <v>659</v>
      </c>
      <c r="B660" s="3" t="inlineStr">
        <is>
          <t>Desember 2025</t>
        </is>
      </c>
      <c r="C660" s="3">
        <f>'Data Aset'!B662</f>
        <v/>
      </c>
      <c r="D660" s="3">
        <f>'Data Aset'!F662</f>
        <v/>
      </c>
      <c r="E660" s="3" t="inlineStr">
        <is>
          <t>Inventaris Ruangan</t>
        </is>
      </c>
      <c r="F660" s="3">
        <f>'Data Aset'!C662</f>
        <v/>
      </c>
      <c r="G660" s="3">
        <f>'Data Aset'!J662</f>
        <v/>
      </c>
      <c r="H660" s="5">
        <f>'Data Aset'!M662</f>
        <v/>
      </c>
      <c r="I660" s="3">
        <f>'Data Aset'!O662</f>
        <v/>
      </c>
      <c r="J660" s="5" t="n">
        <v>0</v>
      </c>
      <c r="K660" s="3" t="inlineStr">
        <is>
          <t>Garis Lurus</t>
        </is>
      </c>
      <c r="L660" s="5">
        <f>IFERROR(M660/12,"")</f>
        <v/>
      </c>
      <c r="M660" s="5">
        <f>IFERROR((H660-J660)/I660,"")</f>
        <v/>
      </c>
      <c r="N660" s="5">
        <f>IFERROR(M660,"")</f>
        <v/>
      </c>
      <c r="O660" s="5">
        <f>IFERROR(H660-N660,"")</f>
        <v/>
      </c>
      <c r="P660" s="3" t="inlineStr">
        <is>
          <t>Belum dihitung</t>
        </is>
      </c>
      <c r="Q660" s="3" t="n"/>
    </row>
    <row r="661">
      <c r="A661" s="3" t="n">
        <v>660</v>
      </c>
      <c r="B661" s="3" t="inlineStr">
        <is>
          <t>Desember 2025</t>
        </is>
      </c>
      <c r="C661" s="3">
        <f>'Data Aset'!B663</f>
        <v/>
      </c>
      <c r="D661" s="3">
        <f>'Data Aset'!F663</f>
        <v/>
      </c>
      <c r="E661" s="3" t="inlineStr">
        <is>
          <t>Inventaris Ruangan</t>
        </is>
      </c>
      <c r="F661" s="3">
        <f>'Data Aset'!C663</f>
        <v/>
      </c>
      <c r="G661" s="3">
        <f>'Data Aset'!J663</f>
        <v/>
      </c>
      <c r="H661" s="5">
        <f>'Data Aset'!M663</f>
        <v/>
      </c>
      <c r="I661" s="3">
        <f>'Data Aset'!O663</f>
        <v/>
      </c>
      <c r="J661" s="5" t="n">
        <v>0</v>
      </c>
      <c r="K661" s="3" t="inlineStr">
        <is>
          <t>Garis Lurus</t>
        </is>
      </c>
      <c r="L661" s="5">
        <f>IFERROR(M661/12,"")</f>
        <v/>
      </c>
      <c r="M661" s="5">
        <f>IFERROR((H661-J661)/I661,"")</f>
        <v/>
      </c>
      <c r="N661" s="5">
        <f>IFERROR(M661,"")</f>
        <v/>
      </c>
      <c r="O661" s="5">
        <f>IFERROR(H661-N661,"")</f>
        <v/>
      </c>
      <c r="P661" s="3" t="inlineStr">
        <is>
          <t>Belum dihitung</t>
        </is>
      </c>
      <c r="Q661" s="3" t="n"/>
    </row>
    <row r="662">
      <c r="A662" s="3" t="n">
        <v>661</v>
      </c>
      <c r="B662" s="3" t="inlineStr">
        <is>
          <t>Desember 2025</t>
        </is>
      </c>
      <c r="C662" s="3">
        <f>'Data Aset'!B664</f>
        <v/>
      </c>
      <c r="D662" s="3">
        <f>'Data Aset'!F664</f>
        <v/>
      </c>
      <c r="E662" s="3" t="inlineStr">
        <is>
          <t>Inventaris Ruangan</t>
        </is>
      </c>
      <c r="F662" s="3">
        <f>'Data Aset'!C664</f>
        <v/>
      </c>
      <c r="G662" s="3">
        <f>'Data Aset'!J664</f>
        <v/>
      </c>
      <c r="H662" s="5">
        <f>'Data Aset'!M664</f>
        <v/>
      </c>
      <c r="I662" s="3">
        <f>'Data Aset'!O664</f>
        <v/>
      </c>
      <c r="J662" s="5" t="n">
        <v>0</v>
      </c>
      <c r="K662" s="3" t="inlineStr">
        <is>
          <t>Garis Lurus</t>
        </is>
      </c>
      <c r="L662" s="5">
        <f>IFERROR(M662/12,"")</f>
        <v/>
      </c>
      <c r="M662" s="5">
        <f>IFERROR((H662-J662)/I662,"")</f>
        <v/>
      </c>
      <c r="N662" s="5">
        <f>IFERROR(M662,"")</f>
        <v/>
      </c>
      <c r="O662" s="5">
        <f>IFERROR(H662-N662,"")</f>
        <v/>
      </c>
      <c r="P662" s="3" t="inlineStr">
        <is>
          <t>Belum dihitung</t>
        </is>
      </c>
      <c r="Q662" s="3" t="n"/>
    </row>
    <row r="663">
      <c r="A663" s="3" t="n">
        <v>662</v>
      </c>
      <c r="B663" s="3" t="inlineStr">
        <is>
          <t>Desember 2025</t>
        </is>
      </c>
      <c r="C663" s="3">
        <f>'Data Aset'!B665</f>
        <v/>
      </c>
      <c r="D663" s="3">
        <f>'Data Aset'!F665</f>
        <v/>
      </c>
      <c r="E663" s="3" t="inlineStr">
        <is>
          <t>Inventaris Ruangan</t>
        </is>
      </c>
      <c r="F663" s="3">
        <f>'Data Aset'!C665</f>
        <v/>
      </c>
      <c r="G663" s="3">
        <f>'Data Aset'!J665</f>
        <v/>
      </c>
      <c r="H663" s="5">
        <f>'Data Aset'!M665</f>
        <v/>
      </c>
      <c r="I663" s="3">
        <f>'Data Aset'!O665</f>
        <v/>
      </c>
      <c r="J663" s="5" t="n">
        <v>0</v>
      </c>
      <c r="K663" s="3" t="inlineStr">
        <is>
          <t>Garis Lurus</t>
        </is>
      </c>
      <c r="L663" s="5">
        <f>IFERROR(M663/12,"")</f>
        <v/>
      </c>
      <c r="M663" s="5">
        <f>IFERROR((H663-J663)/I663,"")</f>
        <v/>
      </c>
      <c r="N663" s="5">
        <f>IFERROR(M663,"")</f>
        <v/>
      </c>
      <c r="O663" s="5">
        <f>IFERROR(H663-N663,"")</f>
        <v/>
      </c>
      <c r="P663" s="3" t="inlineStr">
        <is>
          <t>Belum dihitung</t>
        </is>
      </c>
      <c r="Q663" s="3" t="n"/>
    </row>
    <row r="664">
      <c r="A664" s="3" t="n">
        <v>663</v>
      </c>
      <c r="B664" s="3" t="inlineStr">
        <is>
          <t>Desember 2025</t>
        </is>
      </c>
      <c r="C664" s="3">
        <f>'Data Aset'!B666</f>
        <v/>
      </c>
      <c r="D664" s="3">
        <f>'Data Aset'!F666</f>
        <v/>
      </c>
      <c r="E664" s="3" t="inlineStr">
        <is>
          <t>Inventaris Ruangan</t>
        </is>
      </c>
      <c r="F664" s="3">
        <f>'Data Aset'!C666</f>
        <v/>
      </c>
      <c r="G664" s="3">
        <f>'Data Aset'!J666</f>
        <v/>
      </c>
      <c r="H664" s="5">
        <f>'Data Aset'!M666</f>
        <v/>
      </c>
      <c r="I664" s="3">
        <f>'Data Aset'!O666</f>
        <v/>
      </c>
      <c r="J664" s="5" t="n">
        <v>0</v>
      </c>
      <c r="K664" s="3" t="inlineStr">
        <is>
          <t>Garis Lurus</t>
        </is>
      </c>
      <c r="L664" s="5">
        <f>IFERROR(M664/12,"")</f>
        <v/>
      </c>
      <c r="M664" s="5">
        <f>IFERROR((H664-J664)/I664,"")</f>
        <v/>
      </c>
      <c r="N664" s="5">
        <f>IFERROR(M664,"")</f>
        <v/>
      </c>
      <c r="O664" s="5">
        <f>IFERROR(H664-N664,"")</f>
        <v/>
      </c>
      <c r="P664" s="3" t="inlineStr">
        <is>
          <t>Belum dihitung</t>
        </is>
      </c>
      <c r="Q664" s="3" t="n"/>
    </row>
    <row r="665">
      <c r="A665" s="3" t="n">
        <v>664</v>
      </c>
      <c r="B665" s="3" t="inlineStr">
        <is>
          <t>Desember 2025</t>
        </is>
      </c>
      <c r="C665" s="3">
        <f>'Data Aset'!B667</f>
        <v/>
      </c>
      <c r="D665" s="3">
        <f>'Data Aset'!F667</f>
        <v/>
      </c>
      <c r="E665" s="3" t="inlineStr">
        <is>
          <t>Inventaris Ruangan</t>
        </is>
      </c>
      <c r="F665" s="3">
        <f>'Data Aset'!C667</f>
        <v/>
      </c>
      <c r="G665" s="3">
        <f>'Data Aset'!J667</f>
        <v/>
      </c>
      <c r="H665" s="5">
        <f>'Data Aset'!M667</f>
        <v/>
      </c>
      <c r="I665" s="3">
        <f>'Data Aset'!O667</f>
        <v/>
      </c>
      <c r="J665" s="5" t="n">
        <v>0</v>
      </c>
      <c r="K665" s="3" t="inlineStr">
        <is>
          <t>Garis Lurus</t>
        </is>
      </c>
      <c r="L665" s="5">
        <f>IFERROR(M665/12,"")</f>
        <v/>
      </c>
      <c r="M665" s="5">
        <f>IFERROR((H665-J665)/I665,"")</f>
        <v/>
      </c>
      <c r="N665" s="5">
        <f>IFERROR(M665,"")</f>
        <v/>
      </c>
      <c r="O665" s="5">
        <f>IFERROR(H665-N665,"")</f>
        <v/>
      </c>
      <c r="P665" s="3" t="inlineStr">
        <is>
          <t>Belum dihitung</t>
        </is>
      </c>
      <c r="Q665" s="3" t="n"/>
    </row>
    <row r="666">
      <c r="A666" s="3" t="n">
        <v>665</v>
      </c>
      <c r="B666" s="3" t="inlineStr">
        <is>
          <t>Desember 2025</t>
        </is>
      </c>
      <c r="C666" s="3">
        <f>'Data Aset'!B668</f>
        <v/>
      </c>
      <c r="D666" s="3">
        <f>'Data Aset'!F668</f>
        <v/>
      </c>
      <c r="E666" s="3" t="inlineStr">
        <is>
          <t>Inventaris Ruangan</t>
        </is>
      </c>
      <c r="F666" s="3">
        <f>'Data Aset'!C668</f>
        <v/>
      </c>
      <c r="G666" s="3">
        <f>'Data Aset'!J668</f>
        <v/>
      </c>
      <c r="H666" s="5">
        <f>'Data Aset'!M668</f>
        <v/>
      </c>
      <c r="I666" s="3">
        <f>'Data Aset'!O668</f>
        <v/>
      </c>
      <c r="J666" s="5" t="n">
        <v>0</v>
      </c>
      <c r="K666" s="3" t="inlineStr">
        <is>
          <t>Garis Lurus</t>
        </is>
      </c>
      <c r="L666" s="5">
        <f>IFERROR(M666/12,"")</f>
        <v/>
      </c>
      <c r="M666" s="5">
        <f>IFERROR((H666-J666)/I666,"")</f>
        <v/>
      </c>
      <c r="N666" s="5">
        <f>IFERROR(M666,"")</f>
        <v/>
      </c>
      <c r="O666" s="5">
        <f>IFERROR(H666-N666,"")</f>
        <v/>
      </c>
      <c r="P666" s="3" t="inlineStr">
        <is>
          <t>Belum dihitung</t>
        </is>
      </c>
      <c r="Q666" s="3" t="n"/>
    </row>
    <row r="667">
      <c r="A667" s="3" t="n">
        <v>666</v>
      </c>
      <c r="B667" s="3" t="inlineStr">
        <is>
          <t>Desember 2025</t>
        </is>
      </c>
      <c r="C667" s="3">
        <f>'Data Aset'!B669</f>
        <v/>
      </c>
      <c r="D667" s="3">
        <f>'Data Aset'!F669</f>
        <v/>
      </c>
      <c r="E667" s="3" t="inlineStr">
        <is>
          <t>Inventaris Ruangan</t>
        </is>
      </c>
      <c r="F667" s="3">
        <f>'Data Aset'!C669</f>
        <v/>
      </c>
      <c r="G667" s="3">
        <f>'Data Aset'!J669</f>
        <v/>
      </c>
      <c r="H667" s="5">
        <f>'Data Aset'!M669</f>
        <v/>
      </c>
      <c r="I667" s="3">
        <f>'Data Aset'!O669</f>
        <v/>
      </c>
      <c r="J667" s="5" t="n">
        <v>0</v>
      </c>
      <c r="K667" s="3" t="inlineStr">
        <is>
          <t>Garis Lurus</t>
        </is>
      </c>
      <c r="L667" s="5">
        <f>IFERROR(M667/12,"")</f>
        <v/>
      </c>
      <c r="M667" s="5">
        <f>IFERROR((H667-J667)/I667,"")</f>
        <v/>
      </c>
      <c r="N667" s="5">
        <f>IFERROR(M667,"")</f>
        <v/>
      </c>
      <c r="O667" s="5">
        <f>IFERROR(H667-N667,"")</f>
        <v/>
      </c>
      <c r="P667" s="3" t="inlineStr">
        <is>
          <t>Belum dihitung</t>
        </is>
      </c>
      <c r="Q667" s="3" t="n"/>
    </row>
    <row r="668">
      <c r="A668" s="3" t="n">
        <v>667</v>
      </c>
      <c r="B668" s="3" t="inlineStr">
        <is>
          <t>Desember 2025</t>
        </is>
      </c>
      <c r="C668" s="3">
        <f>'Data Aset'!B670</f>
        <v/>
      </c>
      <c r="D668" s="3">
        <f>'Data Aset'!F670</f>
        <v/>
      </c>
      <c r="E668" s="3" t="inlineStr">
        <is>
          <t>Inventaris Ruangan</t>
        </is>
      </c>
      <c r="F668" s="3">
        <f>'Data Aset'!C670</f>
        <v/>
      </c>
      <c r="G668" s="3">
        <f>'Data Aset'!J670</f>
        <v/>
      </c>
      <c r="H668" s="5">
        <f>'Data Aset'!M670</f>
        <v/>
      </c>
      <c r="I668" s="3">
        <f>'Data Aset'!O670</f>
        <v/>
      </c>
      <c r="J668" s="5" t="n">
        <v>0</v>
      </c>
      <c r="K668" s="3" t="inlineStr">
        <is>
          <t>Garis Lurus</t>
        </is>
      </c>
      <c r="L668" s="5">
        <f>IFERROR(M668/12,"")</f>
        <v/>
      </c>
      <c r="M668" s="5">
        <f>IFERROR((H668-J668)/I668,"")</f>
        <v/>
      </c>
      <c r="N668" s="5">
        <f>IFERROR(M668,"")</f>
        <v/>
      </c>
      <c r="O668" s="5">
        <f>IFERROR(H668-N668,"")</f>
        <v/>
      </c>
      <c r="P668" s="3" t="inlineStr">
        <is>
          <t>Belum dihitung</t>
        </is>
      </c>
      <c r="Q668" s="3" t="n"/>
    </row>
    <row r="669">
      <c r="A669" s="3" t="n">
        <v>668</v>
      </c>
      <c r="B669" s="3" t="inlineStr">
        <is>
          <t>Desember 2025</t>
        </is>
      </c>
      <c r="C669" s="3">
        <f>'Data Aset'!B671</f>
        <v/>
      </c>
      <c r="D669" s="3">
        <f>'Data Aset'!F671</f>
        <v/>
      </c>
      <c r="E669" s="3" t="inlineStr">
        <is>
          <t>Inventaris Ruangan</t>
        </is>
      </c>
      <c r="F669" s="3">
        <f>'Data Aset'!C671</f>
        <v/>
      </c>
      <c r="G669" s="3">
        <f>'Data Aset'!J671</f>
        <v/>
      </c>
      <c r="H669" s="5">
        <f>'Data Aset'!M671</f>
        <v/>
      </c>
      <c r="I669" s="3">
        <f>'Data Aset'!O671</f>
        <v/>
      </c>
      <c r="J669" s="5" t="n">
        <v>0</v>
      </c>
      <c r="K669" s="3" t="inlineStr">
        <is>
          <t>Garis Lurus</t>
        </is>
      </c>
      <c r="L669" s="5">
        <f>IFERROR(M669/12,"")</f>
        <v/>
      </c>
      <c r="M669" s="5">
        <f>IFERROR((H669-J669)/I669,"")</f>
        <v/>
      </c>
      <c r="N669" s="5">
        <f>IFERROR(M669,"")</f>
        <v/>
      </c>
      <c r="O669" s="5">
        <f>IFERROR(H669-N669,"")</f>
        <v/>
      </c>
      <c r="P669" s="3" t="inlineStr">
        <is>
          <t>Belum dihitung</t>
        </is>
      </c>
      <c r="Q669" s="3" t="n"/>
    </row>
    <row r="670">
      <c r="A670" s="3" t="n">
        <v>669</v>
      </c>
      <c r="B670" s="3" t="inlineStr">
        <is>
          <t>Desember 2025</t>
        </is>
      </c>
      <c r="C670" s="3">
        <f>'Data Aset'!B672</f>
        <v/>
      </c>
      <c r="D670" s="3">
        <f>'Data Aset'!F672</f>
        <v/>
      </c>
      <c r="E670" s="3" t="inlineStr">
        <is>
          <t>Inventaris Ruangan</t>
        </is>
      </c>
      <c r="F670" s="3">
        <f>'Data Aset'!C672</f>
        <v/>
      </c>
      <c r="G670" s="3">
        <f>'Data Aset'!J672</f>
        <v/>
      </c>
      <c r="H670" s="5">
        <f>'Data Aset'!M672</f>
        <v/>
      </c>
      <c r="I670" s="3">
        <f>'Data Aset'!O672</f>
        <v/>
      </c>
      <c r="J670" s="5" t="n">
        <v>0</v>
      </c>
      <c r="K670" s="3" t="inlineStr">
        <is>
          <t>Garis Lurus</t>
        </is>
      </c>
      <c r="L670" s="5">
        <f>IFERROR(M670/12,"")</f>
        <v/>
      </c>
      <c r="M670" s="5">
        <f>IFERROR((H670-J670)/I670,"")</f>
        <v/>
      </c>
      <c r="N670" s="5">
        <f>IFERROR(M670,"")</f>
        <v/>
      </c>
      <c r="O670" s="5">
        <f>IFERROR(H670-N670,"")</f>
        <v/>
      </c>
      <c r="P670" s="3" t="inlineStr">
        <is>
          <t>Belum dihitung</t>
        </is>
      </c>
      <c r="Q670" s="3" t="n"/>
    </row>
    <row r="671">
      <c r="A671" s="3" t="n">
        <v>670</v>
      </c>
      <c r="B671" s="3" t="inlineStr">
        <is>
          <t>Desember 2025</t>
        </is>
      </c>
      <c r="C671" s="3">
        <f>'Data Aset'!B673</f>
        <v/>
      </c>
      <c r="D671" s="3">
        <f>'Data Aset'!F673</f>
        <v/>
      </c>
      <c r="E671" s="3" t="inlineStr">
        <is>
          <t>Inventaris Ruangan</t>
        </is>
      </c>
      <c r="F671" s="3">
        <f>'Data Aset'!C673</f>
        <v/>
      </c>
      <c r="G671" s="3">
        <f>'Data Aset'!J673</f>
        <v/>
      </c>
      <c r="H671" s="5">
        <f>'Data Aset'!M673</f>
        <v/>
      </c>
      <c r="I671" s="3">
        <f>'Data Aset'!O673</f>
        <v/>
      </c>
      <c r="J671" s="5" t="n">
        <v>0</v>
      </c>
      <c r="K671" s="3" t="inlineStr">
        <is>
          <t>Garis Lurus</t>
        </is>
      </c>
      <c r="L671" s="5">
        <f>IFERROR(M671/12,"")</f>
        <v/>
      </c>
      <c r="M671" s="5">
        <f>IFERROR((H671-J671)/I671,"")</f>
        <v/>
      </c>
      <c r="N671" s="5">
        <f>IFERROR(M671,"")</f>
        <v/>
      </c>
      <c r="O671" s="5">
        <f>IFERROR(H671-N671,"")</f>
        <v/>
      </c>
      <c r="P671" s="3" t="inlineStr">
        <is>
          <t>Belum dihitung</t>
        </is>
      </c>
      <c r="Q671" s="3" t="n"/>
    </row>
    <row r="672">
      <c r="A672" s="3" t="n">
        <v>671</v>
      </c>
      <c r="B672" s="3" t="inlineStr">
        <is>
          <t>Desember 2025</t>
        </is>
      </c>
      <c r="C672" s="3">
        <f>'Data Aset'!B674</f>
        <v/>
      </c>
      <c r="D672" s="3">
        <f>'Data Aset'!F674</f>
        <v/>
      </c>
      <c r="E672" s="3" t="inlineStr">
        <is>
          <t>Inventaris Ruangan</t>
        </is>
      </c>
      <c r="F672" s="3">
        <f>'Data Aset'!C674</f>
        <v/>
      </c>
      <c r="G672" s="3">
        <f>'Data Aset'!J674</f>
        <v/>
      </c>
      <c r="H672" s="5">
        <f>'Data Aset'!M674</f>
        <v/>
      </c>
      <c r="I672" s="3">
        <f>'Data Aset'!O674</f>
        <v/>
      </c>
      <c r="J672" s="5" t="n">
        <v>0</v>
      </c>
      <c r="K672" s="3" t="inlineStr">
        <is>
          <t>Garis Lurus</t>
        </is>
      </c>
      <c r="L672" s="5">
        <f>IFERROR(M672/12,"")</f>
        <v/>
      </c>
      <c r="M672" s="5">
        <f>IFERROR((H672-J672)/I672,"")</f>
        <v/>
      </c>
      <c r="N672" s="5">
        <f>IFERROR(M672,"")</f>
        <v/>
      </c>
      <c r="O672" s="5">
        <f>IFERROR(H672-N672,"")</f>
        <v/>
      </c>
      <c r="P672" s="3" t="inlineStr">
        <is>
          <t>Belum dihitung</t>
        </is>
      </c>
      <c r="Q672" s="3" t="n"/>
    </row>
    <row r="673">
      <c r="A673" s="3" t="n">
        <v>672</v>
      </c>
      <c r="B673" s="3" t="inlineStr">
        <is>
          <t>Desember 2025</t>
        </is>
      </c>
      <c r="C673" s="3">
        <f>'Data Aset'!B675</f>
        <v/>
      </c>
      <c r="D673" s="3">
        <f>'Data Aset'!F675</f>
        <v/>
      </c>
      <c r="E673" s="3" t="inlineStr">
        <is>
          <t>Inventaris Ruangan</t>
        </is>
      </c>
      <c r="F673" s="3">
        <f>'Data Aset'!C675</f>
        <v/>
      </c>
      <c r="G673" s="3">
        <f>'Data Aset'!J675</f>
        <v/>
      </c>
      <c r="H673" s="5">
        <f>'Data Aset'!M675</f>
        <v/>
      </c>
      <c r="I673" s="3">
        <f>'Data Aset'!O675</f>
        <v/>
      </c>
      <c r="J673" s="5" t="n">
        <v>0</v>
      </c>
      <c r="K673" s="3" t="inlineStr">
        <is>
          <t>Garis Lurus</t>
        </is>
      </c>
      <c r="L673" s="5">
        <f>IFERROR(M673/12,"")</f>
        <v/>
      </c>
      <c r="M673" s="5">
        <f>IFERROR((H673-J673)/I673,"")</f>
        <v/>
      </c>
      <c r="N673" s="5">
        <f>IFERROR(M673,"")</f>
        <v/>
      </c>
      <c r="O673" s="5">
        <f>IFERROR(H673-N673,"")</f>
        <v/>
      </c>
      <c r="P673" s="3" t="inlineStr">
        <is>
          <t>Belum dihitung</t>
        </is>
      </c>
      <c r="Q673" s="3" t="n"/>
    </row>
    <row r="674">
      <c r="A674" s="3" t="n">
        <v>673</v>
      </c>
      <c r="B674" s="3" t="inlineStr">
        <is>
          <t>Desember 2025</t>
        </is>
      </c>
      <c r="C674" s="3">
        <f>'Data Aset'!B676</f>
        <v/>
      </c>
      <c r="D674" s="3">
        <f>'Data Aset'!F676</f>
        <v/>
      </c>
      <c r="E674" s="3" t="inlineStr">
        <is>
          <t>Inventaris Ruangan</t>
        </is>
      </c>
      <c r="F674" s="3">
        <f>'Data Aset'!C676</f>
        <v/>
      </c>
      <c r="G674" s="3">
        <f>'Data Aset'!J676</f>
        <v/>
      </c>
      <c r="H674" s="5">
        <f>'Data Aset'!M676</f>
        <v/>
      </c>
      <c r="I674" s="3">
        <f>'Data Aset'!O676</f>
        <v/>
      </c>
      <c r="J674" s="5" t="n">
        <v>0</v>
      </c>
      <c r="K674" s="3" t="inlineStr">
        <is>
          <t>Garis Lurus</t>
        </is>
      </c>
      <c r="L674" s="5">
        <f>IFERROR(M674/12,"")</f>
        <v/>
      </c>
      <c r="M674" s="5">
        <f>IFERROR((H674-J674)/I674,"")</f>
        <v/>
      </c>
      <c r="N674" s="5">
        <f>IFERROR(M674,"")</f>
        <v/>
      </c>
      <c r="O674" s="5">
        <f>IFERROR(H674-N674,"")</f>
        <v/>
      </c>
      <c r="P674" s="3" t="inlineStr">
        <is>
          <t>Belum dihitung</t>
        </is>
      </c>
      <c r="Q674" s="3" t="n"/>
    </row>
    <row r="675">
      <c r="A675" s="3" t="n">
        <v>674</v>
      </c>
      <c r="B675" s="3" t="inlineStr">
        <is>
          <t>Desember 2025</t>
        </is>
      </c>
      <c r="C675" s="3">
        <f>'Data Aset'!B677</f>
        <v/>
      </c>
      <c r="D675" s="3">
        <f>'Data Aset'!F677</f>
        <v/>
      </c>
      <c r="E675" s="3" t="inlineStr">
        <is>
          <t>Inventaris Ruangan</t>
        </is>
      </c>
      <c r="F675" s="3">
        <f>'Data Aset'!C677</f>
        <v/>
      </c>
      <c r="G675" s="3">
        <f>'Data Aset'!J677</f>
        <v/>
      </c>
      <c r="H675" s="5">
        <f>'Data Aset'!M677</f>
        <v/>
      </c>
      <c r="I675" s="3">
        <f>'Data Aset'!O677</f>
        <v/>
      </c>
      <c r="J675" s="5" t="n">
        <v>0</v>
      </c>
      <c r="K675" s="3" t="inlineStr">
        <is>
          <t>Garis Lurus</t>
        </is>
      </c>
      <c r="L675" s="5">
        <f>IFERROR(M675/12,"")</f>
        <v/>
      </c>
      <c r="M675" s="5">
        <f>IFERROR((H675-J675)/I675,"")</f>
        <v/>
      </c>
      <c r="N675" s="5">
        <f>IFERROR(M675,"")</f>
        <v/>
      </c>
      <c r="O675" s="5">
        <f>IFERROR(H675-N675,"")</f>
        <v/>
      </c>
      <c r="P675" s="3" t="inlineStr">
        <is>
          <t>Belum dihitung</t>
        </is>
      </c>
      <c r="Q675" s="3" t="n"/>
    </row>
    <row r="676">
      <c r="A676" s="3" t="n">
        <v>675</v>
      </c>
      <c r="B676" s="3" t="inlineStr">
        <is>
          <t>Desember 2025</t>
        </is>
      </c>
      <c r="C676" s="3">
        <f>'Data Aset'!B678</f>
        <v/>
      </c>
      <c r="D676" s="3">
        <f>'Data Aset'!F678</f>
        <v/>
      </c>
      <c r="E676" s="3" t="inlineStr">
        <is>
          <t>Inventaris Ruangan</t>
        </is>
      </c>
      <c r="F676" s="3">
        <f>'Data Aset'!C678</f>
        <v/>
      </c>
      <c r="G676" s="3">
        <f>'Data Aset'!J678</f>
        <v/>
      </c>
      <c r="H676" s="5">
        <f>'Data Aset'!M678</f>
        <v/>
      </c>
      <c r="I676" s="3">
        <f>'Data Aset'!O678</f>
        <v/>
      </c>
      <c r="J676" s="5" t="n">
        <v>0</v>
      </c>
      <c r="K676" s="3" t="inlineStr">
        <is>
          <t>Garis Lurus</t>
        </is>
      </c>
      <c r="L676" s="5">
        <f>IFERROR(M676/12,"")</f>
        <v/>
      </c>
      <c r="M676" s="5">
        <f>IFERROR((H676-J676)/I676,"")</f>
        <v/>
      </c>
      <c r="N676" s="5">
        <f>IFERROR(M676,"")</f>
        <v/>
      </c>
      <c r="O676" s="5">
        <f>IFERROR(H676-N676,"")</f>
        <v/>
      </c>
      <c r="P676" s="3" t="inlineStr">
        <is>
          <t>Belum dihitung</t>
        </is>
      </c>
      <c r="Q676" s="3" t="n"/>
    </row>
    <row r="677">
      <c r="A677" s="3" t="n">
        <v>676</v>
      </c>
      <c r="B677" s="3" t="inlineStr">
        <is>
          <t>Desember 2025</t>
        </is>
      </c>
      <c r="C677" s="3">
        <f>'Data Aset'!B679</f>
        <v/>
      </c>
      <c r="D677" s="3">
        <f>'Data Aset'!F679</f>
        <v/>
      </c>
      <c r="E677" s="3" t="inlineStr">
        <is>
          <t>Inventaris Ruangan</t>
        </is>
      </c>
      <c r="F677" s="3">
        <f>'Data Aset'!C679</f>
        <v/>
      </c>
      <c r="G677" s="3">
        <f>'Data Aset'!J679</f>
        <v/>
      </c>
      <c r="H677" s="5">
        <f>'Data Aset'!M679</f>
        <v/>
      </c>
      <c r="I677" s="3">
        <f>'Data Aset'!O679</f>
        <v/>
      </c>
      <c r="J677" s="5" t="n">
        <v>0</v>
      </c>
      <c r="K677" s="3" t="inlineStr">
        <is>
          <t>Garis Lurus</t>
        </is>
      </c>
      <c r="L677" s="5">
        <f>IFERROR(M677/12,"")</f>
        <v/>
      </c>
      <c r="M677" s="5">
        <f>IFERROR((H677-J677)/I677,"")</f>
        <v/>
      </c>
      <c r="N677" s="5">
        <f>IFERROR(M677,"")</f>
        <v/>
      </c>
      <c r="O677" s="5">
        <f>IFERROR(H677-N677,"")</f>
        <v/>
      </c>
      <c r="P677" s="3" t="inlineStr">
        <is>
          <t>Belum dihitung</t>
        </is>
      </c>
      <c r="Q677" s="3" t="n"/>
    </row>
    <row r="678">
      <c r="A678" s="3" t="n">
        <v>677</v>
      </c>
      <c r="B678" s="3" t="inlineStr">
        <is>
          <t>Desember 2025</t>
        </is>
      </c>
      <c r="C678" s="3">
        <f>'Data Aset'!B680</f>
        <v/>
      </c>
      <c r="D678" s="3">
        <f>'Data Aset'!F680</f>
        <v/>
      </c>
      <c r="E678" s="3" t="inlineStr">
        <is>
          <t>Inventaris Ruangan</t>
        </is>
      </c>
      <c r="F678" s="3">
        <f>'Data Aset'!C680</f>
        <v/>
      </c>
      <c r="G678" s="3">
        <f>'Data Aset'!J680</f>
        <v/>
      </c>
      <c r="H678" s="5">
        <f>'Data Aset'!M680</f>
        <v/>
      </c>
      <c r="I678" s="3">
        <f>'Data Aset'!O680</f>
        <v/>
      </c>
      <c r="J678" s="5" t="n">
        <v>0</v>
      </c>
      <c r="K678" s="3" t="inlineStr">
        <is>
          <t>Garis Lurus</t>
        </is>
      </c>
      <c r="L678" s="5">
        <f>IFERROR(M678/12,"")</f>
        <v/>
      </c>
      <c r="M678" s="5">
        <f>IFERROR((H678-J678)/I678,"")</f>
        <v/>
      </c>
      <c r="N678" s="5">
        <f>IFERROR(M678,"")</f>
        <v/>
      </c>
      <c r="O678" s="5">
        <f>IFERROR(H678-N678,"")</f>
        <v/>
      </c>
      <c r="P678" s="3" t="inlineStr">
        <is>
          <t>Belum dihitung</t>
        </is>
      </c>
      <c r="Q678" s="3" t="n"/>
    </row>
    <row r="679">
      <c r="A679" s="3" t="n">
        <v>678</v>
      </c>
      <c r="B679" s="3" t="inlineStr">
        <is>
          <t>Desember 2025</t>
        </is>
      </c>
      <c r="C679" s="3">
        <f>'Data Aset'!B681</f>
        <v/>
      </c>
      <c r="D679" s="3">
        <f>'Data Aset'!F681</f>
        <v/>
      </c>
      <c r="E679" s="3" t="inlineStr">
        <is>
          <t>Inventaris Ruangan</t>
        </is>
      </c>
      <c r="F679" s="3">
        <f>'Data Aset'!C681</f>
        <v/>
      </c>
      <c r="G679" s="3">
        <f>'Data Aset'!J681</f>
        <v/>
      </c>
      <c r="H679" s="5">
        <f>'Data Aset'!M681</f>
        <v/>
      </c>
      <c r="I679" s="3">
        <f>'Data Aset'!O681</f>
        <v/>
      </c>
      <c r="J679" s="5" t="n">
        <v>0</v>
      </c>
      <c r="K679" s="3" t="inlineStr">
        <is>
          <t>Garis Lurus</t>
        </is>
      </c>
      <c r="L679" s="5">
        <f>IFERROR(M679/12,"")</f>
        <v/>
      </c>
      <c r="M679" s="5">
        <f>IFERROR((H679-J679)/I679,"")</f>
        <v/>
      </c>
      <c r="N679" s="5">
        <f>IFERROR(M679,"")</f>
        <v/>
      </c>
      <c r="O679" s="5">
        <f>IFERROR(H679-N679,"")</f>
        <v/>
      </c>
      <c r="P679" s="3" t="inlineStr">
        <is>
          <t>Belum dihitung</t>
        </is>
      </c>
      <c r="Q679" s="3" t="n"/>
    </row>
    <row r="680">
      <c r="A680" s="3" t="n">
        <v>679</v>
      </c>
      <c r="B680" s="3" t="inlineStr">
        <is>
          <t>Desember 2025</t>
        </is>
      </c>
      <c r="C680" s="3">
        <f>'Data Aset'!B682</f>
        <v/>
      </c>
      <c r="D680" s="3">
        <f>'Data Aset'!F682</f>
        <v/>
      </c>
      <c r="E680" s="3" t="inlineStr">
        <is>
          <t>Inventaris Ruangan</t>
        </is>
      </c>
      <c r="F680" s="3">
        <f>'Data Aset'!C682</f>
        <v/>
      </c>
      <c r="G680" s="3">
        <f>'Data Aset'!J682</f>
        <v/>
      </c>
      <c r="H680" s="5">
        <f>'Data Aset'!M682</f>
        <v/>
      </c>
      <c r="I680" s="3">
        <f>'Data Aset'!O682</f>
        <v/>
      </c>
      <c r="J680" s="5" t="n">
        <v>0</v>
      </c>
      <c r="K680" s="3" t="inlineStr">
        <is>
          <t>Garis Lurus</t>
        </is>
      </c>
      <c r="L680" s="5">
        <f>IFERROR(M680/12,"")</f>
        <v/>
      </c>
      <c r="M680" s="5">
        <f>IFERROR((H680-J680)/I680,"")</f>
        <v/>
      </c>
      <c r="N680" s="5">
        <f>IFERROR(M680,"")</f>
        <v/>
      </c>
      <c r="O680" s="5">
        <f>IFERROR(H680-N680,"")</f>
        <v/>
      </c>
      <c r="P680" s="3" t="inlineStr">
        <is>
          <t>Belum dihitung</t>
        </is>
      </c>
      <c r="Q680" s="3" t="n"/>
    </row>
    <row r="681">
      <c r="A681" s="3" t="n">
        <v>680</v>
      </c>
      <c r="B681" s="3" t="inlineStr">
        <is>
          <t>Desember 2025</t>
        </is>
      </c>
      <c r="C681" s="3">
        <f>'Data Aset'!B683</f>
        <v/>
      </c>
      <c r="D681" s="3">
        <f>'Data Aset'!F683</f>
        <v/>
      </c>
      <c r="E681" s="3" t="inlineStr">
        <is>
          <t>Inventaris Ruangan</t>
        </is>
      </c>
      <c r="F681" s="3">
        <f>'Data Aset'!C683</f>
        <v/>
      </c>
      <c r="G681" s="3">
        <f>'Data Aset'!J683</f>
        <v/>
      </c>
      <c r="H681" s="5">
        <f>'Data Aset'!M683</f>
        <v/>
      </c>
      <c r="I681" s="3">
        <f>'Data Aset'!O683</f>
        <v/>
      </c>
      <c r="J681" s="5" t="n">
        <v>0</v>
      </c>
      <c r="K681" s="3" t="inlineStr">
        <is>
          <t>Garis Lurus</t>
        </is>
      </c>
      <c r="L681" s="5">
        <f>IFERROR(M681/12,"")</f>
        <v/>
      </c>
      <c r="M681" s="5">
        <f>IFERROR((H681-J681)/I681,"")</f>
        <v/>
      </c>
      <c r="N681" s="5">
        <f>IFERROR(M681,"")</f>
        <v/>
      </c>
      <c r="O681" s="5">
        <f>IFERROR(H681-N681,"")</f>
        <v/>
      </c>
      <c r="P681" s="3" t="inlineStr">
        <is>
          <t>Belum dihitung</t>
        </is>
      </c>
      <c r="Q681" s="3" t="n"/>
    </row>
    <row r="682">
      <c r="A682" s="3" t="n">
        <v>681</v>
      </c>
      <c r="B682" s="3" t="inlineStr">
        <is>
          <t>Desember 2025</t>
        </is>
      </c>
      <c r="C682" s="3">
        <f>'Data Aset'!B684</f>
        <v/>
      </c>
      <c r="D682" s="3">
        <f>'Data Aset'!F684</f>
        <v/>
      </c>
      <c r="E682" s="3" t="inlineStr">
        <is>
          <t>Inventaris Ruangan</t>
        </is>
      </c>
      <c r="F682" s="3">
        <f>'Data Aset'!C684</f>
        <v/>
      </c>
      <c r="G682" s="3">
        <f>'Data Aset'!J684</f>
        <v/>
      </c>
      <c r="H682" s="5">
        <f>'Data Aset'!M684</f>
        <v/>
      </c>
      <c r="I682" s="3">
        <f>'Data Aset'!O684</f>
        <v/>
      </c>
      <c r="J682" s="5" t="n">
        <v>0</v>
      </c>
      <c r="K682" s="3" t="inlineStr">
        <is>
          <t>Garis Lurus</t>
        </is>
      </c>
      <c r="L682" s="5">
        <f>IFERROR(M682/12,"")</f>
        <v/>
      </c>
      <c r="M682" s="5">
        <f>IFERROR((H682-J682)/I682,"")</f>
        <v/>
      </c>
      <c r="N682" s="5">
        <f>IFERROR(M682,"")</f>
        <v/>
      </c>
      <c r="O682" s="5">
        <f>IFERROR(H682-N682,"")</f>
        <v/>
      </c>
      <c r="P682" s="3" t="inlineStr">
        <is>
          <t>Belum dihitung</t>
        </is>
      </c>
      <c r="Q682" s="3" t="n"/>
    </row>
    <row r="683">
      <c r="A683" s="3" t="n">
        <v>682</v>
      </c>
      <c r="B683" s="3" t="inlineStr">
        <is>
          <t>Desember 2025</t>
        </is>
      </c>
      <c r="C683" s="3">
        <f>'Data Aset'!B685</f>
        <v/>
      </c>
      <c r="D683" s="3">
        <f>'Data Aset'!F685</f>
        <v/>
      </c>
      <c r="E683" s="3" t="inlineStr">
        <is>
          <t>Inventaris Ruangan</t>
        </is>
      </c>
      <c r="F683" s="3">
        <f>'Data Aset'!C685</f>
        <v/>
      </c>
      <c r="G683" s="3">
        <f>'Data Aset'!J685</f>
        <v/>
      </c>
      <c r="H683" s="5">
        <f>'Data Aset'!M685</f>
        <v/>
      </c>
      <c r="I683" s="3">
        <f>'Data Aset'!O685</f>
        <v/>
      </c>
      <c r="J683" s="5" t="n">
        <v>0</v>
      </c>
      <c r="K683" s="3" t="inlineStr">
        <is>
          <t>Garis Lurus</t>
        </is>
      </c>
      <c r="L683" s="5">
        <f>IFERROR(M683/12,"")</f>
        <v/>
      </c>
      <c r="M683" s="5">
        <f>IFERROR((H683-J683)/I683,"")</f>
        <v/>
      </c>
      <c r="N683" s="5">
        <f>IFERROR(M683,"")</f>
        <v/>
      </c>
      <c r="O683" s="5">
        <f>IFERROR(H683-N683,"")</f>
        <v/>
      </c>
      <c r="P683" s="3" t="inlineStr">
        <is>
          <t>Belum dihitung</t>
        </is>
      </c>
      <c r="Q683" s="3" t="n"/>
    </row>
    <row r="684">
      <c r="A684" s="3" t="n">
        <v>683</v>
      </c>
      <c r="B684" s="3" t="inlineStr">
        <is>
          <t>Desember 2025</t>
        </is>
      </c>
      <c r="C684" s="3">
        <f>'Data Aset'!B686</f>
        <v/>
      </c>
      <c r="D684" s="3">
        <f>'Data Aset'!F686</f>
        <v/>
      </c>
      <c r="E684" s="3" t="inlineStr">
        <is>
          <t>Inventaris Ruangan</t>
        </is>
      </c>
      <c r="F684" s="3">
        <f>'Data Aset'!C686</f>
        <v/>
      </c>
      <c r="G684" s="3">
        <f>'Data Aset'!J686</f>
        <v/>
      </c>
      <c r="H684" s="5">
        <f>'Data Aset'!M686</f>
        <v/>
      </c>
      <c r="I684" s="3">
        <f>'Data Aset'!O686</f>
        <v/>
      </c>
      <c r="J684" s="5" t="n">
        <v>0</v>
      </c>
      <c r="K684" s="3" t="inlineStr">
        <is>
          <t>Garis Lurus</t>
        </is>
      </c>
      <c r="L684" s="5">
        <f>IFERROR(M684/12,"")</f>
        <v/>
      </c>
      <c r="M684" s="5">
        <f>IFERROR((H684-J684)/I684,"")</f>
        <v/>
      </c>
      <c r="N684" s="5">
        <f>IFERROR(M684,"")</f>
        <v/>
      </c>
      <c r="O684" s="5">
        <f>IFERROR(H684-N684,"")</f>
        <v/>
      </c>
      <c r="P684" s="3" t="inlineStr">
        <is>
          <t>Belum dihitung</t>
        </is>
      </c>
      <c r="Q684" s="3" t="n"/>
    </row>
    <row r="685">
      <c r="A685" s="3" t="n">
        <v>684</v>
      </c>
      <c r="B685" s="3" t="inlineStr">
        <is>
          <t>Desember 2025</t>
        </is>
      </c>
      <c r="C685" s="3">
        <f>'Data Aset'!B687</f>
        <v/>
      </c>
      <c r="D685" s="3">
        <f>'Data Aset'!F687</f>
        <v/>
      </c>
      <c r="E685" s="3" t="inlineStr">
        <is>
          <t>Inventaris Ruangan</t>
        </is>
      </c>
      <c r="F685" s="3">
        <f>'Data Aset'!C687</f>
        <v/>
      </c>
      <c r="G685" s="3">
        <f>'Data Aset'!J687</f>
        <v/>
      </c>
      <c r="H685" s="5">
        <f>'Data Aset'!M687</f>
        <v/>
      </c>
      <c r="I685" s="3">
        <f>'Data Aset'!O687</f>
        <v/>
      </c>
      <c r="J685" s="5" t="n">
        <v>0</v>
      </c>
      <c r="K685" s="3" t="inlineStr">
        <is>
          <t>Garis Lurus</t>
        </is>
      </c>
      <c r="L685" s="5">
        <f>IFERROR(M685/12,"")</f>
        <v/>
      </c>
      <c r="M685" s="5">
        <f>IFERROR((H685-J685)/I685,"")</f>
        <v/>
      </c>
      <c r="N685" s="5">
        <f>IFERROR(M685,"")</f>
        <v/>
      </c>
      <c r="O685" s="5">
        <f>IFERROR(H685-N685,"")</f>
        <v/>
      </c>
      <c r="P685" s="3" t="inlineStr">
        <is>
          <t>Belum dihitung</t>
        </is>
      </c>
      <c r="Q685" s="3" t="n"/>
    </row>
    <row r="686">
      <c r="A686" s="3" t="n">
        <v>685</v>
      </c>
      <c r="B686" s="3" t="inlineStr">
        <is>
          <t>Desember 2025</t>
        </is>
      </c>
      <c r="C686" s="3">
        <f>'Data Aset'!B688</f>
        <v/>
      </c>
      <c r="D686" s="3">
        <f>'Data Aset'!F688</f>
        <v/>
      </c>
      <c r="E686" s="3" t="inlineStr">
        <is>
          <t>Inventaris Ruangan</t>
        </is>
      </c>
      <c r="F686" s="3">
        <f>'Data Aset'!C688</f>
        <v/>
      </c>
      <c r="G686" s="3">
        <f>'Data Aset'!J688</f>
        <v/>
      </c>
      <c r="H686" s="5">
        <f>'Data Aset'!M688</f>
        <v/>
      </c>
      <c r="I686" s="3">
        <f>'Data Aset'!O688</f>
        <v/>
      </c>
      <c r="J686" s="5" t="n">
        <v>0</v>
      </c>
      <c r="K686" s="3" t="inlineStr">
        <is>
          <t>Garis Lurus</t>
        </is>
      </c>
      <c r="L686" s="5">
        <f>IFERROR(M686/12,"")</f>
        <v/>
      </c>
      <c r="M686" s="5">
        <f>IFERROR((H686-J686)/I686,"")</f>
        <v/>
      </c>
      <c r="N686" s="5">
        <f>IFERROR(M686,"")</f>
        <v/>
      </c>
      <c r="O686" s="5">
        <f>IFERROR(H686-N686,"")</f>
        <v/>
      </c>
      <c r="P686" s="3" t="inlineStr">
        <is>
          <t>Belum dihitung</t>
        </is>
      </c>
      <c r="Q686" s="3" t="n"/>
    </row>
    <row r="687">
      <c r="A687" s="3" t="n">
        <v>686</v>
      </c>
      <c r="B687" s="3" t="inlineStr">
        <is>
          <t>Desember 2025</t>
        </is>
      </c>
      <c r="C687" s="3">
        <f>'Data Aset'!B689</f>
        <v/>
      </c>
      <c r="D687" s="3">
        <f>'Data Aset'!F689</f>
        <v/>
      </c>
      <c r="E687" s="3" t="inlineStr">
        <is>
          <t>Inventaris Ruangan</t>
        </is>
      </c>
      <c r="F687" s="3">
        <f>'Data Aset'!C689</f>
        <v/>
      </c>
      <c r="G687" s="3">
        <f>'Data Aset'!J689</f>
        <v/>
      </c>
      <c r="H687" s="5">
        <f>'Data Aset'!M689</f>
        <v/>
      </c>
      <c r="I687" s="3">
        <f>'Data Aset'!O689</f>
        <v/>
      </c>
      <c r="J687" s="5" t="n">
        <v>0</v>
      </c>
      <c r="K687" s="3" t="inlineStr">
        <is>
          <t>Garis Lurus</t>
        </is>
      </c>
      <c r="L687" s="5">
        <f>IFERROR(M687/12,"")</f>
        <v/>
      </c>
      <c r="M687" s="5">
        <f>IFERROR((H687-J687)/I687,"")</f>
        <v/>
      </c>
      <c r="N687" s="5">
        <f>IFERROR(M687,"")</f>
        <v/>
      </c>
      <c r="O687" s="5">
        <f>IFERROR(H687-N687,"")</f>
        <v/>
      </c>
      <c r="P687" s="3" t="inlineStr">
        <is>
          <t>Belum dihitung</t>
        </is>
      </c>
      <c r="Q687" s="3" t="n"/>
    </row>
    <row r="688">
      <c r="A688" s="3" t="n">
        <v>687</v>
      </c>
      <c r="B688" s="3" t="inlineStr">
        <is>
          <t>Desember 2025</t>
        </is>
      </c>
      <c r="C688" s="3">
        <f>'Data Aset'!B690</f>
        <v/>
      </c>
      <c r="D688" s="3">
        <f>'Data Aset'!F690</f>
        <v/>
      </c>
      <c r="E688" s="3" t="inlineStr">
        <is>
          <t>Inventaris Ruangan</t>
        </is>
      </c>
      <c r="F688" s="3">
        <f>'Data Aset'!C690</f>
        <v/>
      </c>
      <c r="G688" s="3">
        <f>'Data Aset'!J690</f>
        <v/>
      </c>
      <c r="H688" s="5">
        <f>'Data Aset'!M690</f>
        <v/>
      </c>
      <c r="I688" s="3">
        <f>'Data Aset'!O690</f>
        <v/>
      </c>
      <c r="J688" s="5" t="n">
        <v>0</v>
      </c>
      <c r="K688" s="3" t="inlineStr">
        <is>
          <t>Garis Lurus</t>
        </is>
      </c>
      <c r="L688" s="5">
        <f>IFERROR(M688/12,"")</f>
        <v/>
      </c>
      <c r="M688" s="5">
        <f>IFERROR((H688-J688)/I688,"")</f>
        <v/>
      </c>
      <c r="N688" s="5">
        <f>IFERROR(M688,"")</f>
        <v/>
      </c>
      <c r="O688" s="5">
        <f>IFERROR(H688-N688,"")</f>
        <v/>
      </c>
      <c r="P688" s="3" t="inlineStr">
        <is>
          <t>Belum dihitung</t>
        </is>
      </c>
      <c r="Q688" s="3" t="n"/>
    </row>
    <row r="689">
      <c r="A689" s="3" t="n">
        <v>688</v>
      </c>
      <c r="B689" s="3" t="inlineStr">
        <is>
          <t>Desember 2025</t>
        </is>
      </c>
      <c r="C689" s="3">
        <f>'Data Aset'!B691</f>
        <v/>
      </c>
      <c r="D689" s="3">
        <f>'Data Aset'!F691</f>
        <v/>
      </c>
      <c r="E689" s="3" t="inlineStr">
        <is>
          <t>Inventaris Ruangan</t>
        </is>
      </c>
      <c r="F689" s="3">
        <f>'Data Aset'!C691</f>
        <v/>
      </c>
      <c r="G689" s="3">
        <f>'Data Aset'!J691</f>
        <v/>
      </c>
      <c r="H689" s="5">
        <f>'Data Aset'!M691</f>
        <v/>
      </c>
      <c r="I689" s="3">
        <f>'Data Aset'!O691</f>
        <v/>
      </c>
      <c r="J689" s="5" t="n">
        <v>0</v>
      </c>
      <c r="K689" s="3" t="inlineStr">
        <is>
          <t>Garis Lurus</t>
        </is>
      </c>
      <c r="L689" s="5">
        <f>IFERROR(M689/12,"")</f>
        <v/>
      </c>
      <c r="M689" s="5">
        <f>IFERROR((H689-J689)/I689,"")</f>
        <v/>
      </c>
      <c r="N689" s="5">
        <f>IFERROR(M689,"")</f>
        <v/>
      </c>
      <c r="O689" s="5">
        <f>IFERROR(H689-N689,"")</f>
        <v/>
      </c>
      <c r="P689" s="3" t="inlineStr">
        <is>
          <t>Belum dihitung</t>
        </is>
      </c>
      <c r="Q689" s="3" t="n"/>
    </row>
    <row r="690">
      <c r="A690" s="3" t="n">
        <v>689</v>
      </c>
      <c r="B690" s="3" t="inlineStr">
        <is>
          <t>Desember 2025</t>
        </is>
      </c>
      <c r="C690" s="3">
        <f>'Data Aset'!B692</f>
        <v/>
      </c>
      <c r="D690" s="3">
        <f>'Data Aset'!F692</f>
        <v/>
      </c>
      <c r="E690" s="3" t="inlineStr">
        <is>
          <t>Inventaris Ruangan</t>
        </is>
      </c>
      <c r="F690" s="3">
        <f>'Data Aset'!C692</f>
        <v/>
      </c>
      <c r="G690" s="3">
        <f>'Data Aset'!J692</f>
        <v/>
      </c>
      <c r="H690" s="5">
        <f>'Data Aset'!M692</f>
        <v/>
      </c>
      <c r="I690" s="3">
        <f>'Data Aset'!O692</f>
        <v/>
      </c>
      <c r="J690" s="5" t="n">
        <v>0</v>
      </c>
      <c r="K690" s="3" t="inlineStr">
        <is>
          <t>Garis Lurus</t>
        </is>
      </c>
      <c r="L690" s="5">
        <f>IFERROR(M690/12,"")</f>
        <v/>
      </c>
      <c r="M690" s="5">
        <f>IFERROR((H690-J690)/I690,"")</f>
        <v/>
      </c>
      <c r="N690" s="5">
        <f>IFERROR(M690,"")</f>
        <v/>
      </c>
      <c r="O690" s="5">
        <f>IFERROR(H690-N690,"")</f>
        <v/>
      </c>
      <c r="P690" s="3" t="inlineStr">
        <is>
          <t>Belum dihitung</t>
        </is>
      </c>
      <c r="Q690" s="3" t="n"/>
    </row>
    <row r="691">
      <c r="A691" s="3" t="n">
        <v>690</v>
      </c>
      <c r="B691" s="3" t="inlineStr">
        <is>
          <t>Desember 2025</t>
        </is>
      </c>
      <c r="C691" s="3">
        <f>'Data Aset'!B693</f>
        <v/>
      </c>
      <c r="D691" s="3">
        <f>'Data Aset'!F693</f>
        <v/>
      </c>
      <c r="E691" s="3" t="inlineStr">
        <is>
          <t>Inventaris Ruangan</t>
        </is>
      </c>
      <c r="F691" s="3">
        <f>'Data Aset'!C693</f>
        <v/>
      </c>
      <c r="G691" s="3">
        <f>'Data Aset'!J693</f>
        <v/>
      </c>
      <c r="H691" s="5">
        <f>'Data Aset'!M693</f>
        <v/>
      </c>
      <c r="I691" s="3">
        <f>'Data Aset'!O693</f>
        <v/>
      </c>
      <c r="J691" s="5" t="n">
        <v>0</v>
      </c>
      <c r="K691" s="3" t="inlineStr">
        <is>
          <t>Garis Lurus</t>
        </is>
      </c>
      <c r="L691" s="5">
        <f>IFERROR(M691/12,"")</f>
        <v/>
      </c>
      <c r="M691" s="5">
        <f>IFERROR((H691-J691)/I691,"")</f>
        <v/>
      </c>
      <c r="N691" s="5">
        <f>IFERROR(M691,"")</f>
        <v/>
      </c>
      <c r="O691" s="5">
        <f>IFERROR(H691-N691,"")</f>
        <v/>
      </c>
      <c r="P691" s="3" t="inlineStr">
        <is>
          <t>Belum dihitung</t>
        </is>
      </c>
      <c r="Q691" s="3" t="n"/>
    </row>
    <row r="692">
      <c r="A692" s="3" t="n">
        <v>691</v>
      </c>
      <c r="B692" s="3" t="inlineStr">
        <is>
          <t>Desember 2025</t>
        </is>
      </c>
      <c r="C692" s="3">
        <f>'Data Aset'!B694</f>
        <v/>
      </c>
      <c r="D692" s="3">
        <f>'Data Aset'!F694</f>
        <v/>
      </c>
      <c r="E692" s="3" t="inlineStr">
        <is>
          <t>Inventaris Ruangan</t>
        </is>
      </c>
      <c r="F692" s="3">
        <f>'Data Aset'!C694</f>
        <v/>
      </c>
      <c r="G692" s="3">
        <f>'Data Aset'!J694</f>
        <v/>
      </c>
      <c r="H692" s="5">
        <f>'Data Aset'!M694</f>
        <v/>
      </c>
      <c r="I692" s="3">
        <f>'Data Aset'!O694</f>
        <v/>
      </c>
      <c r="J692" s="5" t="n">
        <v>0</v>
      </c>
      <c r="K692" s="3" t="inlineStr">
        <is>
          <t>Garis Lurus</t>
        </is>
      </c>
      <c r="L692" s="5">
        <f>IFERROR(M692/12,"")</f>
        <v/>
      </c>
      <c r="M692" s="5">
        <f>IFERROR((H692-J692)/I692,"")</f>
        <v/>
      </c>
      <c r="N692" s="5">
        <f>IFERROR(M692,"")</f>
        <v/>
      </c>
      <c r="O692" s="5">
        <f>IFERROR(H692-N692,"")</f>
        <v/>
      </c>
      <c r="P692" s="3" t="inlineStr">
        <is>
          <t>Belum dihitung</t>
        </is>
      </c>
      <c r="Q692" s="3" t="n"/>
    </row>
    <row r="693">
      <c r="A693" s="3" t="n">
        <v>692</v>
      </c>
      <c r="B693" s="3" t="inlineStr">
        <is>
          <t>Desember 2025</t>
        </is>
      </c>
      <c r="C693" s="3">
        <f>'Data Aset'!B695</f>
        <v/>
      </c>
      <c r="D693" s="3">
        <f>'Data Aset'!F695</f>
        <v/>
      </c>
      <c r="E693" s="3" t="inlineStr">
        <is>
          <t>Inventaris Ruangan</t>
        </is>
      </c>
      <c r="F693" s="3">
        <f>'Data Aset'!C695</f>
        <v/>
      </c>
      <c r="G693" s="3">
        <f>'Data Aset'!J695</f>
        <v/>
      </c>
      <c r="H693" s="5">
        <f>'Data Aset'!M695</f>
        <v/>
      </c>
      <c r="I693" s="3">
        <f>'Data Aset'!O695</f>
        <v/>
      </c>
      <c r="J693" s="5" t="n">
        <v>0</v>
      </c>
      <c r="K693" s="3" t="inlineStr">
        <is>
          <t>Garis Lurus</t>
        </is>
      </c>
      <c r="L693" s="5">
        <f>IFERROR(M693/12,"")</f>
        <v/>
      </c>
      <c r="M693" s="5">
        <f>IFERROR((H693-J693)/I693,"")</f>
        <v/>
      </c>
      <c r="N693" s="5">
        <f>IFERROR(M693,"")</f>
        <v/>
      </c>
      <c r="O693" s="5">
        <f>IFERROR(H693-N693,"")</f>
        <v/>
      </c>
      <c r="P693" s="3" t="inlineStr">
        <is>
          <t>Belum dihitung</t>
        </is>
      </c>
      <c r="Q693" s="3" t="n"/>
    </row>
    <row r="694">
      <c r="A694" s="3" t="n">
        <v>693</v>
      </c>
      <c r="B694" s="3" t="inlineStr">
        <is>
          <t>Desember 2025</t>
        </is>
      </c>
      <c r="C694" s="3">
        <f>'Data Aset'!B696</f>
        <v/>
      </c>
      <c r="D694" s="3">
        <f>'Data Aset'!F696</f>
        <v/>
      </c>
      <c r="E694" s="3" t="inlineStr">
        <is>
          <t>Inventaris Ruangan</t>
        </is>
      </c>
      <c r="F694" s="3">
        <f>'Data Aset'!C696</f>
        <v/>
      </c>
      <c r="G694" s="3">
        <f>'Data Aset'!J696</f>
        <v/>
      </c>
      <c r="H694" s="5">
        <f>'Data Aset'!M696</f>
        <v/>
      </c>
      <c r="I694" s="3">
        <f>'Data Aset'!O696</f>
        <v/>
      </c>
      <c r="J694" s="5" t="n">
        <v>0</v>
      </c>
      <c r="K694" s="3" t="inlineStr">
        <is>
          <t>Garis Lurus</t>
        </is>
      </c>
      <c r="L694" s="5">
        <f>IFERROR(M694/12,"")</f>
        <v/>
      </c>
      <c r="M694" s="5">
        <f>IFERROR((H694-J694)/I694,"")</f>
        <v/>
      </c>
      <c r="N694" s="5">
        <f>IFERROR(M694,"")</f>
        <v/>
      </c>
      <c r="O694" s="5">
        <f>IFERROR(H694-N694,"")</f>
        <v/>
      </c>
      <c r="P694" s="3" t="inlineStr">
        <is>
          <t>Belum dihitung</t>
        </is>
      </c>
      <c r="Q694" s="3" t="n"/>
    </row>
    <row r="695">
      <c r="A695" s="3" t="n">
        <v>694</v>
      </c>
      <c r="B695" s="3" t="inlineStr">
        <is>
          <t>Desember 2025</t>
        </is>
      </c>
      <c r="C695" s="3">
        <f>'Data Aset'!B697</f>
        <v/>
      </c>
      <c r="D695" s="3">
        <f>'Data Aset'!F697</f>
        <v/>
      </c>
      <c r="E695" s="3" t="inlineStr">
        <is>
          <t>Inventaris Ruangan</t>
        </is>
      </c>
      <c r="F695" s="3">
        <f>'Data Aset'!C697</f>
        <v/>
      </c>
      <c r="G695" s="3">
        <f>'Data Aset'!J697</f>
        <v/>
      </c>
      <c r="H695" s="5">
        <f>'Data Aset'!M697</f>
        <v/>
      </c>
      <c r="I695" s="3">
        <f>'Data Aset'!O697</f>
        <v/>
      </c>
      <c r="J695" s="5" t="n">
        <v>0</v>
      </c>
      <c r="K695" s="3" t="inlineStr">
        <is>
          <t>Garis Lurus</t>
        </is>
      </c>
      <c r="L695" s="5">
        <f>IFERROR(M695/12,"")</f>
        <v/>
      </c>
      <c r="M695" s="5">
        <f>IFERROR((H695-J695)/I695,"")</f>
        <v/>
      </c>
      <c r="N695" s="5">
        <f>IFERROR(M695,"")</f>
        <v/>
      </c>
      <c r="O695" s="5">
        <f>IFERROR(H695-N695,"")</f>
        <v/>
      </c>
      <c r="P695" s="3" t="inlineStr">
        <is>
          <t>Belum dihitung</t>
        </is>
      </c>
      <c r="Q695" s="3" t="n"/>
    </row>
    <row r="696">
      <c r="A696" s="3" t="n">
        <v>695</v>
      </c>
      <c r="B696" s="3" t="inlineStr">
        <is>
          <t>Desember 2025</t>
        </is>
      </c>
      <c r="C696" s="3">
        <f>'Data Aset'!B698</f>
        <v/>
      </c>
      <c r="D696" s="3">
        <f>'Data Aset'!F698</f>
        <v/>
      </c>
      <c r="E696" s="3" t="inlineStr">
        <is>
          <t>Inventaris Ruangan</t>
        </is>
      </c>
      <c r="F696" s="3">
        <f>'Data Aset'!C698</f>
        <v/>
      </c>
      <c r="G696" s="3">
        <f>'Data Aset'!J698</f>
        <v/>
      </c>
      <c r="H696" s="5">
        <f>'Data Aset'!M698</f>
        <v/>
      </c>
      <c r="I696" s="3">
        <f>'Data Aset'!O698</f>
        <v/>
      </c>
      <c r="J696" s="5" t="n">
        <v>0</v>
      </c>
      <c r="K696" s="3" t="inlineStr">
        <is>
          <t>Garis Lurus</t>
        </is>
      </c>
      <c r="L696" s="5">
        <f>IFERROR(M696/12,"")</f>
        <v/>
      </c>
      <c r="M696" s="5">
        <f>IFERROR((H696-J696)/I696,"")</f>
        <v/>
      </c>
      <c r="N696" s="5">
        <f>IFERROR(M696,"")</f>
        <v/>
      </c>
      <c r="O696" s="5">
        <f>IFERROR(H696-N696,"")</f>
        <v/>
      </c>
      <c r="P696" s="3" t="inlineStr">
        <is>
          <t>Belum dihitung</t>
        </is>
      </c>
      <c r="Q696" s="3" t="n"/>
    </row>
    <row r="697">
      <c r="A697" s="3" t="n">
        <v>696</v>
      </c>
      <c r="B697" s="3" t="inlineStr">
        <is>
          <t>Desember 2025</t>
        </is>
      </c>
      <c r="C697" s="3">
        <f>'Data Aset'!B699</f>
        <v/>
      </c>
      <c r="D697" s="3">
        <f>'Data Aset'!F699</f>
        <v/>
      </c>
      <c r="E697" s="3" t="inlineStr">
        <is>
          <t>Inventaris Ruangan</t>
        </is>
      </c>
      <c r="F697" s="3">
        <f>'Data Aset'!C699</f>
        <v/>
      </c>
      <c r="G697" s="3">
        <f>'Data Aset'!J699</f>
        <v/>
      </c>
      <c r="H697" s="5">
        <f>'Data Aset'!M699</f>
        <v/>
      </c>
      <c r="I697" s="3">
        <f>'Data Aset'!O699</f>
        <v/>
      </c>
      <c r="J697" s="5" t="n">
        <v>0</v>
      </c>
      <c r="K697" s="3" t="inlineStr">
        <is>
          <t>Garis Lurus</t>
        </is>
      </c>
      <c r="L697" s="5">
        <f>IFERROR(M697/12,"")</f>
        <v/>
      </c>
      <c r="M697" s="5">
        <f>IFERROR((H697-J697)/I697,"")</f>
        <v/>
      </c>
      <c r="N697" s="5">
        <f>IFERROR(M697,"")</f>
        <v/>
      </c>
      <c r="O697" s="5">
        <f>IFERROR(H697-N697,"")</f>
        <v/>
      </c>
      <c r="P697" s="3" t="inlineStr">
        <is>
          <t>Belum dihitung</t>
        </is>
      </c>
      <c r="Q697" s="3" t="n"/>
    </row>
    <row r="698">
      <c r="A698" s="3" t="n">
        <v>697</v>
      </c>
      <c r="B698" s="3" t="inlineStr">
        <is>
          <t>Desember 2025</t>
        </is>
      </c>
      <c r="C698" s="3">
        <f>'Data Aset'!B700</f>
        <v/>
      </c>
      <c r="D698" s="3">
        <f>'Data Aset'!F700</f>
        <v/>
      </c>
      <c r="E698" s="3" t="inlineStr">
        <is>
          <t>Inventaris Ruangan</t>
        </is>
      </c>
      <c r="F698" s="3">
        <f>'Data Aset'!C700</f>
        <v/>
      </c>
      <c r="G698" s="3">
        <f>'Data Aset'!J700</f>
        <v/>
      </c>
      <c r="H698" s="5">
        <f>'Data Aset'!M700</f>
        <v/>
      </c>
      <c r="I698" s="3">
        <f>'Data Aset'!O700</f>
        <v/>
      </c>
      <c r="J698" s="5" t="n">
        <v>0</v>
      </c>
      <c r="K698" s="3" t="inlineStr">
        <is>
          <t>Garis Lurus</t>
        </is>
      </c>
      <c r="L698" s="5">
        <f>IFERROR(M698/12,"")</f>
        <v/>
      </c>
      <c r="M698" s="5">
        <f>IFERROR((H698-J698)/I698,"")</f>
        <v/>
      </c>
      <c r="N698" s="5">
        <f>IFERROR(M698,"")</f>
        <v/>
      </c>
      <c r="O698" s="5">
        <f>IFERROR(H698-N698,"")</f>
        <v/>
      </c>
      <c r="P698" s="3" t="inlineStr">
        <is>
          <t>Belum dihitung</t>
        </is>
      </c>
      <c r="Q698" s="3" t="n"/>
    </row>
    <row r="699">
      <c r="A699" s="3" t="n">
        <v>698</v>
      </c>
      <c r="B699" s="3" t="inlineStr">
        <is>
          <t>Desember 2025</t>
        </is>
      </c>
      <c r="C699" s="3">
        <f>'Data Aset'!B701</f>
        <v/>
      </c>
      <c r="D699" s="3">
        <f>'Data Aset'!F701</f>
        <v/>
      </c>
      <c r="E699" s="3" t="inlineStr">
        <is>
          <t>Inventaris Ruangan</t>
        </is>
      </c>
      <c r="F699" s="3">
        <f>'Data Aset'!C701</f>
        <v/>
      </c>
      <c r="G699" s="3">
        <f>'Data Aset'!J701</f>
        <v/>
      </c>
      <c r="H699" s="5">
        <f>'Data Aset'!M701</f>
        <v/>
      </c>
      <c r="I699" s="3">
        <f>'Data Aset'!O701</f>
        <v/>
      </c>
      <c r="J699" s="5" t="n">
        <v>0</v>
      </c>
      <c r="K699" s="3" t="inlineStr">
        <is>
          <t>Garis Lurus</t>
        </is>
      </c>
      <c r="L699" s="5">
        <f>IFERROR(M699/12,"")</f>
        <v/>
      </c>
      <c r="M699" s="5">
        <f>IFERROR((H699-J699)/I699,"")</f>
        <v/>
      </c>
      <c r="N699" s="5">
        <f>IFERROR(M699,"")</f>
        <v/>
      </c>
      <c r="O699" s="5">
        <f>IFERROR(H699-N699,"")</f>
        <v/>
      </c>
      <c r="P699" s="3" t="inlineStr">
        <is>
          <t>Belum dihitung</t>
        </is>
      </c>
      <c r="Q699" s="3" t="n"/>
    </row>
    <row r="700">
      <c r="A700" s="3" t="n">
        <v>699</v>
      </c>
      <c r="B700" s="3" t="inlineStr">
        <is>
          <t>Desember 2025</t>
        </is>
      </c>
      <c r="C700" s="3">
        <f>'Data Aset'!B702</f>
        <v/>
      </c>
      <c r="D700" s="3">
        <f>'Data Aset'!F702</f>
        <v/>
      </c>
      <c r="E700" s="3" t="inlineStr">
        <is>
          <t>Inventaris Ruangan</t>
        </is>
      </c>
      <c r="F700" s="3">
        <f>'Data Aset'!C702</f>
        <v/>
      </c>
      <c r="G700" s="3">
        <f>'Data Aset'!J702</f>
        <v/>
      </c>
      <c r="H700" s="5">
        <f>'Data Aset'!M702</f>
        <v/>
      </c>
      <c r="I700" s="3">
        <f>'Data Aset'!O702</f>
        <v/>
      </c>
      <c r="J700" s="5" t="n">
        <v>0</v>
      </c>
      <c r="K700" s="3" t="inlineStr">
        <is>
          <t>Garis Lurus</t>
        </is>
      </c>
      <c r="L700" s="5">
        <f>IFERROR(M700/12,"")</f>
        <v/>
      </c>
      <c r="M700" s="5">
        <f>IFERROR((H700-J700)/I700,"")</f>
        <v/>
      </c>
      <c r="N700" s="5">
        <f>IFERROR(M700,"")</f>
        <v/>
      </c>
      <c r="O700" s="5">
        <f>IFERROR(H700-N700,"")</f>
        <v/>
      </c>
      <c r="P700" s="3" t="inlineStr">
        <is>
          <t>Belum dihitung</t>
        </is>
      </c>
      <c r="Q700" s="3" t="n"/>
    </row>
    <row r="701">
      <c r="A701" s="3" t="n">
        <v>700</v>
      </c>
      <c r="B701" s="3" t="inlineStr">
        <is>
          <t>Desember 2025</t>
        </is>
      </c>
      <c r="C701" s="3">
        <f>'Data Aset'!B703</f>
        <v/>
      </c>
      <c r="D701" s="3">
        <f>'Data Aset'!F703</f>
        <v/>
      </c>
      <c r="E701" s="3" t="inlineStr">
        <is>
          <t>Inventaris Ruangan</t>
        </is>
      </c>
      <c r="F701" s="3">
        <f>'Data Aset'!C703</f>
        <v/>
      </c>
      <c r="G701" s="3">
        <f>'Data Aset'!J703</f>
        <v/>
      </c>
      <c r="H701" s="5">
        <f>'Data Aset'!M703</f>
        <v/>
      </c>
      <c r="I701" s="3">
        <f>'Data Aset'!O703</f>
        <v/>
      </c>
      <c r="J701" s="5" t="n">
        <v>0</v>
      </c>
      <c r="K701" s="3" t="inlineStr">
        <is>
          <t>Garis Lurus</t>
        </is>
      </c>
      <c r="L701" s="5">
        <f>IFERROR(M701/12,"")</f>
        <v/>
      </c>
      <c r="M701" s="5">
        <f>IFERROR((H701-J701)/I701,"")</f>
        <v/>
      </c>
      <c r="N701" s="5">
        <f>IFERROR(M701,"")</f>
        <v/>
      </c>
      <c r="O701" s="5">
        <f>IFERROR(H701-N701,"")</f>
        <v/>
      </c>
      <c r="P701" s="3" t="inlineStr">
        <is>
          <t>Belum dihitung</t>
        </is>
      </c>
      <c r="Q701" s="3" t="n"/>
    </row>
    <row r="702">
      <c r="A702" s="3" t="n">
        <v>701</v>
      </c>
      <c r="B702" s="3" t="inlineStr">
        <is>
          <t>Desember 2025</t>
        </is>
      </c>
      <c r="C702" s="3">
        <f>'Data Aset'!B704</f>
        <v/>
      </c>
      <c r="D702" s="3">
        <f>'Data Aset'!F704</f>
        <v/>
      </c>
      <c r="E702" s="3" t="inlineStr">
        <is>
          <t>Inventaris Ruangan</t>
        </is>
      </c>
      <c r="F702" s="3">
        <f>'Data Aset'!C704</f>
        <v/>
      </c>
      <c r="G702" s="3">
        <f>'Data Aset'!J704</f>
        <v/>
      </c>
      <c r="H702" s="5">
        <f>'Data Aset'!M704</f>
        <v/>
      </c>
      <c r="I702" s="3">
        <f>'Data Aset'!O704</f>
        <v/>
      </c>
      <c r="J702" s="5" t="n">
        <v>0</v>
      </c>
      <c r="K702" s="3" t="inlineStr">
        <is>
          <t>Garis Lurus</t>
        </is>
      </c>
      <c r="L702" s="5">
        <f>IFERROR(M702/12,"")</f>
        <v/>
      </c>
      <c r="M702" s="5">
        <f>IFERROR((H702-J702)/I702,"")</f>
        <v/>
      </c>
      <c r="N702" s="5">
        <f>IFERROR(M702,"")</f>
        <v/>
      </c>
      <c r="O702" s="5">
        <f>IFERROR(H702-N702,"")</f>
        <v/>
      </c>
      <c r="P702" s="3" t="inlineStr">
        <is>
          <t>Belum dihitung</t>
        </is>
      </c>
      <c r="Q702" s="3" t="n"/>
    </row>
    <row r="703">
      <c r="A703" s="3" t="n">
        <v>702</v>
      </c>
      <c r="B703" s="3" t="inlineStr">
        <is>
          <t>Desember 2025</t>
        </is>
      </c>
      <c r="C703" s="3">
        <f>'Data Aset'!B705</f>
        <v/>
      </c>
      <c r="D703" s="3">
        <f>'Data Aset'!F705</f>
        <v/>
      </c>
      <c r="E703" s="3" t="inlineStr">
        <is>
          <t>Inventaris Ruangan</t>
        </is>
      </c>
      <c r="F703" s="3">
        <f>'Data Aset'!C705</f>
        <v/>
      </c>
      <c r="G703" s="3">
        <f>'Data Aset'!J705</f>
        <v/>
      </c>
      <c r="H703" s="5">
        <f>'Data Aset'!M705</f>
        <v/>
      </c>
      <c r="I703" s="3">
        <f>'Data Aset'!O705</f>
        <v/>
      </c>
      <c r="J703" s="5" t="n">
        <v>0</v>
      </c>
      <c r="K703" s="3" t="inlineStr">
        <is>
          <t>Garis Lurus</t>
        </is>
      </c>
      <c r="L703" s="5">
        <f>IFERROR(M703/12,"")</f>
        <v/>
      </c>
      <c r="M703" s="5">
        <f>IFERROR((H703-J703)/I703,"")</f>
        <v/>
      </c>
      <c r="N703" s="5">
        <f>IFERROR(M703,"")</f>
        <v/>
      </c>
      <c r="O703" s="5">
        <f>IFERROR(H703-N703,"")</f>
        <v/>
      </c>
      <c r="P703" s="3" t="inlineStr">
        <is>
          <t>Belum dihitung</t>
        </is>
      </c>
      <c r="Q703" s="3" t="n"/>
    </row>
    <row r="704">
      <c r="A704" s="3" t="n">
        <v>703</v>
      </c>
      <c r="B704" s="3" t="inlineStr">
        <is>
          <t>Desember 2025</t>
        </is>
      </c>
      <c r="C704" s="3">
        <f>'Data Aset'!B706</f>
        <v/>
      </c>
      <c r="D704" s="3">
        <f>'Data Aset'!F706</f>
        <v/>
      </c>
      <c r="E704" s="3" t="inlineStr">
        <is>
          <t>Inventaris Ruangan</t>
        </is>
      </c>
      <c r="F704" s="3">
        <f>'Data Aset'!C706</f>
        <v/>
      </c>
      <c r="G704" s="3">
        <f>'Data Aset'!J706</f>
        <v/>
      </c>
      <c r="H704" s="5">
        <f>'Data Aset'!M706</f>
        <v/>
      </c>
      <c r="I704" s="3">
        <f>'Data Aset'!O706</f>
        <v/>
      </c>
      <c r="J704" s="5" t="n">
        <v>0</v>
      </c>
      <c r="K704" s="3" t="inlineStr">
        <is>
          <t>Garis Lurus</t>
        </is>
      </c>
      <c r="L704" s="5">
        <f>IFERROR(M704/12,"")</f>
        <v/>
      </c>
      <c r="M704" s="5">
        <f>IFERROR((H704-J704)/I704,"")</f>
        <v/>
      </c>
      <c r="N704" s="5">
        <f>IFERROR(M704,"")</f>
        <v/>
      </c>
      <c r="O704" s="5">
        <f>IFERROR(H704-N704,"")</f>
        <v/>
      </c>
      <c r="P704" s="3" t="inlineStr">
        <is>
          <t>Belum dihitung</t>
        </is>
      </c>
      <c r="Q704" s="3" t="n"/>
    </row>
    <row r="705">
      <c r="A705" s="3" t="n">
        <v>704</v>
      </c>
      <c r="B705" s="3" t="inlineStr">
        <is>
          <t>Desember 2025</t>
        </is>
      </c>
      <c r="C705" s="3">
        <f>'Data Aset'!B707</f>
        <v/>
      </c>
      <c r="D705" s="3">
        <f>'Data Aset'!F707</f>
        <v/>
      </c>
      <c r="E705" s="3" t="inlineStr">
        <is>
          <t>Inventaris Ruangan</t>
        </is>
      </c>
      <c r="F705" s="3">
        <f>'Data Aset'!C707</f>
        <v/>
      </c>
      <c r="G705" s="3">
        <f>'Data Aset'!J707</f>
        <v/>
      </c>
      <c r="H705" s="5">
        <f>'Data Aset'!M707</f>
        <v/>
      </c>
      <c r="I705" s="3">
        <f>'Data Aset'!O707</f>
        <v/>
      </c>
      <c r="J705" s="5" t="n">
        <v>0</v>
      </c>
      <c r="K705" s="3" t="inlineStr">
        <is>
          <t>Garis Lurus</t>
        </is>
      </c>
      <c r="L705" s="5">
        <f>IFERROR(M705/12,"")</f>
        <v/>
      </c>
      <c r="M705" s="5">
        <f>IFERROR((H705-J705)/I705,"")</f>
        <v/>
      </c>
      <c r="N705" s="5">
        <f>IFERROR(M705,"")</f>
        <v/>
      </c>
      <c r="O705" s="5">
        <f>IFERROR(H705-N705,"")</f>
        <v/>
      </c>
      <c r="P705" s="3" t="inlineStr">
        <is>
          <t>Belum dihitung</t>
        </is>
      </c>
      <c r="Q705" s="3" t="n"/>
    </row>
    <row r="706">
      <c r="A706" s="3" t="n">
        <v>705</v>
      </c>
      <c r="B706" s="3" t="inlineStr">
        <is>
          <t>Desember 2025</t>
        </is>
      </c>
      <c r="C706" s="3">
        <f>'Data Aset'!B708</f>
        <v/>
      </c>
      <c r="D706" s="3">
        <f>'Data Aset'!F708</f>
        <v/>
      </c>
      <c r="E706" s="3" t="inlineStr">
        <is>
          <t>Inventaris Ruangan</t>
        </is>
      </c>
      <c r="F706" s="3">
        <f>'Data Aset'!C708</f>
        <v/>
      </c>
      <c r="G706" s="3">
        <f>'Data Aset'!J708</f>
        <v/>
      </c>
      <c r="H706" s="5">
        <f>'Data Aset'!M708</f>
        <v/>
      </c>
      <c r="I706" s="3">
        <f>'Data Aset'!O708</f>
        <v/>
      </c>
      <c r="J706" s="5" t="n">
        <v>0</v>
      </c>
      <c r="K706" s="3" t="inlineStr">
        <is>
          <t>Garis Lurus</t>
        </is>
      </c>
      <c r="L706" s="5">
        <f>IFERROR(M706/12,"")</f>
        <v/>
      </c>
      <c r="M706" s="5">
        <f>IFERROR((H706-J706)/I706,"")</f>
        <v/>
      </c>
      <c r="N706" s="5">
        <f>IFERROR(M706,"")</f>
        <v/>
      </c>
      <c r="O706" s="5">
        <f>IFERROR(H706-N706,"")</f>
        <v/>
      </c>
      <c r="P706" s="3" t="inlineStr">
        <is>
          <t>Belum dihitung</t>
        </is>
      </c>
      <c r="Q706" s="3" t="n"/>
    </row>
    <row r="707">
      <c r="A707" s="3" t="n">
        <v>706</v>
      </c>
      <c r="B707" s="3" t="inlineStr">
        <is>
          <t>Desember 2025</t>
        </is>
      </c>
      <c r="C707" s="3">
        <f>'Data Aset'!B709</f>
        <v/>
      </c>
      <c r="D707" s="3">
        <f>'Data Aset'!F709</f>
        <v/>
      </c>
      <c r="E707" s="3" t="inlineStr">
        <is>
          <t>Inventaris Ruangan</t>
        </is>
      </c>
      <c r="F707" s="3">
        <f>'Data Aset'!C709</f>
        <v/>
      </c>
      <c r="G707" s="3">
        <f>'Data Aset'!J709</f>
        <v/>
      </c>
      <c r="H707" s="5">
        <f>'Data Aset'!M709</f>
        <v/>
      </c>
      <c r="I707" s="3">
        <f>'Data Aset'!O709</f>
        <v/>
      </c>
      <c r="J707" s="5" t="n">
        <v>0</v>
      </c>
      <c r="K707" s="3" t="inlineStr">
        <is>
          <t>Garis Lurus</t>
        </is>
      </c>
      <c r="L707" s="5">
        <f>IFERROR(M707/12,"")</f>
        <v/>
      </c>
      <c r="M707" s="5">
        <f>IFERROR((H707-J707)/I707,"")</f>
        <v/>
      </c>
      <c r="N707" s="5">
        <f>IFERROR(M707,"")</f>
        <v/>
      </c>
      <c r="O707" s="5">
        <f>IFERROR(H707-N707,"")</f>
        <v/>
      </c>
      <c r="P707" s="3" t="inlineStr">
        <is>
          <t>Belum dihitung</t>
        </is>
      </c>
      <c r="Q707" s="3" t="n"/>
    </row>
    <row r="708">
      <c r="A708" s="3" t="n">
        <v>707</v>
      </c>
      <c r="B708" s="3" t="inlineStr">
        <is>
          <t>Desember 2025</t>
        </is>
      </c>
      <c r="C708" s="3">
        <f>'Data Aset'!B710</f>
        <v/>
      </c>
      <c r="D708" s="3">
        <f>'Data Aset'!F710</f>
        <v/>
      </c>
      <c r="E708" s="3" t="inlineStr">
        <is>
          <t>Inventaris Ruangan</t>
        </is>
      </c>
      <c r="F708" s="3">
        <f>'Data Aset'!C710</f>
        <v/>
      </c>
      <c r="G708" s="3">
        <f>'Data Aset'!J710</f>
        <v/>
      </c>
      <c r="H708" s="5">
        <f>'Data Aset'!M710</f>
        <v/>
      </c>
      <c r="I708" s="3">
        <f>'Data Aset'!O710</f>
        <v/>
      </c>
      <c r="J708" s="5" t="n">
        <v>0</v>
      </c>
      <c r="K708" s="3" t="inlineStr">
        <is>
          <t>Garis Lurus</t>
        </is>
      </c>
      <c r="L708" s="5">
        <f>IFERROR(M708/12,"")</f>
        <v/>
      </c>
      <c r="M708" s="5">
        <f>IFERROR((H708-J708)/I708,"")</f>
        <v/>
      </c>
      <c r="N708" s="5">
        <f>IFERROR(M708,"")</f>
        <v/>
      </c>
      <c r="O708" s="5">
        <f>IFERROR(H708-N708,"")</f>
        <v/>
      </c>
      <c r="P708" s="3" t="inlineStr">
        <is>
          <t>Belum dihitung</t>
        </is>
      </c>
      <c r="Q708" s="3" t="n"/>
    </row>
    <row r="709">
      <c r="A709" s="3" t="n">
        <v>708</v>
      </c>
      <c r="B709" s="3" t="inlineStr">
        <is>
          <t>Desember 2025</t>
        </is>
      </c>
      <c r="C709" s="3">
        <f>'Data Aset'!B711</f>
        <v/>
      </c>
      <c r="D709" s="3">
        <f>'Data Aset'!F711</f>
        <v/>
      </c>
      <c r="E709" s="3" t="inlineStr">
        <is>
          <t>Inventaris Ruangan</t>
        </is>
      </c>
      <c r="F709" s="3">
        <f>'Data Aset'!C711</f>
        <v/>
      </c>
      <c r="G709" s="3">
        <f>'Data Aset'!J711</f>
        <v/>
      </c>
      <c r="H709" s="5">
        <f>'Data Aset'!M711</f>
        <v/>
      </c>
      <c r="I709" s="3">
        <f>'Data Aset'!O711</f>
        <v/>
      </c>
      <c r="J709" s="5" t="n">
        <v>0</v>
      </c>
      <c r="K709" s="3" t="inlineStr">
        <is>
          <t>Garis Lurus</t>
        </is>
      </c>
      <c r="L709" s="5">
        <f>IFERROR(M709/12,"")</f>
        <v/>
      </c>
      <c r="M709" s="5">
        <f>IFERROR((H709-J709)/I709,"")</f>
        <v/>
      </c>
      <c r="N709" s="5">
        <f>IFERROR(M709,"")</f>
        <v/>
      </c>
      <c r="O709" s="5">
        <f>IFERROR(H709-N709,"")</f>
        <v/>
      </c>
      <c r="P709" s="3" t="inlineStr">
        <is>
          <t>Belum dihitung</t>
        </is>
      </c>
      <c r="Q709" s="3" t="n"/>
    </row>
    <row r="710">
      <c r="A710" s="3" t="n">
        <v>709</v>
      </c>
      <c r="B710" s="3" t="inlineStr">
        <is>
          <t>Desember 2025</t>
        </is>
      </c>
      <c r="C710" s="3">
        <f>'Data Aset'!B712</f>
        <v/>
      </c>
      <c r="D710" s="3">
        <f>'Data Aset'!F712</f>
        <v/>
      </c>
      <c r="E710" s="3" t="inlineStr">
        <is>
          <t>Inventaris Ruangan</t>
        </is>
      </c>
      <c r="F710" s="3">
        <f>'Data Aset'!C712</f>
        <v/>
      </c>
      <c r="G710" s="3">
        <f>'Data Aset'!J712</f>
        <v/>
      </c>
      <c r="H710" s="5">
        <f>'Data Aset'!M712</f>
        <v/>
      </c>
      <c r="I710" s="3">
        <f>'Data Aset'!O712</f>
        <v/>
      </c>
      <c r="J710" s="5" t="n">
        <v>0</v>
      </c>
      <c r="K710" s="3" t="inlineStr">
        <is>
          <t>Garis Lurus</t>
        </is>
      </c>
      <c r="L710" s="5">
        <f>IFERROR(M710/12,"")</f>
        <v/>
      </c>
      <c r="M710" s="5">
        <f>IFERROR((H710-J710)/I710,"")</f>
        <v/>
      </c>
      <c r="N710" s="5">
        <f>IFERROR(M710,"")</f>
        <v/>
      </c>
      <c r="O710" s="5">
        <f>IFERROR(H710-N710,"")</f>
        <v/>
      </c>
      <c r="P710" s="3" t="inlineStr">
        <is>
          <t>Belum dihitung</t>
        </is>
      </c>
      <c r="Q710" s="3" t="n"/>
    </row>
    <row r="711">
      <c r="A711" s="3" t="n">
        <v>710</v>
      </c>
      <c r="B711" s="3" t="inlineStr">
        <is>
          <t>Desember 2025</t>
        </is>
      </c>
      <c r="C711" s="3">
        <f>'Data Aset'!B713</f>
        <v/>
      </c>
      <c r="D711" s="3">
        <f>'Data Aset'!F713</f>
        <v/>
      </c>
      <c r="E711" s="3" t="inlineStr">
        <is>
          <t>Inventaris Ruangan</t>
        </is>
      </c>
      <c r="F711" s="3">
        <f>'Data Aset'!C713</f>
        <v/>
      </c>
      <c r="G711" s="3">
        <f>'Data Aset'!J713</f>
        <v/>
      </c>
      <c r="H711" s="5">
        <f>'Data Aset'!M713</f>
        <v/>
      </c>
      <c r="I711" s="3">
        <f>'Data Aset'!O713</f>
        <v/>
      </c>
      <c r="J711" s="5" t="n">
        <v>0</v>
      </c>
      <c r="K711" s="3" t="inlineStr">
        <is>
          <t>Garis Lurus</t>
        </is>
      </c>
      <c r="L711" s="5">
        <f>IFERROR(M711/12,"")</f>
        <v/>
      </c>
      <c r="M711" s="5">
        <f>IFERROR((H711-J711)/I711,"")</f>
        <v/>
      </c>
      <c r="N711" s="5">
        <f>IFERROR(M711,"")</f>
        <v/>
      </c>
      <c r="O711" s="5">
        <f>IFERROR(H711-N711,"")</f>
        <v/>
      </c>
      <c r="P711" s="3" t="inlineStr">
        <is>
          <t>Belum dihitung</t>
        </is>
      </c>
      <c r="Q711" s="3" t="n"/>
    </row>
    <row r="712">
      <c r="A712" s="3" t="n">
        <v>711</v>
      </c>
      <c r="B712" s="3" t="inlineStr">
        <is>
          <t>Desember 2025</t>
        </is>
      </c>
      <c r="C712" s="3">
        <f>'Data Aset'!B714</f>
        <v/>
      </c>
      <c r="D712" s="3">
        <f>'Data Aset'!F714</f>
        <v/>
      </c>
      <c r="E712" s="3" t="inlineStr">
        <is>
          <t>Inventaris Ruangan</t>
        </is>
      </c>
      <c r="F712" s="3">
        <f>'Data Aset'!C714</f>
        <v/>
      </c>
      <c r="G712" s="3">
        <f>'Data Aset'!J714</f>
        <v/>
      </c>
      <c r="H712" s="5">
        <f>'Data Aset'!M714</f>
        <v/>
      </c>
      <c r="I712" s="3">
        <f>'Data Aset'!O714</f>
        <v/>
      </c>
      <c r="J712" s="5" t="n">
        <v>0</v>
      </c>
      <c r="K712" s="3" t="inlineStr">
        <is>
          <t>Garis Lurus</t>
        </is>
      </c>
      <c r="L712" s="5">
        <f>IFERROR(M712/12,"")</f>
        <v/>
      </c>
      <c r="M712" s="5">
        <f>IFERROR((H712-J712)/I712,"")</f>
        <v/>
      </c>
      <c r="N712" s="5">
        <f>IFERROR(M712,"")</f>
        <v/>
      </c>
      <c r="O712" s="5">
        <f>IFERROR(H712-N712,"")</f>
        <v/>
      </c>
      <c r="P712" s="3" t="inlineStr">
        <is>
          <t>Belum dihitung</t>
        </is>
      </c>
      <c r="Q712" s="3" t="n"/>
    </row>
    <row r="713">
      <c r="A713" s="3" t="n">
        <v>712</v>
      </c>
      <c r="B713" s="3" t="inlineStr">
        <is>
          <t>Desember 2025</t>
        </is>
      </c>
      <c r="C713" s="3">
        <f>'Data Aset'!B715</f>
        <v/>
      </c>
      <c r="D713" s="3">
        <f>'Data Aset'!F715</f>
        <v/>
      </c>
      <c r="E713" s="3" t="inlineStr">
        <is>
          <t>Inventaris Ruangan</t>
        </is>
      </c>
      <c r="F713" s="3">
        <f>'Data Aset'!C715</f>
        <v/>
      </c>
      <c r="G713" s="3">
        <f>'Data Aset'!J715</f>
        <v/>
      </c>
      <c r="H713" s="5">
        <f>'Data Aset'!M715</f>
        <v/>
      </c>
      <c r="I713" s="3">
        <f>'Data Aset'!O715</f>
        <v/>
      </c>
      <c r="J713" s="5" t="n">
        <v>0</v>
      </c>
      <c r="K713" s="3" t="inlineStr">
        <is>
          <t>Garis Lurus</t>
        </is>
      </c>
      <c r="L713" s="5">
        <f>IFERROR(M713/12,"")</f>
        <v/>
      </c>
      <c r="M713" s="5">
        <f>IFERROR((H713-J713)/I713,"")</f>
        <v/>
      </c>
      <c r="N713" s="5">
        <f>IFERROR(M713,"")</f>
        <v/>
      </c>
      <c r="O713" s="5">
        <f>IFERROR(H713-N713,"")</f>
        <v/>
      </c>
      <c r="P713" s="3" t="inlineStr">
        <is>
          <t>Belum dihitung</t>
        </is>
      </c>
      <c r="Q713" s="3" t="n"/>
    </row>
    <row r="714">
      <c r="A714" s="3" t="n">
        <v>713</v>
      </c>
      <c r="B714" s="3" t="inlineStr">
        <is>
          <t>Desember 2025</t>
        </is>
      </c>
      <c r="C714" s="3">
        <f>'Data Aset'!B716</f>
        <v/>
      </c>
      <c r="D714" s="3">
        <f>'Data Aset'!F716</f>
        <v/>
      </c>
      <c r="E714" s="3" t="inlineStr">
        <is>
          <t>Inventaris Ruangan</t>
        </is>
      </c>
      <c r="F714" s="3">
        <f>'Data Aset'!C716</f>
        <v/>
      </c>
      <c r="G714" s="3">
        <f>'Data Aset'!J716</f>
        <v/>
      </c>
      <c r="H714" s="5">
        <f>'Data Aset'!M716</f>
        <v/>
      </c>
      <c r="I714" s="3">
        <f>'Data Aset'!O716</f>
        <v/>
      </c>
      <c r="J714" s="5" t="n">
        <v>0</v>
      </c>
      <c r="K714" s="3" t="inlineStr">
        <is>
          <t>Garis Lurus</t>
        </is>
      </c>
      <c r="L714" s="5">
        <f>IFERROR(M714/12,"")</f>
        <v/>
      </c>
      <c r="M714" s="5">
        <f>IFERROR((H714-J714)/I714,"")</f>
        <v/>
      </c>
      <c r="N714" s="5">
        <f>IFERROR(M714,"")</f>
        <v/>
      </c>
      <c r="O714" s="5">
        <f>IFERROR(H714-N714,"")</f>
        <v/>
      </c>
      <c r="P714" s="3" t="inlineStr">
        <is>
          <t>Belum dihitung</t>
        </is>
      </c>
      <c r="Q714" s="3" t="n"/>
    </row>
    <row r="715">
      <c r="A715" s="3" t="n">
        <v>714</v>
      </c>
      <c r="B715" s="3" t="inlineStr">
        <is>
          <t>Desember 2025</t>
        </is>
      </c>
      <c r="C715" s="3">
        <f>'Data Aset'!B717</f>
        <v/>
      </c>
      <c r="D715" s="3">
        <f>'Data Aset'!F717</f>
        <v/>
      </c>
      <c r="E715" s="3" t="inlineStr">
        <is>
          <t>Inventaris Ruangan</t>
        </is>
      </c>
      <c r="F715" s="3">
        <f>'Data Aset'!C717</f>
        <v/>
      </c>
      <c r="G715" s="3">
        <f>'Data Aset'!J717</f>
        <v/>
      </c>
      <c r="H715" s="5">
        <f>'Data Aset'!M717</f>
        <v/>
      </c>
      <c r="I715" s="3">
        <f>'Data Aset'!O717</f>
        <v/>
      </c>
      <c r="J715" s="5" t="n">
        <v>0</v>
      </c>
      <c r="K715" s="3" t="inlineStr">
        <is>
          <t>Garis Lurus</t>
        </is>
      </c>
      <c r="L715" s="5">
        <f>IFERROR(M715/12,"")</f>
        <v/>
      </c>
      <c r="M715" s="5">
        <f>IFERROR((H715-J715)/I715,"")</f>
        <v/>
      </c>
      <c r="N715" s="5">
        <f>IFERROR(M715,"")</f>
        <v/>
      </c>
      <c r="O715" s="5">
        <f>IFERROR(H715-N715,"")</f>
        <v/>
      </c>
      <c r="P715" s="3" t="inlineStr">
        <is>
          <t>Belum dihitung</t>
        </is>
      </c>
      <c r="Q715" s="3" t="n"/>
    </row>
    <row r="716">
      <c r="A716" s="3" t="n">
        <v>715</v>
      </c>
      <c r="B716" s="3" t="inlineStr">
        <is>
          <t>Desember 2025</t>
        </is>
      </c>
      <c r="C716" s="3">
        <f>'Data Aset'!B718</f>
        <v/>
      </c>
      <c r="D716" s="3">
        <f>'Data Aset'!F718</f>
        <v/>
      </c>
      <c r="E716" s="3" t="inlineStr">
        <is>
          <t>Inventaris Ruangan</t>
        </is>
      </c>
      <c r="F716" s="3">
        <f>'Data Aset'!C718</f>
        <v/>
      </c>
      <c r="G716" s="3">
        <f>'Data Aset'!J718</f>
        <v/>
      </c>
      <c r="H716" s="5">
        <f>'Data Aset'!M718</f>
        <v/>
      </c>
      <c r="I716" s="3">
        <f>'Data Aset'!O718</f>
        <v/>
      </c>
      <c r="J716" s="5" t="n">
        <v>0</v>
      </c>
      <c r="K716" s="3" t="inlineStr">
        <is>
          <t>Garis Lurus</t>
        </is>
      </c>
      <c r="L716" s="5">
        <f>IFERROR(M716/12,"")</f>
        <v/>
      </c>
      <c r="M716" s="5">
        <f>IFERROR((H716-J716)/I716,"")</f>
        <v/>
      </c>
      <c r="N716" s="5">
        <f>IFERROR(M716,"")</f>
        <v/>
      </c>
      <c r="O716" s="5">
        <f>IFERROR(H716-N716,"")</f>
        <v/>
      </c>
      <c r="P716" s="3" t="inlineStr">
        <is>
          <t>Belum dihitung</t>
        </is>
      </c>
      <c r="Q716" s="3" t="n"/>
    </row>
    <row r="717">
      <c r="A717" s="3" t="n">
        <v>716</v>
      </c>
      <c r="B717" s="3" t="inlineStr">
        <is>
          <t>Desember 2025</t>
        </is>
      </c>
      <c r="C717" s="3">
        <f>'Data Aset'!B719</f>
        <v/>
      </c>
      <c r="D717" s="3">
        <f>'Data Aset'!F719</f>
        <v/>
      </c>
      <c r="E717" s="3" t="inlineStr">
        <is>
          <t>Inventaris Ruangan</t>
        </is>
      </c>
      <c r="F717" s="3">
        <f>'Data Aset'!C719</f>
        <v/>
      </c>
      <c r="G717" s="3">
        <f>'Data Aset'!J719</f>
        <v/>
      </c>
      <c r="H717" s="5">
        <f>'Data Aset'!M719</f>
        <v/>
      </c>
      <c r="I717" s="3">
        <f>'Data Aset'!O719</f>
        <v/>
      </c>
      <c r="J717" s="5" t="n">
        <v>0</v>
      </c>
      <c r="K717" s="3" t="inlineStr">
        <is>
          <t>Garis Lurus</t>
        </is>
      </c>
      <c r="L717" s="5">
        <f>IFERROR(M717/12,"")</f>
        <v/>
      </c>
      <c r="M717" s="5">
        <f>IFERROR((H717-J717)/I717,"")</f>
        <v/>
      </c>
      <c r="N717" s="5">
        <f>IFERROR(M717,"")</f>
        <v/>
      </c>
      <c r="O717" s="5">
        <f>IFERROR(H717-N717,"")</f>
        <v/>
      </c>
      <c r="P717" s="3" t="inlineStr">
        <is>
          <t>Belum dihitung</t>
        </is>
      </c>
      <c r="Q717" s="3" t="n"/>
    </row>
    <row r="718">
      <c r="A718" s="3" t="n">
        <v>717</v>
      </c>
      <c r="B718" s="3" t="inlineStr">
        <is>
          <t>Desember 2025</t>
        </is>
      </c>
      <c r="C718" s="3">
        <f>'Data Aset'!B720</f>
        <v/>
      </c>
      <c r="D718" s="3">
        <f>'Data Aset'!F720</f>
        <v/>
      </c>
      <c r="E718" s="3" t="inlineStr">
        <is>
          <t>Inventaris Ruangan</t>
        </is>
      </c>
      <c r="F718" s="3">
        <f>'Data Aset'!C720</f>
        <v/>
      </c>
      <c r="G718" s="3">
        <f>'Data Aset'!J720</f>
        <v/>
      </c>
      <c r="H718" s="5">
        <f>'Data Aset'!M720</f>
        <v/>
      </c>
      <c r="I718" s="3">
        <f>'Data Aset'!O720</f>
        <v/>
      </c>
      <c r="J718" s="5" t="n">
        <v>0</v>
      </c>
      <c r="K718" s="3" t="inlineStr">
        <is>
          <t>Garis Lurus</t>
        </is>
      </c>
      <c r="L718" s="5">
        <f>IFERROR(M718/12,"")</f>
        <v/>
      </c>
      <c r="M718" s="5">
        <f>IFERROR((H718-J718)/I718,"")</f>
        <v/>
      </c>
      <c r="N718" s="5">
        <f>IFERROR(M718,"")</f>
        <v/>
      </c>
      <c r="O718" s="5">
        <f>IFERROR(H718-N718,"")</f>
        <v/>
      </c>
      <c r="P718" s="3" t="inlineStr">
        <is>
          <t>Belum dihitung</t>
        </is>
      </c>
      <c r="Q718" s="3" t="n"/>
    </row>
    <row r="719">
      <c r="A719" s="3" t="n">
        <v>718</v>
      </c>
      <c r="B719" s="3" t="inlineStr">
        <is>
          <t>Desember 2025</t>
        </is>
      </c>
      <c r="C719" s="3">
        <f>'Data Aset'!B721</f>
        <v/>
      </c>
      <c r="D719" s="3">
        <f>'Data Aset'!F721</f>
        <v/>
      </c>
      <c r="E719" s="3" t="inlineStr">
        <is>
          <t>Inventaris Ruangan</t>
        </is>
      </c>
      <c r="F719" s="3">
        <f>'Data Aset'!C721</f>
        <v/>
      </c>
      <c r="G719" s="3">
        <f>'Data Aset'!J721</f>
        <v/>
      </c>
      <c r="H719" s="5">
        <f>'Data Aset'!M721</f>
        <v/>
      </c>
      <c r="I719" s="3">
        <f>'Data Aset'!O721</f>
        <v/>
      </c>
      <c r="J719" s="5" t="n">
        <v>0</v>
      </c>
      <c r="K719" s="3" t="inlineStr">
        <is>
          <t>Garis Lurus</t>
        </is>
      </c>
      <c r="L719" s="5">
        <f>IFERROR(M719/12,"")</f>
        <v/>
      </c>
      <c r="M719" s="5">
        <f>IFERROR((H719-J719)/I719,"")</f>
        <v/>
      </c>
      <c r="N719" s="5">
        <f>IFERROR(M719,"")</f>
        <v/>
      </c>
      <c r="O719" s="5">
        <f>IFERROR(H719-N719,"")</f>
        <v/>
      </c>
      <c r="P719" s="3" t="inlineStr">
        <is>
          <t>Belum dihitung</t>
        </is>
      </c>
      <c r="Q719" s="3" t="n"/>
    </row>
    <row r="720">
      <c r="A720" s="3" t="n">
        <v>719</v>
      </c>
      <c r="B720" s="3" t="inlineStr">
        <is>
          <t>Desember 2025</t>
        </is>
      </c>
      <c r="C720" s="3">
        <f>'Data Aset'!B722</f>
        <v/>
      </c>
      <c r="D720" s="3">
        <f>'Data Aset'!F722</f>
        <v/>
      </c>
      <c r="E720" s="3" t="inlineStr">
        <is>
          <t>Inventaris Ruangan</t>
        </is>
      </c>
      <c r="F720" s="3">
        <f>'Data Aset'!C722</f>
        <v/>
      </c>
      <c r="G720" s="3">
        <f>'Data Aset'!J722</f>
        <v/>
      </c>
      <c r="H720" s="5">
        <f>'Data Aset'!M722</f>
        <v/>
      </c>
      <c r="I720" s="3">
        <f>'Data Aset'!O722</f>
        <v/>
      </c>
      <c r="J720" s="5" t="n">
        <v>0</v>
      </c>
      <c r="K720" s="3" t="inlineStr">
        <is>
          <t>Garis Lurus</t>
        </is>
      </c>
      <c r="L720" s="5">
        <f>IFERROR(M720/12,"")</f>
        <v/>
      </c>
      <c r="M720" s="5">
        <f>IFERROR((H720-J720)/I720,"")</f>
        <v/>
      </c>
      <c r="N720" s="5">
        <f>IFERROR(M720,"")</f>
        <v/>
      </c>
      <c r="O720" s="5">
        <f>IFERROR(H720-N720,"")</f>
        <v/>
      </c>
      <c r="P720" s="3" t="inlineStr">
        <is>
          <t>Belum dihitung</t>
        </is>
      </c>
      <c r="Q720" s="3" t="n"/>
    </row>
    <row r="721">
      <c r="A721" s="3" t="n">
        <v>720</v>
      </c>
      <c r="B721" s="3" t="inlineStr">
        <is>
          <t>Desember 2025</t>
        </is>
      </c>
      <c r="C721" s="3">
        <f>'Data Aset'!B723</f>
        <v/>
      </c>
      <c r="D721" s="3">
        <f>'Data Aset'!F723</f>
        <v/>
      </c>
      <c r="E721" s="3" t="inlineStr">
        <is>
          <t>Inventaris Ruangan</t>
        </is>
      </c>
      <c r="F721" s="3">
        <f>'Data Aset'!C723</f>
        <v/>
      </c>
      <c r="G721" s="3">
        <f>'Data Aset'!J723</f>
        <v/>
      </c>
      <c r="H721" s="5">
        <f>'Data Aset'!M723</f>
        <v/>
      </c>
      <c r="I721" s="3">
        <f>'Data Aset'!O723</f>
        <v/>
      </c>
      <c r="J721" s="5" t="n">
        <v>0</v>
      </c>
      <c r="K721" s="3" t="inlineStr">
        <is>
          <t>Garis Lurus</t>
        </is>
      </c>
      <c r="L721" s="5">
        <f>IFERROR(M721/12,"")</f>
        <v/>
      </c>
      <c r="M721" s="5">
        <f>IFERROR((H721-J721)/I721,"")</f>
        <v/>
      </c>
      <c r="N721" s="5">
        <f>IFERROR(M721,"")</f>
        <v/>
      </c>
      <c r="O721" s="5">
        <f>IFERROR(H721-N721,"")</f>
        <v/>
      </c>
      <c r="P721" s="3" t="inlineStr">
        <is>
          <t>Belum dihitung</t>
        </is>
      </c>
      <c r="Q721" s="3" t="n"/>
    </row>
    <row r="722">
      <c r="A722" s="3" t="n">
        <v>721</v>
      </c>
      <c r="B722" s="3" t="inlineStr">
        <is>
          <t>Desember 2025</t>
        </is>
      </c>
      <c r="C722" s="3">
        <f>'Data Aset'!B724</f>
        <v/>
      </c>
      <c r="D722" s="3">
        <f>'Data Aset'!F724</f>
        <v/>
      </c>
      <c r="E722" s="3" t="inlineStr">
        <is>
          <t>Inventaris Ruangan</t>
        </is>
      </c>
      <c r="F722" s="3">
        <f>'Data Aset'!C724</f>
        <v/>
      </c>
      <c r="G722" s="3">
        <f>'Data Aset'!J724</f>
        <v/>
      </c>
      <c r="H722" s="5">
        <f>'Data Aset'!M724</f>
        <v/>
      </c>
      <c r="I722" s="3">
        <f>'Data Aset'!O724</f>
        <v/>
      </c>
      <c r="J722" s="5" t="n">
        <v>0</v>
      </c>
      <c r="K722" s="3" t="inlineStr">
        <is>
          <t>Garis Lurus</t>
        </is>
      </c>
      <c r="L722" s="5">
        <f>IFERROR(M722/12,"")</f>
        <v/>
      </c>
      <c r="M722" s="5">
        <f>IFERROR((H722-J722)/I722,"")</f>
        <v/>
      </c>
      <c r="N722" s="5">
        <f>IFERROR(M722,"")</f>
        <v/>
      </c>
      <c r="O722" s="5">
        <f>IFERROR(H722-N722,"")</f>
        <v/>
      </c>
      <c r="P722" s="3" t="inlineStr">
        <is>
          <t>Belum dihitung</t>
        </is>
      </c>
      <c r="Q722" s="3" t="n"/>
    </row>
    <row r="723">
      <c r="A723" s="3" t="n">
        <v>722</v>
      </c>
      <c r="B723" s="3" t="inlineStr">
        <is>
          <t>Desember 2025</t>
        </is>
      </c>
      <c r="C723" s="3">
        <f>'Data Aset'!B725</f>
        <v/>
      </c>
      <c r="D723" s="3">
        <f>'Data Aset'!F725</f>
        <v/>
      </c>
      <c r="E723" s="3" t="inlineStr">
        <is>
          <t>Inventaris Ruangan</t>
        </is>
      </c>
      <c r="F723" s="3">
        <f>'Data Aset'!C725</f>
        <v/>
      </c>
      <c r="G723" s="3">
        <f>'Data Aset'!J725</f>
        <v/>
      </c>
      <c r="H723" s="5">
        <f>'Data Aset'!M725</f>
        <v/>
      </c>
      <c r="I723" s="3">
        <f>'Data Aset'!O725</f>
        <v/>
      </c>
      <c r="J723" s="5" t="n">
        <v>0</v>
      </c>
      <c r="K723" s="3" t="inlineStr">
        <is>
          <t>Garis Lurus</t>
        </is>
      </c>
      <c r="L723" s="5">
        <f>IFERROR(M723/12,"")</f>
        <v/>
      </c>
      <c r="M723" s="5">
        <f>IFERROR((H723-J723)/I723,"")</f>
        <v/>
      </c>
      <c r="N723" s="5">
        <f>IFERROR(M723,"")</f>
        <v/>
      </c>
      <c r="O723" s="5">
        <f>IFERROR(H723-N723,"")</f>
        <v/>
      </c>
      <c r="P723" s="3" t="inlineStr">
        <is>
          <t>Belum dihitung</t>
        </is>
      </c>
      <c r="Q723" s="3" t="n"/>
    </row>
    <row r="724">
      <c r="A724" s="3" t="n">
        <v>723</v>
      </c>
      <c r="B724" s="3" t="inlineStr">
        <is>
          <t>Desember 2025</t>
        </is>
      </c>
      <c r="C724" s="3">
        <f>'Data Aset'!B726</f>
        <v/>
      </c>
      <c r="D724" s="3">
        <f>'Data Aset'!F726</f>
        <v/>
      </c>
      <c r="E724" s="3" t="inlineStr">
        <is>
          <t>Inventaris Ruangan</t>
        </is>
      </c>
      <c r="F724" s="3">
        <f>'Data Aset'!C726</f>
        <v/>
      </c>
      <c r="G724" s="3">
        <f>'Data Aset'!J726</f>
        <v/>
      </c>
      <c r="H724" s="5">
        <f>'Data Aset'!M726</f>
        <v/>
      </c>
      <c r="I724" s="3">
        <f>'Data Aset'!O726</f>
        <v/>
      </c>
      <c r="J724" s="5" t="n">
        <v>0</v>
      </c>
      <c r="K724" s="3" t="inlineStr">
        <is>
          <t>Garis Lurus</t>
        </is>
      </c>
      <c r="L724" s="5">
        <f>IFERROR(M724/12,"")</f>
        <v/>
      </c>
      <c r="M724" s="5">
        <f>IFERROR((H724-J724)/I724,"")</f>
        <v/>
      </c>
      <c r="N724" s="5">
        <f>IFERROR(M724,"")</f>
        <v/>
      </c>
      <c r="O724" s="5">
        <f>IFERROR(H724-N724,"")</f>
        <v/>
      </c>
      <c r="P724" s="3" t="inlineStr">
        <is>
          <t>Belum dihitung</t>
        </is>
      </c>
      <c r="Q724" s="3" t="n"/>
    </row>
    <row r="725">
      <c r="A725" s="3" t="n">
        <v>724</v>
      </c>
      <c r="B725" s="3" t="inlineStr">
        <is>
          <t>Desember 2025</t>
        </is>
      </c>
      <c r="C725" s="3">
        <f>'Data Aset'!B727</f>
        <v/>
      </c>
      <c r="D725" s="3">
        <f>'Data Aset'!F727</f>
        <v/>
      </c>
      <c r="E725" s="3" t="inlineStr">
        <is>
          <t>Inventaris Ruangan</t>
        </is>
      </c>
      <c r="F725" s="3">
        <f>'Data Aset'!C727</f>
        <v/>
      </c>
      <c r="G725" s="3">
        <f>'Data Aset'!J727</f>
        <v/>
      </c>
      <c r="H725" s="5">
        <f>'Data Aset'!M727</f>
        <v/>
      </c>
      <c r="I725" s="3">
        <f>'Data Aset'!O727</f>
        <v/>
      </c>
      <c r="J725" s="5" t="n">
        <v>0</v>
      </c>
      <c r="K725" s="3" t="inlineStr">
        <is>
          <t>Garis Lurus</t>
        </is>
      </c>
      <c r="L725" s="5">
        <f>IFERROR(M725/12,"")</f>
        <v/>
      </c>
      <c r="M725" s="5">
        <f>IFERROR((H725-J725)/I725,"")</f>
        <v/>
      </c>
      <c r="N725" s="5">
        <f>IFERROR(M725,"")</f>
        <v/>
      </c>
      <c r="O725" s="5">
        <f>IFERROR(H725-N725,"")</f>
        <v/>
      </c>
      <c r="P725" s="3" t="inlineStr">
        <is>
          <t>Belum dihitung</t>
        </is>
      </c>
      <c r="Q725" s="3" t="n"/>
    </row>
    <row r="726">
      <c r="A726" s="3" t="n">
        <v>725</v>
      </c>
      <c r="B726" s="3" t="inlineStr">
        <is>
          <t>Desember 2025</t>
        </is>
      </c>
      <c r="C726" s="3">
        <f>'Data Aset'!B728</f>
        <v/>
      </c>
      <c r="D726" s="3">
        <f>'Data Aset'!F728</f>
        <v/>
      </c>
      <c r="E726" s="3" t="inlineStr">
        <is>
          <t>Inventaris Ruangan</t>
        </is>
      </c>
      <c r="F726" s="3">
        <f>'Data Aset'!C728</f>
        <v/>
      </c>
      <c r="G726" s="3">
        <f>'Data Aset'!J728</f>
        <v/>
      </c>
      <c r="H726" s="5">
        <f>'Data Aset'!M728</f>
        <v/>
      </c>
      <c r="I726" s="3">
        <f>'Data Aset'!O728</f>
        <v/>
      </c>
      <c r="J726" s="5" t="n">
        <v>0</v>
      </c>
      <c r="K726" s="3" t="inlineStr">
        <is>
          <t>Garis Lurus</t>
        </is>
      </c>
      <c r="L726" s="5">
        <f>IFERROR(M726/12,"")</f>
        <v/>
      </c>
      <c r="M726" s="5">
        <f>IFERROR((H726-J726)/I726,"")</f>
        <v/>
      </c>
      <c r="N726" s="5">
        <f>IFERROR(M726,"")</f>
        <v/>
      </c>
      <c r="O726" s="5">
        <f>IFERROR(H726-N726,"")</f>
        <v/>
      </c>
      <c r="P726" s="3" t="inlineStr">
        <is>
          <t>Belum dihitung</t>
        </is>
      </c>
      <c r="Q726" s="3" t="n"/>
    </row>
    <row r="727">
      <c r="A727" s="3" t="n">
        <v>726</v>
      </c>
      <c r="B727" s="3" t="inlineStr">
        <is>
          <t>Desember 2025</t>
        </is>
      </c>
      <c r="C727" s="3">
        <f>'Data Aset'!B729</f>
        <v/>
      </c>
      <c r="D727" s="3">
        <f>'Data Aset'!F729</f>
        <v/>
      </c>
      <c r="E727" s="3" t="inlineStr">
        <is>
          <t>Inventaris Ruangan</t>
        </is>
      </c>
      <c r="F727" s="3">
        <f>'Data Aset'!C729</f>
        <v/>
      </c>
      <c r="G727" s="3">
        <f>'Data Aset'!J729</f>
        <v/>
      </c>
      <c r="H727" s="5">
        <f>'Data Aset'!M729</f>
        <v/>
      </c>
      <c r="I727" s="3">
        <f>'Data Aset'!O729</f>
        <v/>
      </c>
      <c r="J727" s="5" t="n">
        <v>0</v>
      </c>
      <c r="K727" s="3" t="inlineStr">
        <is>
          <t>Garis Lurus</t>
        </is>
      </c>
      <c r="L727" s="5">
        <f>IFERROR(M727/12,"")</f>
        <v/>
      </c>
      <c r="M727" s="5">
        <f>IFERROR((H727-J727)/I727,"")</f>
        <v/>
      </c>
      <c r="N727" s="5">
        <f>IFERROR(M727,"")</f>
        <v/>
      </c>
      <c r="O727" s="5">
        <f>IFERROR(H727-N727,"")</f>
        <v/>
      </c>
      <c r="P727" s="3" t="inlineStr">
        <is>
          <t>Belum dihitung</t>
        </is>
      </c>
      <c r="Q727" s="3" t="n"/>
    </row>
    <row r="728">
      <c r="A728" s="3" t="n">
        <v>727</v>
      </c>
      <c r="B728" s="3" t="inlineStr">
        <is>
          <t>Desember 2025</t>
        </is>
      </c>
      <c r="C728" s="3">
        <f>'Data Aset'!B730</f>
        <v/>
      </c>
      <c r="D728" s="3">
        <f>'Data Aset'!F730</f>
        <v/>
      </c>
      <c r="E728" s="3" t="inlineStr">
        <is>
          <t>Inventaris Ruangan</t>
        </is>
      </c>
      <c r="F728" s="3">
        <f>'Data Aset'!C730</f>
        <v/>
      </c>
      <c r="G728" s="3">
        <f>'Data Aset'!J730</f>
        <v/>
      </c>
      <c r="H728" s="5">
        <f>'Data Aset'!M730</f>
        <v/>
      </c>
      <c r="I728" s="3">
        <f>'Data Aset'!O730</f>
        <v/>
      </c>
      <c r="J728" s="5" t="n">
        <v>0</v>
      </c>
      <c r="K728" s="3" t="inlineStr">
        <is>
          <t>Garis Lurus</t>
        </is>
      </c>
      <c r="L728" s="5">
        <f>IFERROR(M728/12,"")</f>
        <v/>
      </c>
      <c r="M728" s="5">
        <f>IFERROR((H728-J728)/I728,"")</f>
        <v/>
      </c>
      <c r="N728" s="5">
        <f>IFERROR(M728,"")</f>
        <v/>
      </c>
      <c r="O728" s="5">
        <f>IFERROR(H728-N728,"")</f>
        <v/>
      </c>
      <c r="P728" s="3" t="inlineStr">
        <is>
          <t>Belum dihitung</t>
        </is>
      </c>
      <c r="Q728" s="3" t="n"/>
    </row>
    <row r="729">
      <c r="A729" s="3" t="n">
        <v>728</v>
      </c>
      <c r="B729" s="3" t="inlineStr">
        <is>
          <t>Desember 2025</t>
        </is>
      </c>
      <c r="C729" s="3">
        <f>'Data Aset'!B731</f>
        <v/>
      </c>
      <c r="D729" s="3">
        <f>'Data Aset'!F731</f>
        <v/>
      </c>
      <c r="E729" s="3" t="inlineStr">
        <is>
          <t>Inventaris Ruangan</t>
        </is>
      </c>
      <c r="F729" s="3">
        <f>'Data Aset'!C731</f>
        <v/>
      </c>
      <c r="G729" s="3">
        <f>'Data Aset'!J731</f>
        <v/>
      </c>
      <c r="H729" s="5">
        <f>'Data Aset'!M731</f>
        <v/>
      </c>
      <c r="I729" s="3">
        <f>'Data Aset'!O731</f>
        <v/>
      </c>
      <c r="J729" s="5" t="n">
        <v>0</v>
      </c>
      <c r="K729" s="3" t="inlineStr">
        <is>
          <t>Garis Lurus</t>
        </is>
      </c>
      <c r="L729" s="5">
        <f>IFERROR(M729/12,"")</f>
        <v/>
      </c>
      <c r="M729" s="5">
        <f>IFERROR((H729-J729)/I729,"")</f>
        <v/>
      </c>
      <c r="N729" s="5">
        <f>IFERROR(M729,"")</f>
        <v/>
      </c>
      <c r="O729" s="5">
        <f>IFERROR(H729-N729,"")</f>
        <v/>
      </c>
      <c r="P729" s="3" t="inlineStr">
        <is>
          <t>Belum dihitung</t>
        </is>
      </c>
      <c r="Q729" s="3" t="n"/>
    </row>
    <row r="730">
      <c r="A730" s="3" t="n">
        <v>729</v>
      </c>
      <c r="B730" s="3" t="inlineStr">
        <is>
          <t>Desember 2025</t>
        </is>
      </c>
      <c r="C730" s="3">
        <f>'Data Aset'!B732</f>
        <v/>
      </c>
      <c r="D730" s="3">
        <f>'Data Aset'!F732</f>
        <v/>
      </c>
      <c r="E730" s="3" t="inlineStr">
        <is>
          <t>Inventaris Ruangan</t>
        </is>
      </c>
      <c r="F730" s="3">
        <f>'Data Aset'!C732</f>
        <v/>
      </c>
      <c r="G730" s="3">
        <f>'Data Aset'!J732</f>
        <v/>
      </c>
      <c r="H730" s="5">
        <f>'Data Aset'!M732</f>
        <v/>
      </c>
      <c r="I730" s="3">
        <f>'Data Aset'!O732</f>
        <v/>
      </c>
      <c r="J730" s="5" t="n">
        <v>0</v>
      </c>
      <c r="K730" s="3" t="inlineStr">
        <is>
          <t>Garis Lurus</t>
        </is>
      </c>
      <c r="L730" s="5">
        <f>IFERROR(M730/12,"")</f>
        <v/>
      </c>
      <c r="M730" s="5">
        <f>IFERROR((H730-J730)/I730,"")</f>
        <v/>
      </c>
      <c r="N730" s="5">
        <f>IFERROR(M730,"")</f>
        <v/>
      </c>
      <c r="O730" s="5">
        <f>IFERROR(H730-N730,"")</f>
        <v/>
      </c>
      <c r="P730" s="3" t="inlineStr">
        <is>
          <t>Belum dihitung</t>
        </is>
      </c>
      <c r="Q730" s="3" t="n"/>
    </row>
    <row r="731">
      <c r="A731" s="3" t="n">
        <v>730</v>
      </c>
      <c r="B731" s="3" t="inlineStr">
        <is>
          <t>Desember 2025</t>
        </is>
      </c>
      <c r="C731" s="3">
        <f>'Data Aset'!B733</f>
        <v/>
      </c>
      <c r="D731" s="3">
        <f>'Data Aset'!F733</f>
        <v/>
      </c>
      <c r="E731" s="3" t="inlineStr">
        <is>
          <t>Inventaris Ruangan</t>
        </is>
      </c>
      <c r="F731" s="3">
        <f>'Data Aset'!C733</f>
        <v/>
      </c>
      <c r="G731" s="3">
        <f>'Data Aset'!J733</f>
        <v/>
      </c>
      <c r="H731" s="5">
        <f>'Data Aset'!M733</f>
        <v/>
      </c>
      <c r="I731" s="3">
        <f>'Data Aset'!O733</f>
        <v/>
      </c>
      <c r="J731" s="5" t="n">
        <v>0</v>
      </c>
      <c r="K731" s="3" t="inlineStr">
        <is>
          <t>Garis Lurus</t>
        </is>
      </c>
      <c r="L731" s="5">
        <f>IFERROR(M731/12,"")</f>
        <v/>
      </c>
      <c r="M731" s="5">
        <f>IFERROR((H731-J731)/I731,"")</f>
        <v/>
      </c>
      <c r="N731" s="5">
        <f>IFERROR(M731,"")</f>
        <v/>
      </c>
      <c r="O731" s="5">
        <f>IFERROR(H731-N731,"")</f>
        <v/>
      </c>
      <c r="P731" s="3" t="inlineStr">
        <is>
          <t>Belum dihitung</t>
        </is>
      </c>
      <c r="Q731" s="3" t="n"/>
    </row>
    <row r="732">
      <c r="A732" s="3" t="n">
        <v>731</v>
      </c>
      <c r="B732" s="3" t="inlineStr">
        <is>
          <t>Desember 2025</t>
        </is>
      </c>
      <c r="C732" s="3">
        <f>'Data Aset'!B734</f>
        <v/>
      </c>
      <c r="D732" s="3">
        <f>'Data Aset'!F734</f>
        <v/>
      </c>
      <c r="E732" s="3" t="inlineStr">
        <is>
          <t>Inventaris Ruangan</t>
        </is>
      </c>
      <c r="F732" s="3">
        <f>'Data Aset'!C734</f>
        <v/>
      </c>
      <c r="G732" s="3">
        <f>'Data Aset'!J734</f>
        <v/>
      </c>
      <c r="H732" s="5">
        <f>'Data Aset'!M734</f>
        <v/>
      </c>
      <c r="I732" s="3">
        <f>'Data Aset'!O734</f>
        <v/>
      </c>
      <c r="J732" s="5" t="n">
        <v>0</v>
      </c>
      <c r="K732" s="3" t="inlineStr">
        <is>
          <t>Garis Lurus</t>
        </is>
      </c>
      <c r="L732" s="5">
        <f>IFERROR(M732/12,"")</f>
        <v/>
      </c>
      <c r="M732" s="5">
        <f>IFERROR((H732-J732)/I732,"")</f>
        <v/>
      </c>
      <c r="N732" s="5">
        <f>IFERROR(M732,"")</f>
        <v/>
      </c>
      <c r="O732" s="5">
        <f>IFERROR(H732-N732,"")</f>
        <v/>
      </c>
      <c r="P732" s="3" t="inlineStr">
        <is>
          <t>Belum dihitung</t>
        </is>
      </c>
      <c r="Q732" s="3" t="n"/>
    </row>
    <row r="733">
      <c r="A733" s="3" t="n">
        <v>732</v>
      </c>
      <c r="B733" s="3" t="inlineStr">
        <is>
          <t>Desember 2025</t>
        </is>
      </c>
      <c r="C733" s="3">
        <f>'Data Aset'!B735</f>
        <v/>
      </c>
      <c r="D733" s="3">
        <f>'Data Aset'!F735</f>
        <v/>
      </c>
      <c r="E733" s="3" t="inlineStr">
        <is>
          <t>Inventaris Ruangan</t>
        </is>
      </c>
      <c r="F733" s="3">
        <f>'Data Aset'!C735</f>
        <v/>
      </c>
      <c r="G733" s="3">
        <f>'Data Aset'!J735</f>
        <v/>
      </c>
      <c r="H733" s="5">
        <f>'Data Aset'!M735</f>
        <v/>
      </c>
      <c r="I733" s="3">
        <f>'Data Aset'!O735</f>
        <v/>
      </c>
      <c r="J733" s="5" t="n">
        <v>0</v>
      </c>
      <c r="K733" s="3" t="inlineStr">
        <is>
          <t>Garis Lurus</t>
        </is>
      </c>
      <c r="L733" s="5">
        <f>IFERROR(M733/12,"")</f>
        <v/>
      </c>
      <c r="M733" s="5">
        <f>IFERROR((H733-J733)/I733,"")</f>
        <v/>
      </c>
      <c r="N733" s="5">
        <f>IFERROR(M733,"")</f>
        <v/>
      </c>
      <c r="O733" s="5">
        <f>IFERROR(H733-N733,"")</f>
        <v/>
      </c>
      <c r="P733" s="3" t="inlineStr">
        <is>
          <t>Belum dihitung</t>
        </is>
      </c>
      <c r="Q733" s="3" t="n"/>
    </row>
    <row r="734">
      <c r="A734" s="3" t="n">
        <v>733</v>
      </c>
      <c r="B734" s="3" t="inlineStr">
        <is>
          <t>Desember 2025</t>
        </is>
      </c>
      <c r="C734" s="3">
        <f>'Data Aset'!B736</f>
        <v/>
      </c>
      <c r="D734" s="3">
        <f>'Data Aset'!F736</f>
        <v/>
      </c>
      <c r="E734" s="3" t="inlineStr">
        <is>
          <t>Inventaris Ruangan</t>
        </is>
      </c>
      <c r="F734" s="3">
        <f>'Data Aset'!C736</f>
        <v/>
      </c>
      <c r="G734" s="3">
        <f>'Data Aset'!J736</f>
        <v/>
      </c>
      <c r="H734" s="5">
        <f>'Data Aset'!M736</f>
        <v/>
      </c>
      <c r="I734" s="3">
        <f>'Data Aset'!O736</f>
        <v/>
      </c>
      <c r="J734" s="5" t="n">
        <v>0</v>
      </c>
      <c r="K734" s="3" t="inlineStr">
        <is>
          <t>Garis Lurus</t>
        </is>
      </c>
      <c r="L734" s="5">
        <f>IFERROR(M734/12,"")</f>
        <v/>
      </c>
      <c r="M734" s="5">
        <f>IFERROR((H734-J734)/I734,"")</f>
        <v/>
      </c>
      <c r="N734" s="5">
        <f>IFERROR(M734,"")</f>
        <v/>
      </c>
      <c r="O734" s="5">
        <f>IFERROR(H734-N734,"")</f>
        <v/>
      </c>
      <c r="P734" s="3" t="inlineStr">
        <is>
          <t>Belum dihitung</t>
        </is>
      </c>
      <c r="Q734" s="3" t="n"/>
    </row>
    <row r="735">
      <c r="A735" s="3" t="n">
        <v>734</v>
      </c>
      <c r="B735" s="3" t="inlineStr">
        <is>
          <t>Desember 2025</t>
        </is>
      </c>
      <c r="C735" s="3">
        <f>'Data Aset'!B737</f>
        <v/>
      </c>
      <c r="D735" s="3">
        <f>'Data Aset'!F737</f>
        <v/>
      </c>
      <c r="E735" s="3" t="inlineStr">
        <is>
          <t>Inventaris Ruangan</t>
        </is>
      </c>
      <c r="F735" s="3">
        <f>'Data Aset'!C737</f>
        <v/>
      </c>
      <c r="G735" s="3">
        <f>'Data Aset'!J737</f>
        <v/>
      </c>
      <c r="H735" s="5">
        <f>'Data Aset'!M737</f>
        <v/>
      </c>
      <c r="I735" s="3">
        <f>'Data Aset'!O737</f>
        <v/>
      </c>
      <c r="J735" s="5" t="n">
        <v>0</v>
      </c>
      <c r="K735" s="3" t="inlineStr">
        <is>
          <t>Garis Lurus</t>
        </is>
      </c>
      <c r="L735" s="5">
        <f>IFERROR(M735/12,"")</f>
        <v/>
      </c>
      <c r="M735" s="5">
        <f>IFERROR((H735-J735)/I735,"")</f>
        <v/>
      </c>
      <c r="N735" s="5">
        <f>IFERROR(M735,"")</f>
        <v/>
      </c>
      <c r="O735" s="5">
        <f>IFERROR(H735-N735,"")</f>
        <v/>
      </c>
      <c r="P735" s="3" t="inlineStr">
        <is>
          <t>Belum dihitung</t>
        </is>
      </c>
      <c r="Q735" s="3" t="n"/>
    </row>
    <row r="736">
      <c r="A736" s="3" t="n">
        <v>735</v>
      </c>
      <c r="B736" s="3" t="inlineStr">
        <is>
          <t>Desember 2025</t>
        </is>
      </c>
      <c r="C736" s="3">
        <f>'Data Aset'!B738</f>
        <v/>
      </c>
      <c r="D736" s="3">
        <f>'Data Aset'!F738</f>
        <v/>
      </c>
      <c r="E736" s="3" t="inlineStr">
        <is>
          <t>Inventaris Ruangan</t>
        </is>
      </c>
      <c r="F736" s="3">
        <f>'Data Aset'!C738</f>
        <v/>
      </c>
      <c r="G736" s="3">
        <f>'Data Aset'!J738</f>
        <v/>
      </c>
      <c r="H736" s="5">
        <f>'Data Aset'!M738</f>
        <v/>
      </c>
      <c r="I736" s="3">
        <f>'Data Aset'!O738</f>
        <v/>
      </c>
      <c r="J736" s="5" t="n">
        <v>0</v>
      </c>
      <c r="K736" s="3" t="inlineStr">
        <is>
          <t>Garis Lurus</t>
        </is>
      </c>
      <c r="L736" s="5">
        <f>IFERROR(M736/12,"")</f>
        <v/>
      </c>
      <c r="M736" s="5">
        <f>IFERROR((H736-J736)/I736,"")</f>
        <v/>
      </c>
      <c r="N736" s="5">
        <f>IFERROR(M736,"")</f>
        <v/>
      </c>
      <c r="O736" s="5">
        <f>IFERROR(H736-N736,"")</f>
        <v/>
      </c>
      <c r="P736" s="3" t="inlineStr">
        <is>
          <t>Belum dihitung</t>
        </is>
      </c>
      <c r="Q736" s="3" t="n"/>
    </row>
    <row r="737">
      <c r="A737" s="3" t="n">
        <v>736</v>
      </c>
      <c r="B737" s="3" t="inlineStr">
        <is>
          <t>Desember 2025</t>
        </is>
      </c>
      <c r="C737" s="3">
        <f>'Data Aset'!B739</f>
        <v/>
      </c>
      <c r="D737" s="3">
        <f>'Data Aset'!F739</f>
        <v/>
      </c>
      <c r="E737" s="3" t="inlineStr">
        <is>
          <t>Inventaris Ruangan</t>
        </is>
      </c>
      <c r="F737" s="3">
        <f>'Data Aset'!C739</f>
        <v/>
      </c>
      <c r="G737" s="3">
        <f>'Data Aset'!J739</f>
        <v/>
      </c>
      <c r="H737" s="5">
        <f>'Data Aset'!M739</f>
        <v/>
      </c>
      <c r="I737" s="3">
        <f>'Data Aset'!O739</f>
        <v/>
      </c>
      <c r="J737" s="5" t="n">
        <v>0</v>
      </c>
      <c r="K737" s="3" t="inlineStr">
        <is>
          <t>Garis Lurus</t>
        </is>
      </c>
      <c r="L737" s="5">
        <f>IFERROR(M737/12,"")</f>
        <v/>
      </c>
      <c r="M737" s="5">
        <f>IFERROR((H737-J737)/I737,"")</f>
        <v/>
      </c>
      <c r="N737" s="5">
        <f>IFERROR(M737,"")</f>
        <v/>
      </c>
      <c r="O737" s="5">
        <f>IFERROR(H737-N737,"")</f>
        <v/>
      </c>
      <c r="P737" s="3" t="inlineStr">
        <is>
          <t>Belum dihitung</t>
        </is>
      </c>
      <c r="Q737" s="3" t="n"/>
    </row>
    <row r="738">
      <c r="A738" s="3" t="n">
        <v>737</v>
      </c>
      <c r="B738" s="3" t="inlineStr">
        <is>
          <t>Desember 2025</t>
        </is>
      </c>
      <c r="C738" s="3">
        <f>'Data Aset'!B740</f>
        <v/>
      </c>
      <c r="D738" s="3">
        <f>'Data Aset'!F740</f>
        <v/>
      </c>
      <c r="E738" s="3" t="inlineStr">
        <is>
          <t>Inventaris Ruangan</t>
        </is>
      </c>
      <c r="F738" s="3">
        <f>'Data Aset'!C740</f>
        <v/>
      </c>
      <c r="G738" s="3">
        <f>'Data Aset'!J740</f>
        <v/>
      </c>
      <c r="H738" s="5">
        <f>'Data Aset'!M740</f>
        <v/>
      </c>
      <c r="I738" s="3">
        <f>'Data Aset'!O740</f>
        <v/>
      </c>
      <c r="J738" s="5" t="n">
        <v>0</v>
      </c>
      <c r="K738" s="3" t="inlineStr">
        <is>
          <t>Garis Lurus</t>
        </is>
      </c>
      <c r="L738" s="5">
        <f>IFERROR(M738/12,"")</f>
        <v/>
      </c>
      <c r="M738" s="5">
        <f>IFERROR((H738-J738)/I738,"")</f>
        <v/>
      </c>
      <c r="N738" s="5">
        <f>IFERROR(M738,"")</f>
        <v/>
      </c>
      <c r="O738" s="5">
        <f>IFERROR(H738-N738,"")</f>
        <v/>
      </c>
      <c r="P738" s="3" t="inlineStr">
        <is>
          <t>Belum dihitung</t>
        </is>
      </c>
      <c r="Q738" s="3" t="n"/>
    </row>
    <row r="739">
      <c r="A739" s="3" t="n">
        <v>738</v>
      </c>
      <c r="B739" s="3" t="inlineStr">
        <is>
          <t>Desember 2025</t>
        </is>
      </c>
      <c r="C739" s="3">
        <f>'Data Aset'!B741</f>
        <v/>
      </c>
      <c r="D739" s="3">
        <f>'Data Aset'!F741</f>
        <v/>
      </c>
      <c r="E739" s="3" t="inlineStr">
        <is>
          <t>Inventaris Ruangan</t>
        </is>
      </c>
      <c r="F739" s="3">
        <f>'Data Aset'!C741</f>
        <v/>
      </c>
      <c r="G739" s="3">
        <f>'Data Aset'!J741</f>
        <v/>
      </c>
      <c r="H739" s="5">
        <f>'Data Aset'!M741</f>
        <v/>
      </c>
      <c r="I739" s="3">
        <f>'Data Aset'!O741</f>
        <v/>
      </c>
      <c r="J739" s="5" t="n">
        <v>0</v>
      </c>
      <c r="K739" s="3" t="inlineStr">
        <is>
          <t>Garis Lurus</t>
        </is>
      </c>
      <c r="L739" s="5">
        <f>IFERROR(M739/12,"")</f>
        <v/>
      </c>
      <c r="M739" s="5">
        <f>IFERROR((H739-J739)/I739,"")</f>
        <v/>
      </c>
      <c r="N739" s="5">
        <f>IFERROR(M739,"")</f>
        <v/>
      </c>
      <c r="O739" s="5">
        <f>IFERROR(H739-N739,"")</f>
        <v/>
      </c>
      <c r="P739" s="3" t="inlineStr">
        <is>
          <t>Belum dihitung</t>
        </is>
      </c>
      <c r="Q739" s="3" t="n"/>
    </row>
    <row r="740">
      <c r="A740" s="3" t="n">
        <v>739</v>
      </c>
      <c r="B740" s="3" t="inlineStr">
        <is>
          <t>Desember 2025</t>
        </is>
      </c>
      <c r="C740" s="3">
        <f>'Data Aset'!B742</f>
        <v/>
      </c>
      <c r="D740" s="3">
        <f>'Data Aset'!F742</f>
        <v/>
      </c>
      <c r="E740" s="3" t="inlineStr">
        <is>
          <t>Inventaris Ruangan</t>
        </is>
      </c>
      <c r="F740" s="3">
        <f>'Data Aset'!C742</f>
        <v/>
      </c>
      <c r="G740" s="3">
        <f>'Data Aset'!J742</f>
        <v/>
      </c>
      <c r="H740" s="5">
        <f>'Data Aset'!M742</f>
        <v/>
      </c>
      <c r="I740" s="3">
        <f>'Data Aset'!O742</f>
        <v/>
      </c>
      <c r="J740" s="5" t="n">
        <v>0</v>
      </c>
      <c r="K740" s="3" t="inlineStr">
        <is>
          <t>Garis Lurus</t>
        </is>
      </c>
      <c r="L740" s="5">
        <f>IFERROR(M740/12,"")</f>
        <v/>
      </c>
      <c r="M740" s="5">
        <f>IFERROR((H740-J740)/I740,"")</f>
        <v/>
      </c>
      <c r="N740" s="5">
        <f>IFERROR(M740,"")</f>
        <v/>
      </c>
      <c r="O740" s="5">
        <f>IFERROR(H740-N740,"")</f>
        <v/>
      </c>
      <c r="P740" s="3" t="inlineStr">
        <is>
          <t>Belum dihitung</t>
        </is>
      </c>
      <c r="Q740" s="3" t="n"/>
    </row>
    <row r="741">
      <c r="A741" s="3" t="n">
        <v>740</v>
      </c>
      <c r="B741" s="3" t="inlineStr">
        <is>
          <t>Desember 2025</t>
        </is>
      </c>
      <c r="C741" s="3">
        <f>'Data Aset'!B743</f>
        <v/>
      </c>
      <c r="D741" s="3">
        <f>'Data Aset'!F743</f>
        <v/>
      </c>
      <c r="E741" s="3" t="inlineStr">
        <is>
          <t>Inventaris Ruangan</t>
        </is>
      </c>
      <c r="F741" s="3">
        <f>'Data Aset'!C743</f>
        <v/>
      </c>
      <c r="G741" s="3">
        <f>'Data Aset'!J743</f>
        <v/>
      </c>
      <c r="H741" s="5">
        <f>'Data Aset'!M743</f>
        <v/>
      </c>
      <c r="I741" s="3">
        <f>'Data Aset'!O743</f>
        <v/>
      </c>
      <c r="J741" s="5" t="n">
        <v>0</v>
      </c>
      <c r="K741" s="3" t="inlineStr">
        <is>
          <t>Garis Lurus</t>
        </is>
      </c>
      <c r="L741" s="5">
        <f>IFERROR(M741/12,"")</f>
        <v/>
      </c>
      <c r="M741" s="5">
        <f>IFERROR((H741-J741)/I741,"")</f>
        <v/>
      </c>
      <c r="N741" s="5">
        <f>IFERROR(M741,"")</f>
        <v/>
      </c>
      <c r="O741" s="5">
        <f>IFERROR(H741-N741,"")</f>
        <v/>
      </c>
      <c r="P741" s="3" t="inlineStr">
        <is>
          <t>Belum dihitung</t>
        </is>
      </c>
      <c r="Q741" s="3" t="n"/>
    </row>
    <row r="742">
      <c r="A742" s="3" t="n">
        <v>741</v>
      </c>
      <c r="B742" s="3" t="inlineStr">
        <is>
          <t>Desember 2025</t>
        </is>
      </c>
      <c r="C742" s="3">
        <f>'Data Aset'!B744</f>
        <v/>
      </c>
      <c r="D742" s="3">
        <f>'Data Aset'!F744</f>
        <v/>
      </c>
      <c r="E742" s="3" t="inlineStr">
        <is>
          <t>Inventaris Ruangan</t>
        </is>
      </c>
      <c r="F742" s="3">
        <f>'Data Aset'!C744</f>
        <v/>
      </c>
      <c r="G742" s="3">
        <f>'Data Aset'!J744</f>
        <v/>
      </c>
      <c r="H742" s="5">
        <f>'Data Aset'!M744</f>
        <v/>
      </c>
      <c r="I742" s="3">
        <f>'Data Aset'!O744</f>
        <v/>
      </c>
      <c r="J742" s="5" t="n">
        <v>0</v>
      </c>
      <c r="K742" s="3" t="inlineStr">
        <is>
          <t>Garis Lurus</t>
        </is>
      </c>
      <c r="L742" s="5">
        <f>IFERROR(M742/12,"")</f>
        <v/>
      </c>
      <c r="M742" s="5">
        <f>IFERROR((H742-J742)/I742,"")</f>
        <v/>
      </c>
      <c r="N742" s="5">
        <f>IFERROR(M742,"")</f>
        <v/>
      </c>
      <c r="O742" s="5">
        <f>IFERROR(H742-N742,"")</f>
        <v/>
      </c>
      <c r="P742" s="3" t="inlineStr">
        <is>
          <t>Belum dihitung</t>
        </is>
      </c>
      <c r="Q742" s="3" t="n"/>
    </row>
    <row r="743">
      <c r="A743" s="3" t="n">
        <v>742</v>
      </c>
      <c r="B743" s="3" t="inlineStr">
        <is>
          <t>Desember 2025</t>
        </is>
      </c>
      <c r="C743" s="3">
        <f>'Data Aset'!B745</f>
        <v/>
      </c>
      <c r="D743" s="3">
        <f>'Data Aset'!F745</f>
        <v/>
      </c>
      <c r="E743" s="3" t="inlineStr">
        <is>
          <t>Inventaris Ruangan</t>
        </is>
      </c>
      <c r="F743" s="3">
        <f>'Data Aset'!C745</f>
        <v/>
      </c>
      <c r="G743" s="3">
        <f>'Data Aset'!J745</f>
        <v/>
      </c>
      <c r="H743" s="5">
        <f>'Data Aset'!M745</f>
        <v/>
      </c>
      <c r="I743" s="3">
        <f>'Data Aset'!O745</f>
        <v/>
      </c>
      <c r="J743" s="5" t="n">
        <v>0</v>
      </c>
      <c r="K743" s="3" t="inlineStr">
        <is>
          <t>Garis Lurus</t>
        </is>
      </c>
      <c r="L743" s="5">
        <f>IFERROR(M743/12,"")</f>
        <v/>
      </c>
      <c r="M743" s="5">
        <f>IFERROR((H743-J743)/I743,"")</f>
        <v/>
      </c>
      <c r="N743" s="5">
        <f>IFERROR(M743,"")</f>
        <v/>
      </c>
      <c r="O743" s="5">
        <f>IFERROR(H743-N743,"")</f>
        <v/>
      </c>
      <c r="P743" s="3" t="inlineStr">
        <is>
          <t>Belum dihitung</t>
        </is>
      </c>
      <c r="Q743" s="3" t="n"/>
    </row>
    <row r="744">
      <c r="A744" s="3" t="n">
        <v>743</v>
      </c>
      <c r="B744" s="3" t="inlineStr">
        <is>
          <t>Desember 2025</t>
        </is>
      </c>
      <c r="C744" s="3">
        <f>'Data Aset'!B746</f>
        <v/>
      </c>
      <c r="D744" s="3">
        <f>'Data Aset'!F746</f>
        <v/>
      </c>
      <c r="E744" s="3" t="inlineStr">
        <is>
          <t>Inventaris Ruangan</t>
        </is>
      </c>
      <c r="F744" s="3">
        <f>'Data Aset'!C746</f>
        <v/>
      </c>
      <c r="G744" s="3">
        <f>'Data Aset'!J746</f>
        <v/>
      </c>
      <c r="H744" s="5">
        <f>'Data Aset'!M746</f>
        <v/>
      </c>
      <c r="I744" s="3">
        <f>'Data Aset'!O746</f>
        <v/>
      </c>
      <c r="J744" s="5" t="n">
        <v>0</v>
      </c>
      <c r="K744" s="3" t="inlineStr">
        <is>
          <t>Garis Lurus</t>
        </is>
      </c>
      <c r="L744" s="5">
        <f>IFERROR(M744/12,"")</f>
        <v/>
      </c>
      <c r="M744" s="5">
        <f>IFERROR((H744-J744)/I744,"")</f>
        <v/>
      </c>
      <c r="N744" s="5">
        <f>IFERROR(M744,"")</f>
        <v/>
      </c>
      <c r="O744" s="5">
        <f>IFERROR(H744-N744,"")</f>
        <v/>
      </c>
      <c r="P744" s="3" t="inlineStr">
        <is>
          <t>Belum dihitung</t>
        </is>
      </c>
      <c r="Q744" s="3" t="n"/>
    </row>
    <row r="745">
      <c r="A745" s="3" t="n">
        <v>744</v>
      </c>
      <c r="B745" s="3" t="inlineStr">
        <is>
          <t>Desember 2025</t>
        </is>
      </c>
      <c r="C745" s="3">
        <f>'Data Aset'!B747</f>
        <v/>
      </c>
      <c r="D745" s="3">
        <f>'Data Aset'!F747</f>
        <v/>
      </c>
      <c r="E745" s="3" t="inlineStr">
        <is>
          <t>Inventaris Ruangan</t>
        </is>
      </c>
      <c r="F745" s="3">
        <f>'Data Aset'!C747</f>
        <v/>
      </c>
      <c r="G745" s="3">
        <f>'Data Aset'!J747</f>
        <v/>
      </c>
      <c r="H745" s="5">
        <f>'Data Aset'!M747</f>
        <v/>
      </c>
      <c r="I745" s="3">
        <f>'Data Aset'!O747</f>
        <v/>
      </c>
      <c r="J745" s="5" t="n">
        <v>0</v>
      </c>
      <c r="K745" s="3" t="inlineStr">
        <is>
          <t>Garis Lurus</t>
        </is>
      </c>
      <c r="L745" s="5">
        <f>IFERROR(M745/12,"")</f>
        <v/>
      </c>
      <c r="M745" s="5">
        <f>IFERROR((H745-J745)/I745,"")</f>
        <v/>
      </c>
      <c r="N745" s="5">
        <f>IFERROR(M745,"")</f>
        <v/>
      </c>
      <c r="O745" s="5">
        <f>IFERROR(H745-N745,"")</f>
        <v/>
      </c>
      <c r="P745" s="3" t="inlineStr">
        <is>
          <t>Belum dihitung</t>
        </is>
      </c>
      <c r="Q745" s="3" t="n"/>
    </row>
    <row r="746">
      <c r="A746" s="3" t="n">
        <v>745</v>
      </c>
      <c r="B746" s="3" t="inlineStr">
        <is>
          <t>Desember 2025</t>
        </is>
      </c>
      <c r="C746" s="3">
        <f>'Data Aset'!B748</f>
        <v/>
      </c>
      <c r="D746" s="3">
        <f>'Data Aset'!F748</f>
        <v/>
      </c>
      <c r="E746" s="3" t="inlineStr">
        <is>
          <t>Inventaris Ruangan</t>
        </is>
      </c>
      <c r="F746" s="3">
        <f>'Data Aset'!C748</f>
        <v/>
      </c>
      <c r="G746" s="3">
        <f>'Data Aset'!J748</f>
        <v/>
      </c>
      <c r="H746" s="5">
        <f>'Data Aset'!M748</f>
        <v/>
      </c>
      <c r="I746" s="3">
        <f>'Data Aset'!O748</f>
        <v/>
      </c>
      <c r="J746" s="5" t="n">
        <v>0</v>
      </c>
      <c r="K746" s="3" t="inlineStr">
        <is>
          <t>Garis Lurus</t>
        </is>
      </c>
      <c r="L746" s="5">
        <f>IFERROR(M746/12,"")</f>
        <v/>
      </c>
      <c r="M746" s="5">
        <f>IFERROR((H746-J746)/I746,"")</f>
        <v/>
      </c>
      <c r="N746" s="5">
        <f>IFERROR(M746,"")</f>
        <v/>
      </c>
      <c r="O746" s="5">
        <f>IFERROR(H746-N746,"")</f>
        <v/>
      </c>
      <c r="P746" s="3" t="inlineStr">
        <is>
          <t>Belum dihitung</t>
        </is>
      </c>
      <c r="Q746" s="3" t="n"/>
    </row>
    <row r="747">
      <c r="A747" s="3" t="n">
        <v>746</v>
      </c>
      <c r="B747" s="3" t="inlineStr">
        <is>
          <t>Desember 2025</t>
        </is>
      </c>
      <c r="C747" s="3">
        <f>'Data Aset'!B749</f>
        <v/>
      </c>
      <c r="D747" s="3">
        <f>'Data Aset'!F749</f>
        <v/>
      </c>
      <c r="E747" s="3" t="inlineStr">
        <is>
          <t>Inventaris Ruangan</t>
        </is>
      </c>
      <c r="F747" s="3">
        <f>'Data Aset'!C749</f>
        <v/>
      </c>
      <c r="G747" s="3">
        <f>'Data Aset'!J749</f>
        <v/>
      </c>
      <c r="H747" s="5">
        <f>'Data Aset'!M749</f>
        <v/>
      </c>
      <c r="I747" s="3">
        <f>'Data Aset'!O749</f>
        <v/>
      </c>
      <c r="J747" s="5" t="n">
        <v>0</v>
      </c>
      <c r="K747" s="3" t="inlineStr">
        <is>
          <t>Garis Lurus</t>
        </is>
      </c>
      <c r="L747" s="5">
        <f>IFERROR(M747/12,"")</f>
        <v/>
      </c>
      <c r="M747" s="5">
        <f>IFERROR((H747-J747)/I747,"")</f>
        <v/>
      </c>
      <c r="N747" s="5">
        <f>IFERROR(M747,"")</f>
        <v/>
      </c>
      <c r="O747" s="5">
        <f>IFERROR(H747-N747,"")</f>
        <v/>
      </c>
      <c r="P747" s="3" t="inlineStr">
        <is>
          <t>Belum dihitung</t>
        </is>
      </c>
      <c r="Q747" s="3" t="n"/>
    </row>
    <row r="748">
      <c r="A748" s="3" t="n">
        <v>747</v>
      </c>
      <c r="B748" s="3" t="inlineStr">
        <is>
          <t>Desember 2025</t>
        </is>
      </c>
      <c r="C748" s="3">
        <f>'Data Aset'!B750</f>
        <v/>
      </c>
      <c r="D748" s="3">
        <f>'Data Aset'!F750</f>
        <v/>
      </c>
      <c r="E748" s="3" t="inlineStr">
        <is>
          <t>Inventaris Ruangan</t>
        </is>
      </c>
      <c r="F748" s="3">
        <f>'Data Aset'!C750</f>
        <v/>
      </c>
      <c r="G748" s="3">
        <f>'Data Aset'!J750</f>
        <v/>
      </c>
      <c r="H748" s="5">
        <f>'Data Aset'!M750</f>
        <v/>
      </c>
      <c r="I748" s="3">
        <f>'Data Aset'!O750</f>
        <v/>
      </c>
      <c r="J748" s="5" t="n">
        <v>0</v>
      </c>
      <c r="K748" s="3" t="inlineStr">
        <is>
          <t>Garis Lurus</t>
        </is>
      </c>
      <c r="L748" s="5">
        <f>IFERROR(M748/12,"")</f>
        <v/>
      </c>
      <c r="M748" s="5">
        <f>IFERROR((H748-J748)/I748,"")</f>
        <v/>
      </c>
      <c r="N748" s="5">
        <f>IFERROR(M748,"")</f>
        <v/>
      </c>
      <c r="O748" s="5">
        <f>IFERROR(H748-N748,"")</f>
        <v/>
      </c>
      <c r="P748" s="3" t="inlineStr">
        <is>
          <t>Belum dihitung</t>
        </is>
      </c>
      <c r="Q748" s="3" t="n"/>
    </row>
    <row r="749">
      <c r="A749" s="3" t="n">
        <v>748</v>
      </c>
      <c r="B749" s="3" t="inlineStr">
        <is>
          <t>Desember 2025</t>
        </is>
      </c>
      <c r="C749" s="3">
        <f>'Data Aset'!B751</f>
        <v/>
      </c>
      <c r="D749" s="3">
        <f>'Data Aset'!F751</f>
        <v/>
      </c>
      <c r="E749" s="3" t="inlineStr">
        <is>
          <t>Inventaris Ruangan</t>
        </is>
      </c>
      <c r="F749" s="3">
        <f>'Data Aset'!C751</f>
        <v/>
      </c>
      <c r="G749" s="3">
        <f>'Data Aset'!J751</f>
        <v/>
      </c>
      <c r="H749" s="5">
        <f>'Data Aset'!M751</f>
        <v/>
      </c>
      <c r="I749" s="3">
        <f>'Data Aset'!O751</f>
        <v/>
      </c>
      <c r="J749" s="5" t="n">
        <v>0</v>
      </c>
      <c r="K749" s="3" t="inlineStr">
        <is>
          <t>Garis Lurus</t>
        </is>
      </c>
      <c r="L749" s="5">
        <f>IFERROR(M749/12,"")</f>
        <v/>
      </c>
      <c r="M749" s="5">
        <f>IFERROR((H749-J749)/I749,"")</f>
        <v/>
      </c>
      <c r="N749" s="5">
        <f>IFERROR(M749,"")</f>
        <v/>
      </c>
      <c r="O749" s="5">
        <f>IFERROR(H749-N749,"")</f>
        <v/>
      </c>
      <c r="P749" s="3" t="inlineStr">
        <is>
          <t>Belum dihitung</t>
        </is>
      </c>
      <c r="Q749" s="3" t="n"/>
    </row>
    <row r="750">
      <c r="A750" s="3" t="n">
        <v>749</v>
      </c>
      <c r="B750" s="3" t="inlineStr">
        <is>
          <t>Desember 2025</t>
        </is>
      </c>
      <c r="C750" s="3">
        <f>'Data Aset'!B752</f>
        <v/>
      </c>
      <c r="D750" s="3">
        <f>'Data Aset'!F752</f>
        <v/>
      </c>
      <c r="E750" s="3" t="inlineStr">
        <is>
          <t>Inventaris Ruangan</t>
        </is>
      </c>
      <c r="F750" s="3">
        <f>'Data Aset'!C752</f>
        <v/>
      </c>
      <c r="G750" s="3">
        <f>'Data Aset'!J752</f>
        <v/>
      </c>
      <c r="H750" s="5">
        <f>'Data Aset'!M752</f>
        <v/>
      </c>
      <c r="I750" s="3">
        <f>'Data Aset'!O752</f>
        <v/>
      </c>
      <c r="J750" s="5" t="n">
        <v>0</v>
      </c>
      <c r="K750" s="3" t="inlineStr">
        <is>
          <t>Garis Lurus</t>
        </is>
      </c>
      <c r="L750" s="5">
        <f>IFERROR(M750/12,"")</f>
        <v/>
      </c>
      <c r="M750" s="5">
        <f>IFERROR((H750-J750)/I750,"")</f>
        <v/>
      </c>
      <c r="N750" s="5">
        <f>IFERROR(M750,"")</f>
        <v/>
      </c>
      <c r="O750" s="5">
        <f>IFERROR(H750-N750,"")</f>
        <v/>
      </c>
      <c r="P750" s="3" t="inlineStr">
        <is>
          <t>Belum dihitung</t>
        </is>
      </c>
      <c r="Q750" s="3" t="n"/>
    </row>
    <row r="751">
      <c r="A751" s="3" t="n">
        <v>750</v>
      </c>
      <c r="B751" s="3" t="inlineStr">
        <is>
          <t>Desember 2025</t>
        </is>
      </c>
      <c r="C751" s="3">
        <f>'Data Aset'!B753</f>
        <v/>
      </c>
      <c r="D751" s="3">
        <f>'Data Aset'!F753</f>
        <v/>
      </c>
      <c r="E751" s="3" t="inlineStr">
        <is>
          <t>Inventaris Ruangan</t>
        </is>
      </c>
      <c r="F751" s="3">
        <f>'Data Aset'!C753</f>
        <v/>
      </c>
      <c r="G751" s="3">
        <f>'Data Aset'!J753</f>
        <v/>
      </c>
      <c r="H751" s="5">
        <f>'Data Aset'!M753</f>
        <v/>
      </c>
      <c r="I751" s="3">
        <f>'Data Aset'!O753</f>
        <v/>
      </c>
      <c r="J751" s="5" t="n">
        <v>0</v>
      </c>
      <c r="K751" s="3" t="inlineStr">
        <is>
          <t>Garis Lurus</t>
        </is>
      </c>
      <c r="L751" s="5">
        <f>IFERROR(M751/12,"")</f>
        <v/>
      </c>
      <c r="M751" s="5">
        <f>IFERROR((H751-J751)/I751,"")</f>
        <v/>
      </c>
      <c r="N751" s="5">
        <f>IFERROR(M751,"")</f>
        <v/>
      </c>
      <c r="O751" s="5">
        <f>IFERROR(H751-N751,"")</f>
        <v/>
      </c>
      <c r="P751" s="3" t="inlineStr">
        <is>
          <t>Belum dihitung</t>
        </is>
      </c>
      <c r="Q751" s="3" t="n"/>
    </row>
    <row r="752">
      <c r="A752" s="3" t="n">
        <v>751</v>
      </c>
      <c r="B752" s="3" t="inlineStr">
        <is>
          <t>Desember 2025</t>
        </is>
      </c>
      <c r="C752" s="3">
        <f>'Data Aset'!B754</f>
        <v/>
      </c>
      <c r="D752" s="3">
        <f>'Data Aset'!F754</f>
        <v/>
      </c>
      <c r="E752" s="3" t="inlineStr">
        <is>
          <t>Inventaris Ruangan</t>
        </is>
      </c>
      <c r="F752" s="3">
        <f>'Data Aset'!C754</f>
        <v/>
      </c>
      <c r="G752" s="3">
        <f>'Data Aset'!J754</f>
        <v/>
      </c>
      <c r="H752" s="5">
        <f>'Data Aset'!M754</f>
        <v/>
      </c>
      <c r="I752" s="3">
        <f>'Data Aset'!O754</f>
        <v/>
      </c>
      <c r="J752" s="5" t="n">
        <v>0</v>
      </c>
      <c r="K752" s="3" t="inlineStr">
        <is>
          <t>Garis Lurus</t>
        </is>
      </c>
      <c r="L752" s="5">
        <f>IFERROR(M752/12,"")</f>
        <v/>
      </c>
      <c r="M752" s="5">
        <f>IFERROR((H752-J752)/I752,"")</f>
        <v/>
      </c>
      <c r="N752" s="5">
        <f>IFERROR(M752,"")</f>
        <v/>
      </c>
      <c r="O752" s="5">
        <f>IFERROR(H752-N752,"")</f>
        <v/>
      </c>
      <c r="P752" s="3" t="inlineStr">
        <is>
          <t>Belum dihitung</t>
        </is>
      </c>
      <c r="Q752" s="3" t="n"/>
    </row>
    <row r="753">
      <c r="A753" s="3" t="n">
        <v>752</v>
      </c>
      <c r="B753" s="3" t="inlineStr">
        <is>
          <t>Desember 2025</t>
        </is>
      </c>
      <c r="C753" s="3">
        <f>'Data Aset'!B755</f>
        <v/>
      </c>
      <c r="D753" s="3">
        <f>'Data Aset'!F755</f>
        <v/>
      </c>
      <c r="E753" s="3" t="inlineStr">
        <is>
          <t>Inventaris Ruangan</t>
        </is>
      </c>
      <c r="F753" s="3">
        <f>'Data Aset'!C755</f>
        <v/>
      </c>
      <c r="G753" s="3">
        <f>'Data Aset'!J755</f>
        <v/>
      </c>
      <c r="H753" s="5">
        <f>'Data Aset'!M755</f>
        <v/>
      </c>
      <c r="I753" s="3">
        <f>'Data Aset'!O755</f>
        <v/>
      </c>
      <c r="J753" s="5" t="n">
        <v>0</v>
      </c>
      <c r="K753" s="3" t="inlineStr">
        <is>
          <t>Garis Lurus</t>
        </is>
      </c>
      <c r="L753" s="5">
        <f>IFERROR(M753/12,"")</f>
        <v/>
      </c>
      <c r="M753" s="5">
        <f>IFERROR((H753-J753)/I753,"")</f>
        <v/>
      </c>
      <c r="N753" s="5">
        <f>IFERROR(M753,"")</f>
        <v/>
      </c>
      <c r="O753" s="5">
        <f>IFERROR(H753-N753,"")</f>
        <v/>
      </c>
      <c r="P753" s="3" t="inlineStr">
        <is>
          <t>Belum dihitung</t>
        </is>
      </c>
      <c r="Q753" s="3" t="n"/>
    </row>
    <row r="754">
      <c r="A754" s="3" t="n">
        <v>753</v>
      </c>
      <c r="B754" s="3" t="inlineStr">
        <is>
          <t>Desember 2025</t>
        </is>
      </c>
      <c r="C754" s="3">
        <f>'Data Aset'!B756</f>
        <v/>
      </c>
      <c r="D754" s="3">
        <f>'Data Aset'!F756</f>
        <v/>
      </c>
      <c r="E754" s="3" t="inlineStr">
        <is>
          <t>Inventaris Ruangan</t>
        </is>
      </c>
      <c r="F754" s="3">
        <f>'Data Aset'!C756</f>
        <v/>
      </c>
      <c r="G754" s="3">
        <f>'Data Aset'!J756</f>
        <v/>
      </c>
      <c r="H754" s="5">
        <f>'Data Aset'!M756</f>
        <v/>
      </c>
      <c r="I754" s="3">
        <f>'Data Aset'!O756</f>
        <v/>
      </c>
      <c r="J754" s="5" t="n">
        <v>0</v>
      </c>
      <c r="K754" s="3" t="inlineStr">
        <is>
          <t>Garis Lurus</t>
        </is>
      </c>
      <c r="L754" s="5">
        <f>IFERROR(M754/12,"")</f>
        <v/>
      </c>
      <c r="M754" s="5">
        <f>IFERROR((H754-J754)/I754,"")</f>
        <v/>
      </c>
      <c r="N754" s="5">
        <f>IFERROR(M754,"")</f>
        <v/>
      </c>
      <c r="O754" s="5">
        <f>IFERROR(H754-N754,"")</f>
        <v/>
      </c>
      <c r="P754" s="3" t="inlineStr">
        <is>
          <t>Belum dihitung</t>
        </is>
      </c>
      <c r="Q754" s="3" t="n"/>
    </row>
    <row r="755">
      <c r="A755" s="3" t="n">
        <v>754</v>
      </c>
      <c r="B755" s="3" t="inlineStr">
        <is>
          <t>Desember 2025</t>
        </is>
      </c>
      <c r="C755" s="3">
        <f>'Data Aset'!B757</f>
        <v/>
      </c>
      <c r="D755" s="3">
        <f>'Data Aset'!F757</f>
        <v/>
      </c>
      <c r="E755" s="3" t="inlineStr">
        <is>
          <t>Inventaris Ruangan</t>
        </is>
      </c>
      <c r="F755" s="3">
        <f>'Data Aset'!C757</f>
        <v/>
      </c>
      <c r="G755" s="3">
        <f>'Data Aset'!J757</f>
        <v/>
      </c>
      <c r="H755" s="5">
        <f>'Data Aset'!M757</f>
        <v/>
      </c>
      <c r="I755" s="3">
        <f>'Data Aset'!O757</f>
        <v/>
      </c>
      <c r="J755" s="5" t="n">
        <v>0</v>
      </c>
      <c r="K755" s="3" t="inlineStr">
        <is>
          <t>Garis Lurus</t>
        </is>
      </c>
      <c r="L755" s="5">
        <f>IFERROR(M755/12,"")</f>
        <v/>
      </c>
      <c r="M755" s="5">
        <f>IFERROR((H755-J755)/I755,"")</f>
        <v/>
      </c>
      <c r="N755" s="5">
        <f>IFERROR(M755,"")</f>
        <v/>
      </c>
      <c r="O755" s="5">
        <f>IFERROR(H755-N755,"")</f>
        <v/>
      </c>
      <c r="P755" s="3" t="inlineStr">
        <is>
          <t>Belum dihitung</t>
        </is>
      </c>
      <c r="Q755" s="3" t="n"/>
    </row>
    <row r="756">
      <c r="A756" s="3" t="n">
        <v>755</v>
      </c>
      <c r="B756" s="3" t="inlineStr">
        <is>
          <t>Desember 2025</t>
        </is>
      </c>
      <c r="C756" s="3">
        <f>'Data Aset'!B758</f>
        <v/>
      </c>
      <c r="D756" s="3">
        <f>'Data Aset'!F758</f>
        <v/>
      </c>
      <c r="E756" s="3" t="inlineStr">
        <is>
          <t>Inventaris Ruangan</t>
        </is>
      </c>
      <c r="F756" s="3">
        <f>'Data Aset'!C758</f>
        <v/>
      </c>
      <c r="G756" s="3">
        <f>'Data Aset'!J758</f>
        <v/>
      </c>
      <c r="H756" s="5">
        <f>'Data Aset'!M758</f>
        <v/>
      </c>
      <c r="I756" s="3">
        <f>'Data Aset'!O758</f>
        <v/>
      </c>
      <c r="J756" s="5" t="n">
        <v>0</v>
      </c>
      <c r="K756" s="3" t="inlineStr">
        <is>
          <t>Garis Lurus</t>
        </is>
      </c>
      <c r="L756" s="5">
        <f>IFERROR(M756/12,"")</f>
        <v/>
      </c>
      <c r="M756" s="5">
        <f>IFERROR((H756-J756)/I756,"")</f>
        <v/>
      </c>
      <c r="N756" s="5">
        <f>IFERROR(M756,"")</f>
        <v/>
      </c>
      <c r="O756" s="5">
        <f>IFERROR(H756-N756,"")</f>
        <v/>
      </c>
      <c r="P756" s="3" t="inlineStr">
        <is>
          <t>Belum dihitung</t>
        </is>
      </c>
      <c r="Q756" s="3" t="n"/>
    </row>
    <row r="757">
      <c r="A757" s="3" t="n">
        <v>756</v>
      </c>
      <c r="B757" s="3" t="inlineStr">
        <is>
          <t>Desember 2025</t>
        </is>
      </c>
      <c r="C757" s="3">
        <f>'Data Aset'!B759</f>
        <v/>
      </c>
      <c r="D757" s="3">
        <f>'Data Aset'!F759</f>
        <v/>
      </c>
      <c r="E757" s="3" t="inlineStr">
        <is>
          <t>Inventaris Ruangan</t>
        </is>
      </c>
      <c r="F757" s="3">
        <f>'Data Aset'!C759</f>
        <v/>
      </c>
      <c r="G757" s="3">
        <f>'Data Aset'!J759</f>
        <v/>
      </c>
      <c r="H757" s="5">
        <f>'Data Aset'!M759</f>
        <v/>
      </c>
      <c r="I757" s="3">
        <f>'Data Aset'!O759</f>
        <v/>
      </c>
      <c r="J757" s="5" t="n">
        <v>0</v>
      </c>
      <c r="K757" s="3" t="inlineStr">
        <is>
          <t>Garis Lurus</t>
        </is>
      </c>
      <c r="L757" s="5">
        <f>IFERROR(M757/12,"")</f>
        <v/>
      </c>
      <c r="M757" s="5">
        <f>IFERROR((H757-J757)/I757,"")</f>
        <v/>
      </c>
      <c r="N757" s="5">
        <f>IFERROR(M757,"")</f>
        <v/>
      </c>
      <c r="O757" s="5">
        <f>IFERROR(H757-N757,"")</f>
        <v/>
      </c>
      <c r="P757" s="3" t="inlineStr">
        <is>
          <t>Belum dihitung</t>
        </is>
      </c>
      <c r="Q757" s="3" t="n"/>
    </row>
    <row r="758">
      <c r="A758" s="3" t="n">
        <v>757</v>
      </c>
      <c r="B758" s="3" t="inlineStr">
        <is>
          <t>Desember 2025</t>
        </is>
      </c>
      <c r="C758" s="3">
        <f>'Data Aset'!B760</f>
        <v/>
      </c>
      <c r="D758" s="3">
        <f>'Data Aset'!F760</f>
        <v/>
      </c>
      <c r="E758" s="3" t="inlineStr">
        <is>
          <t>Inventaris Ruangan</t>
        </is>
      </c>
      <c r="F758" s="3">
        <f>'Data Aset'!C760</f>
        <v/>
      </c>
      <c r="G758" s="3">
        <f>'Data Aset'!J760</f>
        <v/>
      </c>
      <c r="H758" s="5">
        <f>'Data Aset'!M760</f>
        <v/>
      </c>
      <c r="I758" s="3">
        <f>'Data Aset'!O760</f>
        <v/>
      </c>
      <c r="J758" s="5" t="n">
        <v>0</v>
      </c>
      <c r="K758" s="3" t="inlineStr">
        <is>
          <t>Garis Lurus</t>
        </is>
      </c>
      <c r="L758" s="5">
        <f>IFERROR(M758/12,"")</f>
        <v/>
      </c>
      <c r="M758" s="5">
        <f>IFERROR((H758-J758)/I758,"")</f>
        <v/>
      </c>
      <c r="N758" s="5">
        <f>IFERROR(M758,"")</f>
        <v/>
      </c>
      <c r="O758" s="5">
        <f>IFERROR(H758-N758,"")</f>
        <v/>
      </c>
      <c r="P758" s="3" t="inlineStr">
        <is>
          <t>Belum dihitung</t>
        </is>
      </c>
      <c r="Q758" s="3" t="n"/>
    </row>
    <row r="759">
      <c r="A759" s="3" t="n">
        <v>758</v>
      </c>
      <c r="B759" s="3" t="inlineStr">
        <is>
          <t>Desember 2025</t>
        </is>
      </c>
      <c r="C759" s="3">
        <f>'Data Aset'!B761</f>
        <v/>
      </c>
      <c r="D759" s="3">
        <f>'Data Aset'!F761</f>
        <v/>
      </c>
      <c r="E759" s="3" t="inlineStr">
        <is>
          <t>Inventaris Ruangan</t>
        </is>
      </c>
      <c r="F759" s="3">
        <f>'Data Aset'!C761</f>
        <v/>
      </c>
      <c r="G759" s="3">
        <f>'Data Aset'!J761</f>
        <v/>
      </c>
      <c r="H759" s="5">
        <f>'Data Aset'!M761</f>
        <v/>
      </c>
      <c r="I759" s="3">
        <f>'Data Aset'!O761</f>
        <v/>
      </c>
      <c r="J759" s="5" t="n">
        <v>0</v>
      </c>
      <c r="K759" s="3" t="inlineStr">
        <is>
          <t>Garis Lurus</t>
        </is>
      </c>
      <c r="L759" s="5">
        <f>IFERROR(M759/12,"")</f>
        <v/>
      </c>
      <c r="M759" s="5">
        <f>IFERROR((H759-J759)/I759,"")</f>
        <v/>
      </c>
      <c r="N759" s="5">
        <f>IFERROR(M759,"")</f>
        <v/>
      </c>
      <c r="O759" s="5">
        <f>IFERROR(H759-N759,"")</f>
        <v/>
      </c>
      <c r="P759" s="3" t="inlineStr">
        <is>
          <t>Belum dihitung</t>
        </is>
      </c>
      <c r="Q759" s="3" t="n"/>
    </row>
    <row r="760">
      <c r="A760" s="3" t="n">
        <v>759</v>
      </c>
      <c r="B760" s="3" t="inlineStr">
        <is>
          <t>Desember 2025</t>
        </is>
      </c>
      <c r="C760" s="3">
        <f>'Data Aset'!B762</f>
        <v/>
      </c>
      <c r="D760" s="3">
        <f>'Data Aset'!F762</f>
        <v/>
      </c>
      <c r="E760" s="3" t="inlineStr">
        <is>
          <t>Inventaris Ruangan</t>
        </is>
      </c>
      <c r="F760" s="3">
        <f>'Data Aset'!C762</f>
        <v/>
      </c>
      <c r="G760" s="3">
        <f>'Data Aset'!J762</f>
        <v/>
      </c>
      <c r="H760" s="5">
        <f>'Data Aset'!M762</f>
        <v/>
      </c>
      <c r="I760" s="3">
        <f>'Data Aset'!O762</f>
        <v/>
      </c>
      <c r="J760" s="5" t="n">
        <v>0</v>
      </c>
      <c r="K760" s="3" t="inlineStr">
        <is>
          <t>Garis Lurus</t>
        </is>
      </c>
      <c r="L760" s="5">
        <f>IFERROR(M760/12,"")</f>
        <v/>
      </c>
      <c r="M760" s="5">
        <f>IFERROR((H760-J760)/I760,"")</f>
        <v/>
      </c>
      <c r="N760" s="5">
        <f>IFERROR(M760,"")</f>
        <v/>
      </c>
      <c r="O760" s="5">
        <f>IFERROR(H760-N760,"")</f>
        <v/>
      </c>
      <c r="P760" s="3" t="inlineStr">
        <is>
          <t>Belum dihitung</t>
        </is>
      </c>
      <c r="Q760" s="3" t="n"/>
    </row>
    <row r="761">
      <c r="A761" s="3" t="n">
        <v>760</v>
      </c>
      <c r="B761" s="3" t="inlineStr">
        <is>
          <t>Desember 2025</t>
        </is>
      </c>
      <c r="C761" s="3">
        <f>'Data Aset'!B763</f>
        <v/>
      </c>
      <c r="D761" s="3">
        <f>'Data Aset'!F763</f>
        <v/>
      </c>
      <c r="E761" s="3" t="inlineStr">
        <is>
          <t>Inventaris Ruangan</t>
        </is>
      </c>
      <c r="F761" s="3">
        <f>'Data Aset'!C763</f>
        <v/>
      </c>
      <c r="G761" s="3">
        <f>'Data Aset'!J763</f>
        <v/>
      </c>
      <c r="H761" s="5">
        <f>'Data Aset'!M763</f>
        <v/>
      </c>
      <c r="I761" s="3">
        <f>'Data Aset'!O763</f>
        <v/>
      </c>
      <c r="J761" s="5" t="n">
        <v>0</v>
      </c>
      <c r="K761" s="3" t="inlineStr">
        <is>
          <t>Garis Lurus</t>
        </is>
      </c>
      <c r="L761" s="5">
        <f>IFERROR(M761/12,"")</f>
        <v/>
      </c>
      <c r="M761" s="5">
        <f>IFERROR((H761-J761)/I761,"")</f>
        <v/>
      </c>
      <c r="N761" s="5">
        <f>IFERROR(M761,"")</f>
        <v/>
      </c>
      <c r="O761" s="5">
        <f>IFERROR(H761-N761,"")</f>
        <v/>
      </c>
      <c r="P761" s="3" t="inlineStr">
        <is>
          <t>Belum dihitung</t>
        </is>
      </c>
      <c r="Q761" s="3" t="n"/>
    </row>
    <row r="762">
      <c r="A762" s="3" t="n">
        <v>761</v>
      </c>
      <c r="B762" s="3" t="inlineStr">
        <is>
          <t>Desember 2025</t>
        </is>
      </c>
      <c r="C762" s="3">
        <f>'Data Aset'!B764</f>
        <v/>
      </c>
      <c r="D762" s="3">
        <f>'Data Aset'!F764</f>
        <v/>
      </c>
      <c r="E762" s="3" t="inlineStr">
        <is>
          <t>Inventaris Ruangan</t>
        </is>
      </c>
      <c r="F762" s="3">
        <f>'Data Aset'!C764</f>
        <v/>
      </c>
      <c r="G762" s="3">
        <f>'Data Aset'!J764</f>
        <v/>
      </c>
      <c r="H762" s="5">
        <f>'Data Aset'!M764</f>
        <v/>
      </c>
      <c r="I762" s="3">
        <f>'Data Aset'!O764</f>
        <v/>
      </c>
      <c r="J762" s="5" t="n">
        <v>0</v>
      </c>
      <c r="K762" s="3" t="inlineStr">
        <is>
          <t>Garis Lurus</t>
        </is>
      </c>
      <c r="L762" s="5">
        <f>IFERROR(M762/12,"")</f>
        <v/>
      </c>
      <c r="M762" s="5">
        <f>IFERROR((H762-J762)/I762,"")</f>
        <v/>
      </c>
      <c r="N762" s="5">
        <f>IFERROR(M762,"")</f>
        <v/>
      </c>
      <c r="O762" s="5">
        <f>IFERROR(H762-N762,"")</f>
        <v/>
      </c>
      <c r="P762" s="3" t="inlineStr">
        <is>
          <t>Belum dihitung</t>
        </is>
      </c>
      <c r="Q762" s="3" t="n"/>
    </row>
    <row r="763">
      <c r="A763" s="3" t="n">
        <v>762</v>
      </c>
      <c r="B763" s="3" t="inlineStr">
        <is>
          <t>Desember 2025</t>
        </is>
      </c>
      <c r="C763" s="3">
        <f>'Data Aset'!B765</f>
        <v/>
      </c>
      <c r="D763" s="3">
        <f>'Data Aset'!F765</f>
        <v/>
      </c>
      <c r="E763" s="3" t="inlineStr">
        <is>
          <t>Inventaris Ruangan</t>
        </is>
      </c>
      <c r="F763" s="3">
        <f>'Data Aset'!C765</f>
        <v/>
      </c>
      <c r="G763" s="3">
        <f>'Data Aset'!J765</f>
        <v/>
      </c>
      <c r="H763" s="5">
        <f>'Data Aset'!M765</f>
        <v/>
      </c>
      <c r="I763" s="3">
        <f>'Data Aset'!O765</f>
        <v/>
      </c>
      <c r="J763" s="5" t="n">
        <v>0</v>
      </c>
      <c r="K763" s="3" t="inlineStr">
        <is>
          <t>Garis Lurus</t>
        </is>
      </c>
      <c r="L763" s="5">
        <f>IFERROR(M763/12,"")</f>
        <v/>
      </c>
      <c r="M763" s="5">
        <f>IFERROR((H763-J763)/I763,"")</f>
        <v/>
      </c>
      <c r="N763" s="5">
        <f>IFERROR(M763,"")</f>
        <v/>
      </c>
      <c r="O763" s="5">
        <f>IFERROR(H763-N763,"")</f>
        <v/>
      </c>
      <c r="P763" s="3" t="inlineStr">
        <is>
          <t>Belum dihitung</t>
        </is>
      </c>
      <c r="Q763" s="3" t="n"/>
    </row>
    <row r="764">
      <c r="A764" s="3" t="n">
        <v>763</v>
      </c>
      <c r="B764" s="3" t="inlineStr">
        <is>
          <t>Desember 2025</t>
        </is>
      </c>
      <c r="C764" s="3">
        <f>'Data Aset'!B766</f>
        <v/>
      </c>
      <c r="D764" s="3">
        <f>'Data Aset'!F766</f>
        <v/>
      </c>
      <c r="E764" s="3" t="inlineStr">
        <is>
          <t>Inventaris Ruangan</t>
        </is>
      </c>
      <c r="F764" s="3">
        <f>'Data Aset'!C766</f>
        <v/>
      </c>
      <c r="G764" s="3">
        <f>'Data Aset'!J766</f>
        <v/>
      </c>
      <c r="H764" s="5">
        <f>'Data Aset'!M766</f>
        <v/>
      </c>
      <c r="I764" s="3">
        <f>'Data Aset'!O766</f>
        <v/>
      </c>
      <c r="J764" s="5" t="n">
        <v>0</v>
      </c>
      <c r="K764" s="3" t="inlineStr">
        <is>
          <t>Garis Lurus</t>
        </is>
      </c>
      <c r="L764" s="5">
        <f>IFERROR(M764/12,"")</f>
        <v/>
      </c>
      <c r="M764" s="5">
        <f>IFERROR((H764-J764)/I764,"")</f>
        <v/>
      </c>
      <c r="N764" s="5">
        <f>IFERROR(M764,"")</f>
        <v/>
      </c>
      <c r="O764" s="5">
        <f>IFERROR(H764-N764,"")</f>
        <v/>
      </c>
      <c r="P764" s="3" t="inlineStr">
        <is>
          <t>Belum dihitung</t>
        </is>
      </c>
      <c r="Q764" s="3" t="n"/>
    </row>
    <row r="765">
      <c r="A765" s="3" t="n">
        <v>764</v>
      </c>
      <c r="B765" s="3" t="inlineStr">
        <is>
          <t>Desember 2025</t>
        </is>
      </c>
      <c r="C765" s="3">
        <f>'Data Aset'!B767</f>
        <v/>
      </c>
      <c r="D765" s="3">
        <f>'Data Aset'!F767</f>
        <v/>
      </c>
      <c r="E765" s="3" t="inlineStr">
        <is>
          <t>Inventaris Ruangan</t>
        </is>
      </c>
      <c r="F765" s="3">
        <f>'Data Aset'!C767</f>
        <v/>
      </c>
      <c r="G765" s="3">
        <f>'Data Aset'!J767</f>
        <v/>
      </c>
      <c r="H765" s="5">
        <f>'Data Aset'!M767</f>
        <v/>
      </c>
      <c r="I765" s="3">
        <f>'Data Aset'!O767</f>
        <v/>
      </c>
      <c r="J765" s="5" t="n">
        <v>0</v>
      </c>
      <c r="K765" s="3" t="inlineStr">
        <is>
          <t>Garis Lurus</t>
        </is>
      </c>
      <c r="L765" s="5">
        <f>IFERROR(M765/12,"")</f>
        <v/>
      </c>
      <c r="M765" s="5">
        <f>IFERROR((H765-J765)/I765,"")</f>
        <v/>
      </c>
      <c r="N765" s="5">
        <f>IFERROR(M765,"")</f>
        <v/>
      </c>
      <c r="O765" s="5">
        <f>IFERROR(H765-N765,"")</f>
        <v/>
      </c>
      <c r="P765" s="3" t="inlineStr">
        <is>
          <t>Belum dihitung</t>
        </is>
      </c>
      <c r="Q765" s="3" t="n"/>
    </row>
    <row r="766">
      <c r="A766" s="3" t="n">
        <v>765</v>
      </c>
      <c r="B766" s="3" t="inlineStr">
        <is>
          <t>Desember 2025</t>
        </is>
      </c>
      <c r="C766" s="3">
        <f>'Data Aset'!B768</f>
        <v/>
      </c>
      <c r="D766" s="3">
        <f>'Data Aset'!F768</f>
        <v/>
      </c>
      <c r="E766" s="3" t="inlineStr">
        <is>
          <t>Inventaris Ruangan</t>
        </is>
      </c>
      <c r="F766" s="3">
        <f>'Data Aset'!C768</f>
        <v/>
      </c>
      <c r="G766" s="3">
        <f>'Data Aset'!J768</f>
        <v/>
      </c>
      <c r="H766" s="5">
        <f>'Data Aset'!M768</f>
        <v/>
      </c>
      <c r="I766" s="3">
        <f>'Data Aset'!O768</f>
        <v/>
      </c>
      <c r="J766" s="5" t="n">
        <v>0</v>
      </c>
      <c r="K766" s="3" t="inlineStr">
        <is>
          <t>Garis Lurus</t>
        </is>
      </c>
      <c r="L766" s="5">
        <f>IFERROR(M766/12,"")</f>
        <v/>
      </c>
      <c r="M766" s="5">
        <f>IFERROR((H766-J766)/I766,"")</f>
        <v/>
      </c>
      <c r="N766" s="5">
        <f>IFERROR(M766,"")</f>
        <v/>
      </c>
      <c r="O766" s="5">
        <f>IFERROR(H766-N766,"")</f>
        <v/>
      </c>
      <c r="P766" s="3" t="inlineStr">
        <is>
          <t>Belum dihitung</t>
        </is>
      </c>
      <c r="Q766" s="3" t="n"/>
    </row>
    <row r="767">
      <c r="A767" s="3" t="n">
        <v>766</v>
      </c>
      <c r="B767" s="3" t="inlineStr">
        <is>
          <t>Desember 2025</t>
        </is>
      </c>
      <c r="C767" s="3">
        <f>'Data Aset'!B769</f>
        <v/>
      </c>
      <c r="D767" s="3">
        <f>'Data Aset'!F769</f>
        <v/>
      </c>
      <c r="E767" s="3" t="inlineStr">
        <is>
          <t>Inventaris Ruangan</t>
        </is>
      </c>
      <c r="F767" s="3">
        <f>'Data Aset'!C769</f>
        <v/>
      </c>
      <c r="G767" s="3">
        <f>'Data Aset'!J769</f>
        <v/>
      </c>
      <c r="H767" s="5">
        <f>'Data Aset'!M769</f>
        <v/>
      </c>
      <c r="I767" s="3">
        <f>'Data Aset'!O769</f>
        <v/>
      </c>
      <c r="J767" s="5" t="n">
        <v>0</v>
      </c>
      <c r="K767" s="3" t="inlineStr">
        <is>
          <t>Garis Lurus</t>
        </is>
      </c>
      <c r="L767" s="5">
        <f>IFERROR(M767/12,"")</f>
        <v/>
      </c>
      <c r="M767" s="5">
        <f>IFERROR((H767-J767)/I767,"")</f>
        <v/>
      </c>
      <c r="N767" s="5">
        <f>IFERROR(M767,"")</f>
        <v/>
      </c>
      <c r="O767" s="5">
        <f>IFERROR(H767-N767,"")</f>
        <v/>
      </c>
      <c r="P767" s="3" t="inlineStr">
        <is>
          <t>Belum dihitung</t>
        </is>
      </c>
      <c r="Q767" s="3" t="n"/>
    </row>
    <row r="768">
      <c r="A768" s="3" t="n">
        <v>767</v>
      </c>
      <c r="B768" s="3" t="inlineStr">
        <is>
          <t>Desember 2025</t>
        </is>
      </c>
      <c r="C768" s="3">
        <f>'Data Aset'!B770</f>
        <v/>
      </c>
      <c r="D768" s="3">
        <f>'Data Aset'!F770</f>
        <v/>
      </c>
      <c r="E768" s="3" t="inlineStr">
        <is>
          <t>Inventaris Ruangan</t>
        </is>
      </c>
      <c r="F768" s="3">
        <f>'Data Aset'!C770</f>
        <v/>
      </c>
      <c r="G768" s="3">
        <f>'Data Aset'!J770</f>
        <v/>
      </c>
      <c r="H768" s="5">
        <f>'Data Aset'!M770</f>
        <v/>
      </c>
      <c r="I768" s="3">
        <f>'Data Aset'!O770</f>
        <v/>
      </c>
      <c r="J768" s="5" t="n">
        <v>0</v>
      </c>
      <c r="K768" s="3" t="inlineStr">
        <is>
          <t>Garis Lurus</t>
        </is>
      </c>
      <c r="L768" s="5">
        <f>IFERROR(M768/12,"")</f>
        <v/>
      </c>
      <c r="M768" s="5">
        <f>IFERROR((H768-J768)/I768,"")</f>
        <v/>
      </c>
      <c r="N768" s="5">
        <f>IFERROR(M768,"")</f>
        <v/>
      </c>
      <c r="O768" s="5">
        <f>IFERROR(H768-N768,"")</f>
        <v/>
      </c>
      <c r="P768" s="3" t="inlineStr">
        <is>
          <t>Belum dihitung</t>
        </is>
      </c>
      <c r="Q768" s="3" t="n"/>
    </row>
    <row r="769">
      <c r="A769" s="3" t="n">
        <v>768</v>
      </c>
      <c r="B769" s="3" t="inlineStr">
        <is>
          <t>Desember 2025</t>
        </is>
      </c>
      <c r="C769" s="3">
        <f>'Data Aset'!B771</f>
        <v/>
      </c>
      <c r="D769" s="3">
        <f>'Data Aset'!F771</f>
        <v/>
      </c>
      <c r="E769" s="3" t="inlineStr">
        <is>
          <t>Inventaris Ruangan</t>
        </is>
      </c>
      <c r="F769" s="3">
        <f>'Data Aset'!C771</f>
        <v/>
      </c>
      <c r="G769" s="3">
        <f>'Data Aset'!J771</f>
        <v/>
      </c>
      <c r="H769" s="5">
        <f>'Data Aset'!M771</f>
        <v/>
      </c>
      <c r="I769" s="3">
        <f>'Data Aset'!O771</f>
        <v/>
      </c>
      <c r="J769" s="5" t="n">
        <v>0</v>
      </c>
      <c r="K769" s="3" t="inlineStr">
        <is>
          <t>Garis Lurus</t>
        </is>
      </c>
      <c r="L769" s="5">
        <f>IFERROR(M769/12,"")</f>
        <v/>
      </c>
      <c r="M769" s="5">
        <f>IFERROR((H769-J769)/I769,"")</f>
        <v/>
      </c>
      <c r="N769" s="5">
        <f>IFERROR(M769,"")</f>
        <v/>
      </c>
      <c r="O769" s="5">
        <f>IFERROR(H769-N769,"")</f>
        <v/>
      </c>
      <c r="P769" s="3" t="inlineStr">
        <is>
          <t>Belum dihitung</t>
        </is>
      </c>
      <c r="Q769" s="3" t="n"/>
    </row>
    <row r="770">
      <c r="A770" s="3" t="n">
        <v>769</v>
      </c>
      <c r="B770" s="3" t="inlineStr">
        <is>
          <t>Desember 2025</t>
        </is>
      </c>
      <c r="C770" s="3">
        <f>'Data Aset'!B772</f>
        <v/>
      </c>
      <c r="D770" s="3">
        <f>'Data Aset'!F772</f>
        <v/>
      </c>
      <c r="E770" s="3" t="inlineStr">
        <is>
          <t>Inventaris Ruangan</t>
        </is>
      </c>
      <c r="F770" s="3">
        <f>'Data Aset'!C772</f>
        <v/>
      </c>
      <c r="G770" s="3">
        <f>'Data Aset'!J772</f>
        <v/>
      </c>
      <c r="H770" s="5">
        <f>'Data Aset'!M772</f>
        <v/>
      </c>
      <c r="I770" s="3">
        <f>'Data Aset'!O772</f>
        <v/>
      </c>
      <c r="J770" s="5" t="n">
        <v>0</v>
      </c>
      <c r="K770" s="3" t="inlineStr">
        <is>
          <t>Garis Lurus</t>
        </is>
      </c>
      <c r="L770" s="5">
        <f>IFERROR(M770/12,"")</f>
        <v/>
      </c>
      <c r="M770" s="5">
        <f>IFERROR((H770-J770)/I770,"")</f>
        <v/>
      </c>
      <c r="N770" s="5">
        <f>IFERROR(M770,"")</f>
        <v/>
      </c>
      <c r="O770" s="5">
        <f>IFERROR(H770-N770,"")</f>
        <v/>
      </c>
      <c r="P770" s="3" t="inlineStr">
        <is>
          <t>Belum dihitung</t>
        </is>
      </c>
      <c r="Q770" s="3" t="n"/>
    </row>
    <row r="771">
      <c r="A771" s="3" t="n">
        <v>770</v>
      </c>
      <c r="B771" s="3" t="inlineStr">
        <is>
          <t>Desember 2025</t>
        </is>
      </c>
      <c r="C771" s="3">
        <f>'Data Aset'!B773</f>
        <v/>
      </c>
      <c r="D771" s="3">
        <f>'Data Aset'!F773</f>
        <v/>
      </c>
      <c r="E771" s="3" t="inlineStr">
        <is>
          <t>Inventaris Ruangan</t>
        </is>
      </c>
      <c r="F771" s="3">
        <f>'Data Aset'!C773</f>
        <v/>
      </c>
      <c r="G771" s="3">
        <f>'Data Aset'!J773</f>
        <v/>
      </c>
      <c r="H771" s="5">
        <f>'Data Aset'!M773</f>
        <v/>
      </c>
      <c r="I771" s="3">
        <f>'Data Aset'!O773</f>
        <v/>
      </c>
      <c r="J771" s="5" t="n">
        <v>0</v>
      </c>
      <c r="K771" s="3" t="inlineStr">
        <is>
          <t>Garis Lurus</t>
        </is>
      </c>
      <c r="L771" s="5">
        <f>IFERROR(M771/12,"")</f>
        <v/>
      </c>
      <c r="M771" s="5">
        <f>IFERROR((H771-J771)/I771,"")</f>
        <v/>
      </c>
      <c r="N771" s="5">
        <f>IFERROR(M771,"")</f>
        <v/>
      </c>
      <c r="O771" s="5">
        <f>IFERROR(H771-N771,"")</f>
        <v/>
      </c>
      <c r="P771" s="3" t="inlineStr">
        <is>
          <t>Belum dihitung</t>
        </is>
      </c>
      <c r="Q771" s="3" t="n"/>
    </row>
    <row r="772">
      <c r="A772" s="3" t="n">
        <v>771</v>
      </c>
      <c r="B772" s="3" t="inlineStr">
        <is>
          <t>Desember 2025</t>
        </is>
      </c>
      <c r="C772" s="3">
        <f>'Data Aset'!B774</f>
        <v/>
      </c>
      <c r="D772" s="3">
        <f>'Data Aset'!F774</f>
        <v/>
      </c>
      <c r="E772" s="3" t="inlineStr">
        <is>
          <t>Inventaris Ruangan</t>
        </is>
      </c>
      <c r="F772" s="3">
        <f>'Data Aset'!C774</f>
        <v/>
      </c>
      <c r="G772" s="3">
        <f>'Data Aset'!J774</f>
        <v/>
      </c>
      <c r="H772" s="5">
        <f>'Data Aset'!M774</f>
        <v/>
      </c>
      <c r="I772" s="3">
        <f>'Data Aset'!O774</f>
        <v/>
      </c>
      <c r="J772" s="5" t="n">
        <v>0</v>
      </c>
      <c r="K772" s="3" t="inlineStr">
        <is>
          <t>Garis Lurus</t>
        </is>
      </c>
      <c r="L772" s="5">
        <f>IFERROR(M772/12,"")</f>
        <v/>
      </c>
      <c r="M772" s="5">
        <f>IFERROR((H772-J772)/I772,"")</f>
        <v/>
      </c>
      <c r="N772" s="5">
        <f>IFERROR(M772,"")</f>
        <v/>
      </c>
      <c r="O772" s="5">
        <f>IFERROR(H772-N772,"")</f>
        <v/>
      </c>
      <c r="P772" s="3" t="inlineStr">
        <is>
          <t>Belum dihitung</t>
        </is>
      </c>
      <c r="Q772" s="3" t="n"/>
    </row>
    <row r="773">
      <c r="A773" s="3" t="n">
        <v>772</v>
      </c>
      <c r="B773" s="3" t="inlineStr">
        <is>
          <t>Desember 2025</t>
        </is>
      </c>
      <c r="C773" s="3">
        <f>'Data Aset'!B775</f>
        <v/>
      </c>
      <c r="D773" s="3">
        <f>'Data Aset'!F775</f>
        <v/>
      </c>
      <c r="E773" s="3" t="inlineStr">
        <is>
          <t>Inventaris Ruangan</t>
        </is>
      </c>
      <c r="F773" s="3">
        <f>'Data Aset'!C775</f>
        <v/>
      </c>
      <c r="G773" s="3">
        <f>'Data Aset'!J775</f>
        <v/>
      </c>
      <c r="H773" s="5">
        <f>'Data Aset'!M775</f>
        <v/>
      </c>
      <c r="I773" s="3">
        <f>'Data Aset'!O775</f>
        <v/>
      </c>
      <c r="J773" s="5" t="n">
        <v>0</v>
      </c>
      <c r="K773" s="3" t="inlineStr">
        <is>
          <t>Garis Lurus</t>
        </is>
      </c>
      <c r="L773" s="5">
        <f>IFERROR(M773/12,"")</f>
        <v/>
      </c>
      <c r="M773" s="5">
        <f>IFERROR((H773-J773)/I773,"")</f>
        <v/>
      </c>
      <c r="N773" s="5">
        <f>IFERROR(M773,"")</f>
        <v/>
      </c>
      <c r="O773" s="5">
        <f>IFERROR(H773-N773,"")</f>
        <v/>
      </c>
      <c r="P773" s="3" t="inlineStr">
        <is>
          <t>Belum dihitung</t>
        </is>
      </c>
      <c r="Q773" s="3" t="n"/>
    </row>
    <row r="774">
      <c r="A774" s="3" t="n">
        <v>773</v>
      </c>
      <c r="B774" s="3" t="inlineStr">
        <is>
          <t>Desember 2025</t>
        </is>
      </c>
      <c r="C774" s="3">
        <f>'Data Aset'!B776</f>
        <v/>
      </c>
      <c r="D774" s="3">
        <f>'Data Aset'!F776</f>
        <v/>
      </c>
      <c r="E774" s="3" t="inlineStr">
        <is>
          <t>Inventaris Ruangan</t>
        </is>
      </c>
      <c r="F774" s="3">
        <f>'Data Aset'!C776</f>
        <v/>
      </c>
      <c r="G774" s="3">
        <f>'Data Aset'!J776</f>
        <v/>
      </c>
      <c r="H774" s="5">
        <f>'Data Aset'!M776</f>
        <v/>
      </c>
      <c r="I774" s="3">
        <f>'Data Aset'!O776</f>
        <v/>
      </c>
      <c r="J774" s="5" t="n">
        <v>0</v>
      </c>
      <c r="K774" s="3" t="inlineStr">
        <is>
          <t>Garis Lurus</t>
        </is>
      </c>
      <c r="L774" s="5">
        <f>IFERROR(M774/12,"")</f>
        <v/>
      </c>
      <c r="M774" s="5">
        <f>IFERROR((H774-J774)/I774,"")</f>
        <v/>
      </c>
      <c r="N774" s="5">
        <f>IFERROR(M774,"")</f>
        <v/>
      </c>
      <c r="O774" s="5">
        <f>IFERROR(H774-N774,"")</f>
        <v/>
      </c>
      <c r="P774" s="3" t="inlineStr">
        <is>
          <t>Belum dihitung</t>
        </is>
      </c>
      <c r="Q774" s="3" t="n"/>
    </row>
    <row r="775">
      <c r="A775" s="3" t="n">
        <v>774</v>
      </c>
      <c r="B775" s="3" t="inlineStr">
        <is>
          <t>Desember 2025</t>
        </is>
      </c>
      <c r="C775" s="3">
        <f>'Data Aset'!B777</f>
        <v/>
      </c>
      <c r="D775" s="3">
        <f>'Data Aset'!F777</f>
        <v/>
      </c>
      <c r="E775" s="3" t="inlineStr">
        <is>
          <t>Inventaris Ruangan</t>
        </is>
      </c>
      <c r="F775" s="3">
        <f>'Data Aset'!C777</f>
        <v/>
      </c>
      <c r="G775" s="3">
        <f>'Data Aset'!J777</f>
        <v/>
      </c>
      <c r="H775" s="5">
        <f>'Data Aset'!M777</f>
        <v/>
      </c>
      <c r="I775" s="3">
        <f>'Data Aset'!O777</f>
        <v/>
      </c>
      <c r="J775" s="5" t="n">
        <v>0</v>
      </c>
      <c r="K775" s="3" t="inlineStr">
        <is>
          <t>Garis Lurus</t>
        </is>
      </c>
      <c r="L775" s="5">
        <f>IFERROR(M775/12,"")</f>
        <v/>
      </c>
      <c r="M775" s="5">
        <f>IFERROR((H775-J775)/I775,"")</f>
        <v/>
      </c>
      <c r="N775" s="5">
        <f>IFERROR(M775,"")</f>
        <v/>
      </c>
      <c r="O775" s="5">
        <f>IFERROR(H775-N775,"")</f>
        <v/>
      </c>
      <c r="P775" s="3" t="inlineStr">
        <is>
          <t>Belum dihitung</t>
        </is>
      </c>
      <c r="Q775" s="3" t="n"/>
    </row>
    <row r="776">
      <c r="A776" s="3" t="n">
        <v>775</v>
      </c>
      <c r="B776" s="3" t="inlineStr">
        <is>
          <t>Desember 2025</t>
        </is>
      </c>
      <c r="C776" s="3">
        <f>'Data Aset'!B778</f>
        <v/>
      </c>
      <c r="D776" s="3">
        <f>'Data Aset'!F778</f>
        <v/>
      </c>
      <c r="E776" s="3" t="inlineStr">
        <is>
          <t>Inventaris Ruangan</t>
        </is>
      </c>
      <c r="F776" s="3">
        <f>'Data Aset'!C778</f>
        <v/>
      </c>
      <c r="G776" s="3">
        <f>'Data Aset'!J778</f>
        <v/>
      </c>
      <c r="H776" s="5">
        <f>'Data Aset'!M778</f>
        <v/>
      </c>
      <c r="I776" s="3">
        <f>'Data Aset'!O778</f>
        <v/>
      </c>
      <c r="J776" s="5" t="n">
        <v>0</v>
      </c>
      <c r="K776" s="3" t="inlineStr">
        <is>
          <t>Garis Lurus</t>
        </is>
      </c>
      <c r="L776" s="5">
        <f>IFERROR(M776/12,"")</f>
        <v/>
      </c>
      <c r="M776" s="5">
        <f>IFERROR((H776-J776)/I776,"")</f>
        <v/>
      </c>
      <c r="N776" s="5">
        <f>IFERROR(M776,"")</f>
        <v/>
      </c>
      <c r="O776" s="5">
        <f>IFERROR(H776-N776,"")</f>
        <v/>
      </c>
      <c r="P776" s="3" t="inlineStr">
        <is>
          <t>Belum dihitung</t>
        </is>
      </c>
      <c r="Q776" s="3" t="n"/>
    </row>
    <row r="777">
      <c r="A777" s="3" t="n">
        <v>776</v>
      </c>
      <c r="B777" s="3" t="inlineStr">
        <is>
          <t>Desember 2025</t>
        </is>
      </c>
      <c r="C777" s="3">
        <f>'Data Aset'!B779</f>
        <v/>
      </c>
      <c r="D777" s="3">
        <f>'Data Aset'!F779</f>
        <v/>
      </c>
      <c r="E777" s="3" t="inlineStr">
        <is>
          <t>Inventaris Ruangan</t>
        </is>
      </c>
      <c r="F777" s="3">
        <f>'Data Aset'!C779</f>
        <v/>
      </c>
      <c r="G777" s="3">
        <f>'Data Aset'!J779</f>
        <v/>
      </c>
      <c r="H777" s="5">
        <f>'Data Aset'!M779</f>
        <v/>
      </c>
      <c r="I777" s="3">
        <f>'Data Aset'!O779</f>
        <v/>
      </c>
      <c r="J777" s="5" t="n">
        <v>0</v>
      </c>
      <c r="K777" s="3" t="inlineStr">
        <is>
          <t>Garis Lurus</t>
        </is>
      </c>
      <c r="L777" s="5">
        <f>IFERROR(M777/12,"")</f>
        <v/>
      </c>
      <c r="M777" s="5">
        <f>IFERROR((H777-J777)/I777,"")</f>
        <v/>
      </c>
      <c r="N777" s="5">
        <f>IFERROR(M777,"")</f>
        <v/>
      </c>
      <c r="O777" s="5">
        <f>IFERROR(H777-N777,"")</f>
        <v/>
      </c>
      <c r="P777" s="3" t="inlineStr">
        <is>
          <t>Belum dihitung</t>
        </is>
      </c>
      <c r="Q777" s="3" t="n"/>
    </row>
    <row r="778">
      <c r="A778" s="3" t="n">
        <v>777</v>
      </c>
      <c r="B778" s="3" t="inlineStr">
        <is>
          <t>Desember 2025</t>
        </is>
      </c>
      <c r="C778" s="3">
        <f>'Data Aset'!B780</f>
        <v/>
      </c>
      <c r="D778" s="3">
        <f>'Data Aset'!F780</f>
        <v/>
      </c>
      <c r="E778" s="3" t="inlineStr">
        <is>
          <t>Inventaris Ruangan</t>
        </is>
      </c>
      <c r="F778" s="3">
        <f>'Data Aset'!C780</f>
        <v/>
      </c>
      <c r="G778" s="3">
        <f>'Data Aset'!J780</f>
        <v/>
      </c>
      <c r="H778" s="5">
        <f>'Data Aset'!M780</f>
        <v/>
      </c>
      <c r="I778" s="3">
        <f>'Data Aset'!O780</f>
        <v/>
      </c>
      <c r="J778" s="5" t="n">
        <v>0</v>
      </c>
      <c r="K778" s="3" t="inlineStr">
        <is>
          <t>Garis Lurus</t>
        </is>
      </c>
      <c r="L778" s="5">
        <f>IFERROR(M778/12,"")</f>
        <v/>
      </c>
      <c r="M778" s="5">
        <f>IFERROR((H778-J778)/I778,"")</f>
        <v/>
      </c>
      <c r="N778" s="5">
        <f>IFERROR(M778,"")</f>
        <v/>
      </c>
      <c r="O778" s="5">
        <f>IFERROR(H778-N778,"")</f>
        <v/>
      </c>
      <c r="P778" s="3" t="inlineStr">
        <is>
          <t>Belum dihitung</t>
        </is>
      </c>
      <c r="Q778" s="3" t="n"/>
    </row>
    <row r="779">
      <c r="A779" s="3" t="n">
        <v>778</v>
      </c>
      <c r="B779" s="3" t="inlineStr">
        <is>
          <t>Desember 2025</t>
        </is>
      </c>
      <c r="C779" s="3">
        <f>'Data Aset'!B781</f>
        <v/>
      </c>
      <c r="D779" s="3">
        <f>'Data Aset'!F781</f>
        <v/>
      </c>
      <c r="E779" s="3" t="inlineStr">
        <is>
          <t>Inventaris Ruangan</t>
        </is>
      </c>
      <c r="F779" s="3">
        <f>'Data Aset'!C781</f>
        <v/>
      </c>
      <c r="G779" s="3">
        <f>'Data Aset'!J781</f>
        <v/>
      </c>
      <c r="H779" s="5">
        <f>'Data Aset'!M781</f>
        <v/>
      </c>
      <c r="I779" s="3">
        <f>'Data Aset'!O781</f>
        <v/>
      </c>
      <c r="J779" s="5" t="n">
        <v>0</v>
      </c>
      <c r="K779" s="3" t="inlineStr">
        <is>
          <t>Garis Lurus</t>
        </is>
      </c>
      <c r="L779" s="5">
        <f>IFERROR(M779/12,"")</f>
        <v/>
      </c>
      <c r="M779" s="5">
        <f>IFERROR((H779-J779)/I779,"")</f>
        <v/>
      </c>
      <c r="N779" s="5">
        <f>IFERROR(M779,"")</f>
        <v/>
      </c>
      <c r="O779" s="5">
        <f>IFERROR(H779-N779,"")</f>
        <v/>
      </c>
      <c r="P779" s="3" t="inlineStr">
        <is>
          <t>Belum dihitung</t>
        </is>
      </c>
      <c r="Q779" s="3" t="n"/>
    </row>
    <row r="780">
      <c r="A780" s="3" t="n">
        <v>779</v>
      </c>
      <c r="B780" s="3" t="inlineStr">
        <is>
          <t>Desember 2025</t>
        </is>
      </c>
      <c r="C780" s="3">
        <f>'Data Aset'!B782</f>
        <v/>
      </c>
      <c r="D780" s="3">
        <f>'Data Aset'!F782</f>
        <v/>
      </c>
      <c r="E780" s="3" t="inlineStr">
        <is>
          <t>Inventaris Ruangan</t>
        </is>
      </c>
      <c r="F780" s="3">
        <f>'Data Aset'!C782</f>
        <v/>
      </c>
      <c r="G780" s="3">
        <f>'Data Aset'!J782</f>
        <v/>
      </c>
      <c r="H780" s="5">
        <f>'Data Aset'!M782</f>
        <v/>
      </c>
      <c r="I780" s="3">
        <f>'Data Aset'!O782</f>
        <v/>
      </c>
      <c r="J780" s="5" t="n">
        <v>0</v>
      </c>
      <c r="K780" s="3" t="inlineStr">
        <is>
          <t>Garis Lurus</t>
        </is>
      </c>
      <c r="L780" s="5">
        <f>IFERROR(M780/12,"")</f>
        <v/>
      </c>
      <c r="M780" s="5">
        <f>IFERROR((H780-J780)/I780,"")</f>
        <v/>
      </c>
      <c r="N780" s="5">
        <f>IFERROR(M780,"")</f>
        <v/>
      </c>
      <c r="O780" s="5">
        <f>IFERROR(H780-N780,"")</f>
        <v/>
      </c>
      <c r="P780" s="3" t="inlineStr">
        <is>
          <t>Belum dihitung</t>
        </is>
      </c>
      <c r="Q780" s="3" t="n"/>
    </row>
    <row r="781">
      <c r="A781" s="3" t="n">
        <v>780</v>
      </c>
      <c r="B781" s="3" t="inlineStr">
        <is>
          <t>Desember 2025</t>
        </is>
      </c>
      <c r="C781" s="3">
        <f>'Data Aset'!B783</f>
        <v/>
      </c>
      <c r="D781" s="3">
        <f>'Data Aset'!F783</f>
        <v/>
      </c>
      <c r="E781" s="3" t="inlineStr">
        <is>
          <t>Inventaris Ruangan</t>
        </is>
      </c>
      <c r="F781" s="3">
        <f>'Data Aset'!C783</f>
        <v/>
      </c>
      <c r="G781" s="3">
        <f>'Data Aset'!J783</f>
        <v/>
      </c>
      <c r="H781" s="5">
        <f>'Data Aset'!M783</f>
        <v/>
      </c>
      <c r="I781" s="3">
        <f>'Data Aset'!O783</f>
        <v/>
      </c>
      <c r="J781" s="5" t="n">
        <v>0</v>
      </c>
      <c r="K781" s="3" t="inlineStr">
        <is>
          <t>Garis Lurus</t>
        </is>
      </c>
      <c r="L781" s="5">
        <f>IFERROR(M781/12,"")</f>
        <v/>
      </c>
      <c r="M781" s="5">
        <f>IFERROR((H781-J781)/I781,"")</f>
        <v/>
      </c>
      <c r="N781" s="5">
        <f>IFERROR(M781,"")</f>
        <v/>
      </c>
      <c r="O781" s="5">
        <f>IFERROR(H781-N781,"")</f>
        <v/>
      </c>
      <c r="P781" s="3" t="inlineStr">
        <is>
          <t>Belum dihitung</t>
        </is>
      </c>
      <c r="Q781" s="3" t="n"/>
    </row>
    <row r="782">
      <c r="A782" s="3" t="n">
        <v>781</v>
      </c>
      <c r="B782" s="3" t="inlineStr">
        <is>
          <t>Desember 2025</t>
        </is>
      </c>
      <c r="C782" s="3">
        <f>'Data Aset'!B784</f>
        <v/>
      </c>
      <c r="D782" s="3">
        <f>'Data Aset'!F784</f>
        <v/>
      </c>
      <c r="E782" s="3" t="inlineStr">
        <is>
          <t>Inventaris Ruangan</t>
        </is>
      </c>
      <c r="F782" s="3">
        <f>'Data Aset'!C784</f>
        <v/>
      </c>
      <c r="G782" s="3">
        <f>'Data Aset'!J784</f>
        <v/>
      </c>
      <c r="H782" s="5">
        <f>'Data Aset'!M784</f>
        <v/>
      </c>
      <c r="I782" s="3">
        <f>'Data Aset'!O784</f>
        <v/>
      </c>
      <c r="J782" s="5" t="n">
        <v>0</v>
      </c>
      <c r="K782" s="3" t="inlineStr">
        <is>
          <t>Garis Lurus</t>
        </is>
      </c>
      <c r="L782" s="5">
        <f>IFERROR(M782/12,"")</f>
        <v/>
      </c>
      <c r="M782" s="5">
        <f>IFERROR((H782-J782)/I782,"")</f>
        <v/>
      </c>
      <c r="N782" s="5">
        <f>IFERROR(M782,"")</f>
        <v/>
      </c>
      <c r="O782" s="5">
        <f>IFERROR(H782-N782,"")</f>
        <v/>
      </c>
      <c r="P782" s="3" t="inlineStr">
        <is>
          <t>Belum dihitung</t>
        </is>
      </c>
      <c r="Q782" s="3" t="n"/>
    </row>
    <row r="783">
      <c r="A783" s="3" t="n">
        <v>782</v>
      </c>
      <c r="B783" s="3" t="inlineStr">
        <is>
          <t>Desember 2025</t>
        </is>
      </c>
      <c r="C783" s="3">
        <f>'Data Aset'!B785</f>
        <v/>
      </c>
      <c r="D783" s="3">
        <f>'Data Aset'!F785</f>
        <v/>
      </c>
      <c r="E783" s="3" t="inlineStr">
        <is>
          <t>Inventaris Ruangan</t>
        </is>
      </c>
      <c r="F783" s="3">
        <f>'Data Aset'!C785</f>
        <v/>
      </c>
      <c r="G783" s="3">
        <f>'Data Aset'!J785</f>
        <v/>
      </c>
      <c r="H783" s="5">
        <f>'Data Aset'!M785</f>
        <v/>
      </c>
      <c r="I783" s="3">
        <f>'Data Aset'!O785</f>
        <v/>
      </c>
      <c r="J783" s="5" t="n">
        <v>0</v>
      </c>
      <c r="K783" s="3" t="inlineStr">
        <is>
          <t>Garis Lurus</t>
        </is>
      </c>
      <c r="L783" s="5">
        <f>IFERROR(M783/12,"")</f>
        <v/>
      </c>
      <c r="M783" s="5">
        <f>IFERROR((H783-J783)/I783,"")</f>
        <v/>
      </c>
      <c r="N783" s="5">
        <f>IFERROR(M783,"")</f>
        <v/>
      </c>
      <c r="O783" s="5">
        <f>IFERROR(H783-N783,"")</f>
        <v/>
      </c>
      <c r="P783" s="3" t="inlineStr">
        <is>
          <t>Belum dihitung</t>
        </is>
      </c>
      <c r="Q783" s="3" t="n"/>
    </row>
    <row r="784">
      <c r="A784" s="3" t="n">
        <v>783</v>
      </c>
      <c r="B784" s="3" t="inlineStr">
        <is>
          <t>Desember 2025</t>
        </is>
      </c>
      <c r="C784" s="3">
        <f>'Data Aset'!B786</f>
        <v/>
      </c>
      <c r="D784" s="3">
        <f>'Data Aset'!F786</f>
        <v/>
      </c>
      <c r="E784" s="3" t="inlineStr">
        <is>
          <t>Inventaris Ruangan</t>
        </is>
      </c>
      <c r="F784" s="3">
        <f>'Data Aset'!C786</f>
        <v/>
      </c>
      <c r="G784" s="3">
        <f>'Data Aset'!J786</f>
        <v/>
      </c>
      <c r="H784" s="5">
        <f>'Data Aset'!M786</f>
        <v/>
      </c>
      <c r="I784" s="3">
        <f>'Data Aset'!O786</f>
        <v/>
      </c>
      <c r="J784" s="5" t="n">
        <v>0</v>
      </c>
      <c r="K784" s="3" t="inlineStr">
        <is>
          <t>Garis Lurus</t>
        </is>
      </c>
      <c r="L784" s="5">
        <f>IFERROR(M784/12,"")</f>
        <v/>
      </c>
      <c r="M784" s="5">
        <f>IFERROR((H784-J784)/I784,"")</f>
        <v/>
      </c>
      <c r="N784" s="5">
        <f>IFERROR(M784,"")</f>
        <v/>
      </c>
      <c r="O784" s="5">
        <f>IFERROR(H784-N784,"")</f>
        <v/>
      </c>
      <c r="P784" s="3" t="inlineStr">
        <is>
          <t>Belum dihitung</t>
        </is>
      </c>
      <c r="Q784" s="3" t="n"/>
    </row>
    <row r="785">
      <c r="A785" s="3" t="n">
        <v>784</v>
      </c>
      <c r="B785" s="3" t="inlineStr">
        <is>
          <t>Desember 2025</t>
        </is>
      </c>
      <c r="C785" s="3">
        <f>'Data Aset'!B787</f>
        <v/>
      </c>
      <c r="D785" s="3">
        <f>'Data Aset'!F787</f>
        <v/>
      </c>
      <c r="E785" s="3" t="inlineStr">
        <is>
          <t>Inventaris Ruangan</t>
        </is>
      </c>
      <c r="F785" s="3">
        <f>'Data Aset'!C787</f>
        <v/>
      </c>
      <c r="G785" s="3">
        <f>'Data Aset'!J787</f>
        <v/>
      </c>
      <c r="H785" s="5">
        <f>'Data Aset'!M787</f>
        <v/>
      </c>
      <c r="I785" s="3">
        <f>'Data Aset'!O787</f>
        <v/>
      </c>
      <c r="J785" s="5" t="n">
        <v>0</v>
      </c>
      <c r="K785" s="3" t="inlineStr">
        <is>
          <t>Garis Lurus</t>
        </is>
      </c>
      <c r="L785" s="5">
        <f>IFERROR(M785/12,"")</f>
        <v/>
      </c>
      <c r="M785" s="5">
        <f>IFERROR((H785-J785)/I785,"")</f>
        <v/>
      </c>
      <c r="N785" s="5">
        <f>IFERROR(M785,"")</f>
        <v/>
      </c>
      <c r="O785" s="5">
        <f>IFERROR(H785-N785,"")</f>
        <v/>
      </c>
      <c r="P785" s="3" t="inlineStr">
        <is>
          <t>Belum dihitung</t>
        </is>
      </c>
      <c r="Q785" s="3" t="n"/>
    </row>
    <row r="786">
      <c r="A786" s="3" t="n">
        <v>785</v>
      </c>
      <c r="B786" s="3" t="inlineStr">
        <is>
          <t>Desember 2025</t>
        </is>
      </c>
      <c r="C786" s="3">
        <f>'Data Aset'!B788</f>
        <v/>
      </c>
      <c r="D786" s="3">
        <f>'Data Aset'!F788</f>
        <v/>
      </c>
      <c r="E786" s="3" t="inlineStr">
        <is>
          <t>Inventaris Ruangan</t>
        </is>
      </c>
      <c r="F786" s="3">
        <f>'Data Aset'!C788</f>
        <v/>
      </c>
      <c r="G786" s="3">
        <f>'Data Aset'!J788</f>
        <v/>
      </c>
      <c r="H786" s="5">
        <f>'Data Aset'!M788</f>
        <v/>
      </c>
      <c r="I786" s="3">
        <f>'Data Aset'!O788</f>
        <v/>
      </c>
      <c r="J786" s="5" t="n">
        <v>0</v>
      </c>
      <c r="K786" s="3" t="inlineStr">
        <is>
          <t>Garis Lurus</t>
        </is>
      </c>
      <c r="L786" s="5">
        <f>IFERROR(M786/12,"")</f>
        <v/>
      </c>
      <c r="M786" s="5">
        <f>IFERROR((H786-J786)/I786,"")</f>
        <v/>
      </c>
      <c r="N786" s="5">
        <f>IFERROR(M786,"")</f>
        <v/>
      </c>
      <c r="O786" s="5">
        <f>IFERROR(H786-N786,"")</f>
        <v/>
      </c>
      <c r="P786" s="3" t="inlineStr">
        <is>
          <t>Belum dihitung</t>
        </is>
      </c>
      <c r="Q786" s="3" t="n"/>
    </row>
    <row r="787">
      <c r="A787" s="3" t="n">
        <v>786</v>
      </c>
      <c r="B787" s="3" t="inlineStr">
        <is>
          <t>Desember 2025</t>
        </is>
      </c>
      <c r="C787" s="3">
        <f>'Data Aset'!B789</f>
        <v/>
      </c>
      <c r="D787" s="3">
        <f>'Data Aset'!F789</f>
        <v/>
      </c>
      <c r="E787" s="3" t="inlineStr">
        <is>
          <t>Inventaris Ruangan</t>
        </is>
      </c>
      <c r="F787" s="3">
        <f>'Data Aset'!C789</f>
        <v/>
      </c>
      <c r="G787" s="3">
        <f>'Data Aset'!J789</f>
        <v/>
      </c>
      <c r="H787" s="5">
        <f>'Data Aset'!M789</f>
        <v/>
      </c>
      <c r="I787" s="3">
        <f>'Data Aset'!O789</f>
        <v/>
      </c>
      <c r="J787" s="5" t="n">
        <v>0</v>
      </c>
      <c r="K787" s="3" t="inlineStr">
        <is>
          <t>Garis Lurus</t>
        </is>
      </c>
      <c r="L787" s="5">
        <f>IFERROR(M787/12,"")</f>
        <v/>
      </c>
      <c r="M787" s="5">
        <f>IFERROR((H787-J787)/I787,"")</f>
        <v/>
      </c>
      <c r="N787" s="5">
        <f>IFERROR(M787,"")</f>
        <v/>
      </c>
      <c r="O787" s="5">
        <f>IFERROR(H787-N787,"")</f>
        <v/>
      </c>
      <c r="P787" s="3" t="inlineStr">
        <is>
          <t>Belum dihitung</t>
        </is>
      </c>
      <c r="Q787" s="3" t="n"/>
    </row>
    <row r="788">
      <c r="A788" s="3" t="n">
        <v>787</v>
      </c>
      <c r="B788" s="3" t="inlineStr">
        <is>
          <t>Desember 2025</t>
        </is>
      </c>
      <c r="C788" s="3">
        <f>'Data Aset'!B790</f>
        <v/>
      </c>
      <c r="D788" s="3">
        <f>'Data Aset'!F790</f>
        <v/>
      </c>
      <c r="E788" s="3" t="inlineStr">
        <is>
          <t>Inventaris Ruangan</t>
        </is>
      </c>
      <c r="F788" s="3">
        <f>'Data Aset'!C790</f>
        <v/>
      </c>
      <c r="G788" s="3">
        <f>'Data Aset'!J790</f>
        <v/>
      </c>
      <c r="H788" s="5">
        <f>'Data Aset'!M790</f>
        <v/>
      </c>
      <c r="I788" s="3">
        <f>'Data Aset'!O790</f>
        <v/>
      </c>
      <c r="J788" s="5" t="n">
        <v>0</v>
      </c>
      <c r="K788" s="3" t="inlineStr">
        <is>
          <t>Garis Lurus</t>
        </is>
      </c>
      <c r="L788" s="5">
        <f>IFERROR(M788/12,"")</f>
        <v/>
      </c>
      <c r="M788" s="5">
        <f>IFERROR((H788-J788)/I788,"")</f>
        <v/>
      </c>
      <c r="N788" s="5">
        <f>IFERROR(M788,"")</f>
        <v/>
      </c>
      <c r="O788" s="5">
        <f>IFERROR(H788-N788,"")</f>
        <v/>
      </c>
      <c r="P788" s="3" t="inlineStr">
        <is>
          <t>Belum dihitung</t>
        </is>
      </c>
      <c r="Q788" s="3" t="n"/>
    </row>
    <row r="789">
      <c r="A789" s="3" t="n">
        <v>788</v>
      </c>
      <c r="B789" s="3" t="inlineStr">
        <is>
          <t>Desember 2025</t>
        </is>
      </c>
      <c r="C789" s="3">
        <f>'Data Aset'!B791</f>
        <v/>
      </c>
      <c r="D789" s="3">
        <f>'Data Aset'!F791</f>
        <v/>
      </c>
      <c r="E789" s="3" t="inlineStr">
        <is>
          <t>Inventaris Ruangan</t>
        </is>
      </c>
      <c r="F789" s="3">
        <f>'Data Aset'!C791</f>
        <v/>
      </c>
      <c r="G789" s="3">
        <f>'Data Aset'!J791</f>
        <v/>
      </c>
      <c r="H789" s="5">
        <f>'Data Aset'!M791</f>
        <v/>
      </c>
      <c r="I789" s="3">
        <f>'Data Aset'!O791</f>
        <v/>
      </c>
      <c r="J789" s="5" t="n">
        <v>0</v>
      </c>
      <c r="K789" s="3" t="inlineStr">
        <is>
          <t>Garis Lurus</t>
        </is>
      </c>
      <c r="L789" s="5">
        <f>IFERROR(M789/12,"")</f>
        <v/>
      </c>
      <c r="M789" s="5">
        <f>IFERROR((H789-J789)/I789,"")</f>
        <v/>
      </c>
      <c r="N789" s="5">
        <f>IFERROR(M789,"")</f>
        <v/>
      </c>
      <c r="O789" s="5">
        <f>IFERROR(H789-N789,"")</f>
        <v/>
      </c>
      <c r="P789" s="3" t="inlineStr">
        <is>
          <t>Belum dihitung</t>
        </is>
      </c>
      <c r="Q789" s="3" t="n"/>
    </row>
    <row r="790">
      <c r="A790" s="3" t="n">
        <v>789</v>
      </c>
      <c r="B790" s="3" t="inlineStr">
        <is>
          <t>Desember 2025</t>
        </is>
      </c>
      <c r="C790" s="3">
        <f>'Data Aset'!B792</f>
        <v/>
      </c>
      <c r="D790" s="3">
        <f>'Data Aset'!F792</f>
        <v/>
      </c>
      <c r="E790" s="3" t="inlineStr">
        <is>
          <t>Inventaris Ruangan</t>
        </is>
      </c>
      <c r="F790" s="3">
        <f>'Data Aset'!C792</f>
        <v/>
      </c>
      <c r="G790" s="3">
        <f>'Data Aset'!J792</f>
        <v/>
      </c>
      <c r="H790" s="5">
        <f>'Data Aset'!M792</f>
        <v/>
      </c>
      <c r="I790" s="3">
        <f>'Data Aset'!O792</f>
        <v/>
      </c>
      <c r="J790" s="5" t="n">
        <v>0</v>
      </c>
      <c r="K790" s="3" t="inlineStr">
        <is>
          <t>Garis Lurus</t>
        </is>
      </c>
      <c r="L790" s="5">
        <f>IFERROR(M790/12,"")</f>
        <v/>
      </c>
      <c r="M790" s="5">
        <f>IFERROR((H790-J790)/I790,"")</f>
        <v/>
      </c>
      <c r="N790" s="5">
        <f>IFERROR(M790,"")</f>
        <v/>
      </c>
      <c r="O790" s="5">
        <f>IFERROR(H790-N790,"")</f>
        <v/>
      </c>
      <c r="P790" s="3" t="inlineStr">
        <is>
          <t>Belum dihitung</t>
        </is>
      </c>
      <c r="Q790" s="3" t="n"/>
    </row>
    <row r="791">
      <c r="A791" s="3" t="n">
        <v>790</v>
      </c>
      <c r="B791" s="3" t="inlineStr">
        <is>
          <t>Desember 2025</t>
        </is>
      </c>
      <c r="C791" s="3">
        <f>'Data Aset'!B793</f>
        <v/>
      </c>
      <c r="D791" s="3">
        <f>'Data Aset'!F793</f>
        <v/>
      </c>
      <c r="E791" s="3" t="inlineStr">
        <is>
          <t>Inventaris Ruangan</t>
        </is>
      </c>
      <c r="F791" s="3">
        <f>'Data Aset'!C793</f>
        <v/>
      </c>
      <c r="G791" s="3">
        <f>'Data Aset'!J793</f>
        <v/>
      </c>
      <c r="H791" s="5">
        <f>'Data Aset'!M793</f>
        <v/>
      </c>
      <c r="I791" s="3">
        <f>'Data Aset'!O793</f>
        <v/>
      </c>
      <c r="J791" s="5" t="n">
        <v>0</v>
      </c>
      <c r="K791" s="3" t="inlineStr">
        <is>
          <t>Garis Lurus</t>
        </is>
      </c>
      <c r="L791" s="5">
        <f>IFERROR(M791/12,"")</f>
        <v/>
      </c>
      <c r="M791" s="5">
        <f>IFERROR((H791-J791)/I791,"")</f>
        <v/>
      </c>
      <c r="N791" s="5">
        <f>IFERROR(M791,"")</f>
        <v/>
      </c>
      <c r="O791" s="5">
        <f>IFERROR(H791-N791,"")</f>
        <v/>
      </c>
      <c r="P791" s="3" t="inlineStr">
        <is>
          <t>Belum dihitung</t>
        </is>
      </c>
      <c r="Q791" s="3" t="n"/>
    </row>
    <row r="792">
      <c r="A792" s="3" t="n">
        <v>791</v>
      </c>
      <c r="B792" s="3" t="inlineStr">
        <is>
          <t>Desember 2025</t>
        </is>
      </c>
      <c r="C792" s="3">
        <f>'Data Aset'!B794</f>
        <v/>
      </c>
      <c r="D792" s="3">
        <f>'Data Aset'!F794</f>
        <v/>
      </c>
      <c r="E792" s="3" t="inlineStr">
        <is>
          <t>Inventaris Ruangan</t>
        </is>
      </c>
      <c r="F792" s="3">
        <f>'Data Aset'!C794</f>
        <v/>
      </c>
      <c r="G792" s="3">
        <f>'Data Aset'!J794</f>
        <v/>
      </c>
      <c r="H792" s="5">
        <f>'Data Aset'!M794</f>
        <v/>
      </c>
      <c r="I792" s="3">
        <f>'Data Aset'!O794</f>
        <v/>
      </c>
      <c r="J792" s="5" t="n">
        <v>0</v>
      </c>
      <c r="K792" s="3" t="inlineStr">
        <is>
          <t>Garis Lurus</t>
        </is>
      </c>
      <c r="L792" s="5">
        <f>IFERROR(M792/12,"")</f>
        <v/>
      </c>
      <c r="M792" s="5">
        <f>IFERROR((H792-J792)/I792,"")</f>
        <v/>
      </c>
      <c r="N792" s="5">
        <f>IFERROR(M792,"")</f>
        <v/>
      </c>
      <c r="O792" s="5">
        <f>IFERROR(H792-N792,"")</f>
        <v/>
      </c>
      <c r="P792" s="3" t="inlineStr">
        <is>
          <t>Belum dihitung</t>
        </is>
      </c>
      <c r="Q792" s="3" t="n"/>
    </row>
    <row r="793">
      <c r="A793" s="3" t="n">
        <v>792</v>
      </c>
      <c r="B793" s="3" t="inlineStr">
        <is>
          <t>Desember 2025</t>
        </is>
      </c>
      <c r="C793" s="3">
        <f>'Data Aset'!B795</f>
        <v/>
      </c>
      <c r="D793" s="3">
        <f>'Data Aset'!F795</f>
        <v/>
      </c>
      <c r="E793" s="3" t="inlineStr">
        <is>
          <t>Inventaris Ruangan</t>
        </is>
      </c>
      <c r="F793" s="3">
        <f>'Data Aset'!C795</f>
        <v/>
      </c>
      <c r="G793" s="3">
        <f>'Data Aset'!J795</f>
        <v/>
      </c>
      <c r="H793" s="5">
        <f>'Data Aset'!M795</f>
        <v/>
      </c>
      <c r="I793" s="3">
        <f>'Data Aset'!O795</f>
        <v/>
      </c>
      <c r="J793" s="5" t="n">
        <v>0</v>
      </c>
      <c r="K793" s="3" t="inlineStr">
        <is>
          <t>Garis Lurus</t>
        </is>
      </c>
      <c r="L793" s="5">
        <f>IFERROR(M793/12,"")</f>
        <v/>
      </c>
      <c r="M793" s="5">
        <f>IFERROR((H793-J793)/I793,"")</f>
        <v/>
      </c>
      <c r="N793" s="5">
        <f>IFERROR(M793,"")</f>
        <v/>
      </c>
      <c r="O793" s="5">
        <f>IFERROR(H793-N793,"")</f>
        <v/>
      </c>
      <c r="P793" s="3" t="inlineStr">
        <is>
          <t>Belum dihitung</t>
        </is>
      </c>
      <c r="Q793" s="3" t="n"/>
    </row>
    <row r="794">
      <c r="A794" s="3" t="n">
        <v>793</v>
      </c>
      <c r="B794" s="3" t="inlineStr">
        <is>
          <t>Desember 2025</t>
        </is>
      </c>
      <c r="C794" s="3">
        <f>'Data Aset'!B796</f>
        <v/>
      </c>
      <c r="D794" s="3">
        <f>'Data Aset'!F796</f>
        <v/>
      </c>
      <c r="E794" s="3" t="inlineStr">
        <is>
          <t>Inventaris Ruangan</t>
        </is>
      </c>
      <c r="F794" s="3">
        <f>'Data Aset'!C796</f>
        <v/>
      </c>
      <c r="G794" s="3">
        <f>'Data Aset'!J796</f>
        <v/>
      </c>
      <c r="H794" s="5">
        <f>'Data Aset'!M796</f>
        <v/>
      </c>
      <c r="I794" s="3">
        <f>'Data Aset'!O796</f>
        <v/>
      </c>
      <c r="J794" s="5" t="n">
        <v>0</v>
      </c>
      <c r="K794" s="3" t="inlineStr">
        <is>
          <t>Garis Lurus</t>
        </is>
      </c>
      <c r="L794" s="5">
        <f>IFERROR(M794/12,"")</f>
        <v/>
      </c>
      <c r="M794" s="5">
        <f>IFERROR((H794-J794)/I794,"")</f>
        <v/>
      </c>
      <c r="N794" s="5">
        <f>IFERROR(M794,"")</f>
        <v/>
      </c>
      <c r="O794" s="5">
        <f>IFERROR(H794-N794,"")</f>
        <v/>
      </c>
      <c r="P794" s="3" t="inlineStr">
        <is>
          <t>Belum dihitung</t>
        </is>
      </c>
      <c r="Q794" s="3" t="n"/>
    </row>
    <row r="795">
      <c r="A795" s="3" t="n">
        <v>794</v>
      </c>
      <c r="B795" s="3" t="inlineStr">
        <is>
          <t>Desember 2025</t>
        </is>
      </c>
      <c r="C795" s="3">
        <f>'Data Aset'!B797</f>
        <v/>
      </c>
      <c r="D795" s="3">
        <f>'Data Aset'!F797</f>
        <v/>
      </c>
      <c r="E795" s="3" t="inlineStr">
        <is>
          <t>Inventaris Ruangan</t>
        </is>
      </c>
      <c r="F795" s="3">
        <f>'Data Aset'!C797</f>
        <v/>
      </c>
      <c r="G795" s="3">
        <f>'Data Aset'!J797</f>
        <v/>
      </c>
      <c r="H795" s="5">
        <f>'Data Aset'!M797</f>
        <v/>
      </c>
      <c r="I795" s="3">
        <f>'Data Aset'!O797</f>
        <v/>
      </c>
      <c r="J795" s="5" t="n">
        <v>0</v>
      </c>
      <c r="K795" s="3" t="inlineStr">
        <is>
          <t>Garis Lurus</t>
        </is>
      </c>
      <c r="L795" s="5">
        <f>IFERROR(M795/12,"")</f>
        <v/>
      </c>
      <c r="M795" s="5">
        <f>IFERROR((H795-J795)/I795,"")</f>
        <v/>
      </c>
      <c r="N795" s="5">
        <f>IFERROR(M795,"")</f>
        <v/>
      </c>
      <c r="O795" s="5">
        <f>IFERROR(H795-N795,"")</f>
        <v/>
      </c>
      <c r="P795" s="3" t="inlineStr">
        <is>
          <t>Belum dihitung</t>
        </is>
      </c>
      <c r="Q795" s="3" t="n"/>
    </row>
    <row r="796">
      <c r="A796" s="3" t="n">
        <v>795</v>
      </c>
      <c r="B796" s="3" t="inlineStr">
        <is>
          <t>Desember 2025</t>
        </is>
      </c>
      <c r="C796" s="3">
        <f>'Data Aset'!B798</f>
        <v/>
      </c>
      <c r="D796" s="3">
        <f>'Data Aset'!F798</f>
        <v/>
      </c>
      <c r="E796" s="3" t="inlineStr">
        <is>
          <t>Inventaris Ruangan</t>
        </is>
      </c>
      <c r="F796" s="3">
        <f>'Data Aset'!C798</f>
        <v/>
      </c>
      <c r="G796" s="3">
        <f>'Data Aset'!J798</f>
        <v/>
      </c>
      <c r="H796" s="5">
        <f>'Data Aset'!M798</f>
        <v/>
      </c>
      <c r="I796" s="3">
        <f>'Data Aset'!O798</f>
        <v/>
      </c>
      <c r="J796" s="5" t="n">
        <v>0</v>
      </c>
      <c r="K796" s="3" t="inlineStr">
        <is>
          <t>Garis Lurus</t>
        </is>
      </c>
      <c r="L796" s="5">
        <f>IFERROR(M796/12,"")</f>
        <v/>
      </c>
      <c r="M796" s="5">
        <f>IFERROR((H796-J796)/I796,"")</f>
        <v/>
      </c>
      <c r="N796" s="5">
        <f>IFERROR(M796,"")</f>
        <v/>
      </c>
      <c r="O796" s="5">
        <f>IFERROR(H796-N796,"")</f>
        <v/>
      </c>
      <c r="P796" s="3" t="inlineStr">
        <is>
          <t>Belum dihitung</t>
        </is>
      </c>
      <c r="Q796" s="3" t="n"/>
    </row>
    <row r="797">
      <c r="A797" s="3" t="n">
        <v>796</v>
      </c>
      <c r="B797" s="3" t="inlineStr">
        <is>
          <t>Desember 2025</t>
        </is>
      </c>
      <c r="C797" s="3">
        <f>'Data Aset'!B799</f>
        <v/>
      </c>
      <c r="D797" s="3">
        <f>'Data Aset'!F799</f>
        <v/>
      </c>
      <c r="E797" s="3" t="inlineStr">
        <is>
          <t>Inventaris Ruangan</t>
        </is>
      </c>
      <c r="F797" s="3">
        <f>'Data Aset'!C799</f>
        <v/>
      </c>
      <c r="G797" s="3">
        <f>'Data Aset'!J799</f>
        <v/>
      </c>
      <c r="H797" s="5">
        <f>'Data Aset'!M799</f>
        <v/>
      </c>
      <c r="I797" s="3">
        <f>'Data Aset'!O799</f>
        <v/>
      </c>
      <c r="J797" s="5" t="n">
        <v>0</v>
      </c>
      <c r="K797" s="3" t="inlineStr">
        <is>
          <t>Garis Lurus</t>
        </is>
      </c>
      <c r="L797" s="5">
        <f>IFERROR(M797/12,"")</f>
        <v/>
      </c>
      <c r="M797" s="5">
        <f>IFERROR((H797-J797)/I797,"")</f>
        <v/>
      </c>
      <c r="N797" s="5">
        <f>IFERROR(M797,"")</f>
        <v/>
      </c>
      <c r="O797" s="5">
        <f>IFERROR(H797-N797,"")</f>
        <v/>
      </c>
      <c r="P797" s="3" t="inlineStr">
        <is>
          <t>Belum dihitung</t>
        </is>
      </c>
      <c r="Q797" s="3" t="n"/>
    </row>
    <row r="798">
      <c r="A798" s="3" t="n">
        <v>797</v>
      </c>
      <c r="B798" s="3" t="inlineStr">
        <is>
          <t>Desember 2025</t>
        </is>
      </c>
      <c r="C798" s="3">
        <f>'Data Aset'!B800</f>
        <v/>
      </c>
      <c r="D798" s="3">
        <f>'Data Aset'!F800</f>
        <v/>
      </c>
      <c r="E798" s="3" t="inlineStr">
        <is>
          <t>Inventaris Ruangan</t>
        </is>
      </c>
      <c r="F798" s="3">
        <f>'Data Aset'!C800</f>
        <v/>
      </c>
      <c r="G798" s="3">
        <f>'Data Aset'!J800</f>
        <v/>
      </c>
      <c r="H798" s="5">
        <f>'Data Aset'!M800</f>
        <v/>
      </c>
      <c r="I798" s="3">
        <f>'Data Aset'!O800</f>
        <v/>
      </c>
      <c r="J798" s="5" t="n">
        <v>0</v>
      </c>
      <c r="K798" s="3" t="inlineStr">
        <is>
          <t>Garis Lurus</t>
        </is>
      </c>
      <c r="L798" s="5">
        <f>IFERROR(M798/12,"")</f>
        <v/>
      </c>
      <c r="M798" s="5">
        <f>IFERROR((H798-J798)/I798,"")</f>
        <v/>
      </c>
      <c r="N798" s="5">
        <f>IFERROR(M798,"")</f>
        <v/>
      </c>
      <c r="O798" s="5">
        <f>IFERROR(H798-N798,"")</f>
        <v/>
      </c>
      <c r="P798" s="3" t="inlineStr">
        <is>
          <t>Belum dihitung</t>
        </is>
      </c>
      <c r="Q798" s="3" t="n"/>
    </row>
    <row r="799">
      <c r="A799" s="3" t="n">
        <v>798</v>
      </c>
      <c r="B799" s="3" t="inlineStr">
        <is>
          <t>Desember 2025</t>
        </is>
      </c>
      <c r="C799" s="3">
        <f>'Data Aset'!B801</f>
        <v/>
      </c>
      <c r="D799" s="3">
        <f>'Data Aset'!F801</f>
        <v/>
      </c>
      <c r="E799" s="3" t="inlineStr">
        <is>
          <t>Inventaris Ruangan</t>
        </is>
      </c>
      <c r="F799" s="3">
        <f>'Data Aset'!C801</f>
        <v/>
      </c>
      <c r="G799" s="3">
        <f>'Data Aset'!J801</f>
        <v/>
      </c>
      <c r="H799" s="5">
        <f>'Data Aset'!M801</f>
        <v/>
      </c>
      <c r="I799" s="3">
        <f>'Data Aset'!O801</f>
        <v/>
      </c>
      <c r="J799" s="5" t="n">
        <v>0</v>
      </c>
      <c r="K799" s="3" t="inlineStr">
        <is>
          <t>Garis Lurus</t>
        </is>
      </c>
      <c r="L799" s="5">
        <f>IFERROR(M799/12,"")</f>
        <v/>
      </c>
      <c r="M799" s="5">
        <f>IFERROR((H799-J799)/I799,"")</f>
        <v/>
      </c>
      <c r="N799" s="5">
        <f>IFERROR(M799,"")</f>
        <v/>
      </c>
      <c r="O799" s="5">
        <f>IFERROR(H799-N799,"")</f>
        <v/>
      </c>
      <c r="P799" s="3" t="inlineStr">
        <is>
          <t>Belum dihitung</t>
        </is>
      </c>
      <c r="Q799" s="3" t="n"/>
    </row>
    <row r="800">
      <c r="A800" s="3" t="n">
        <v>799</v>
      </c>
      <c r="B800" s="3" t="inlineStr">
        <is>
          <t>Desember 2025</t>
        </is>
      </c>
      <c r="C800" s="3">
        <f>'Data Aset'!B802</f>
        <v/>
      </c>
      <c r="D800" s="3">
        <f>'Data Aset'!F802</f>
        <v/>
      </c>
      <c r="E800" s="3" t="inlineStr">
        <is>
          <t>Inventaris Ruangan</t>
        </is>
      </c>
      <c r="F800" s="3">
        <f>'Data Aset'!C802</f>
        <v/>
      </c>
      <c r="G800" s="3">
        <f>'Data Aset'!J802</f>
        <v/>
      </c>
      <c r="H800" s="5">
        <f>'Data Aset'!M802</f>
        <v/>
      </c>
      <c r="I800" s="3">
        <f>'Data Aset'!O802</f>
        <v/>
      </c>
      <c r="J800" s="5" t="n">
        <v>0</v>
      </c>
      <c r="K800" s="3" t="inlineStr">
        <is>
          <t>Garis Lurus</t>
        </is>
      </c>
      <c r="L800" s="5">
        <f>IFERROR(M800/12,"")</f>
        <v/>
      </c>
      <c r="M800" s="5">
        <f>IFERROR((H800-J800)/I800,"")</f>
        <v/>
      </c>
      <c r="N800" s="5">
        <f>IFERROR(M800,"")</f>
        <v/>
      </c>
      <c r="O800" s="5">
        <f>IFERROR(H800-N800,"")</f>
        <v/>
      </c>
      <c r="P800" s="3" t="inlineStr">
        <is>
          <t>Belum dihitung</t>
        </is>
      </c>
      <c r="Q800" s="3" t="n"/>
    </row>
    <row r="801">
      <c r="A801" s="3" t="n">
        <v>800</v>
      </c>
      <c r="B801" s="3" t="inlineStr">
        <is>
          <t>Desember 2025</t>
        </is>
      </c>
      <c r="C801" s="3">
        <f>'Data Aset'!B803</f>
        <v/>
      </c>
      <c r="D801" s="3">
        <f>'Data Aset'!F803</f>
        <v/>
      </c>
      <c r="E801" s="3" t="inlineStr">
        <is>
          <t>Inventaris Ruangan</t>
        </is>
      </c>
      <c r="F801" s="3">
        <f>'Data Aset'!C803</f>
        <v/>
      </c>
      <c r="G801" s="3">
        <f>'Data Aset'!J803</f>
        <v/>
      </c>
      <c r="H801" s="5">
        <f>'Data Aset'!M803</f>
        <v/>
      </c>
      <c r="I801" s="3">
        <f>'Data Aset'!O803</f>
        <v/>
      </c>
      <c r="J801" s="5" t="n">
        <v>0</v>
      </c>
      <c r="K801" s="3" t="inlineStr">
        <is>
          <t>Garis Lurus</t>
        </is>
      </c>
      <c r="L801" s="5">
        <f>IFERROR(M801/12,"")</f>
        <v/>
      </c>
      <c r="M801" s="5">
        <f>IFERROR((H801-J801)/I801,"")</f>
        <v/>
      </c>
      <c r="N801" s="5">
        <f>IFERROR(M801,"")</f>
        <v/>
      </c>
      <c r="O801" s="5">
        <f>IFERROR(H801-N801,"")</f>
        <v/>
      </c>
      <c r="P801" s="3" t="inlineStr">
        <is>
          <t>Belum dihitung</t>
        </is>
      </c>
      <c r="Q801" s="3" t="n"/>
    </row>
    <row r="802">
      <c r="A802" s="3" t="n">
        <v>801</v>
      </c>
      <c r="B802" s="3" t="inlineStr">
        <is>
          <t>Desember 2025</t>
        </is>
      </c>
      <c r="C802" s="3">
        <f>'Data Aset'!B804</f>
        <v/>
      </c>
      <c r="D802" s="3">
        <f>'Data Aset'!F804</f>
        <v/>
      </c>
      <c r="E802" s="3" t="inlineStr">
        <is>
          <t>Inventaris Ruangan</t>
        </is>
      </c>
      <c r="F802" s="3">
        <f>'Data Aset'!C804</f>
        <v/>
      </c>
      <c r="G802" s="3">
        <f>'Data Aset'!J804</f>
        <v/>
      </c>
      <c r="H802" s="5">
        <f>'Data Aset'!M804</f>
        <v/>
      </c>
      <c r="I802" s="3">
        <f>'Data Aset'!O804</f>
        <v/>
      </c>
      <c r="J802" s="5" t="n">
        <v>0</v>
      </c>
      <c r="K802" s="3" t="inlineStr">
        <is>
          <t>Garis Lurus</t>
        </is>
      </c>
      <c r="L802" s="5">
        <f>IFERROR(M802/12,"")</f>
        <v/>
      </c>
      <c r="M802" s="5">
        <f>IFERROR((H802-J802)/I802,"")</f>
        <v/>
      </c>
      <c r="N802" s="5">
        <f>IFERROR(M802,"")</f>
        <v/>
      </c>
      <c r="O802" s="5">
        <f>IFERROR(H802-N802,"")</f>
        <v/>
      </c>
      <c r="P802" s="3" t="inlineStr">
        <is>
          <t>Belum dihitung</t>
        </is>
      </c>
      <c r="Q802" s="3" t="n"/>
    </row>
    <row r="803">
      <c r="A803" s="3" t="n">
        <v>802</v>
      </c>
      <c r="B803" s="3" t="inlineStr">
        <is>
          <t>Desember 2025</t>
        </is>
      </c>
      <c r="C803" s="3">
        <f>'Data Aset'!B805</f>
        <v/>
      </c>
      <c r="D803" s="3">
        <f>'Data Aset'!F805</f>
        <v/>
      </c>
      <c r="E803" s="3" t="inlineStr">
        <is>
          <t>Inventaris Ruangan</t>
        </is>
      </c>
      <c r="F803" s="3">
        <f>'Data Aset'!C805</f>
        <v/>
      </c>
      <c r="G803" s="3">
        <f>'Data Aset'!J805</f>
        <v/>
      </c>
      <c r="H803" s="5">
        <f>'Data Aset'!M805</f>
        <v/>
      </c>
      <c r="I803" s="3">
        <f>'Data Aset'!O805</f>
        <v/>
      </c>
      <c r="J803" s="5" t="n">
        <v>0</v>
      </c>
      <c r="K803" s="3" t="inlineStr">
        <is>
          <t>Garis Lurus</t>
        </is>
      </c>
      <c r="L803" s="5">
        <f>IFERROR(M803/12,"")</f>
        <v/>
      </c>
      <c r="M803" s="5">
        <f>IFERROR((H803-J803)/I803,"")</f>
        <v/>
      </c>
      <c r="N803" s="5">
        <f>IFERROR(M803,"")</f>
        <v/>
      </c>
      <c r="O803" s="5">
        <f>IFERROR(H803-N803,"")</f>
        <v/>
      </c>
      <c r="P803" s="3" t="inlineStr">
        <is>
          <t>Belum dihitung</t>
        </is>
      </c>
      <c r="Q803" s="3" t="n"/>
    </row>
    <row r="804">
      <c r="A804" s="3" t="n">
        <v>803</v>
      </c>
      <c r="B804" s="3" t="inlineStr">
        <is>
          <t>Desember 2025</t>
        </is>
      </c>
      <c r="C804" s="3">
        <f>'Data Aset'!B806</f>
        <v/>
      </c>
      <c r="D804" s="3">
        <f>'Data Aset'!F806</f>
        <v/>
      </c>
      <c r="E804" s="3" t="inlineStr">
        <is>
          <t>Inventaris Ruangan</t>
        </is>
      </c>
      <c r="F804" s="3">
        <f>'Data Aset'!C806</f>
        <v/>
      </c>
      <c r="G804" s="3">
        <f>'Data Aset'!J806</f>
        <v/>
      </c>
      <c r="H804" s="5">
        <f>'Data Aset'!M806</f>
        <v/>
      </c>
      <c r="I804" s="3">
        <f>'Data Aset'!O806</f>
        <v/>
      </c>
      <c r="J804" s="5" t="n">
        <v>0</v>
      </c>
      <c r="K804" s="3" t="inlineStr">
        <is>
          <t>Garis Lurus</t>
        </is>
      </c>
      <c r="L804" s="5">
        <f>IFERROR(M804/12,"")</f>
        <v/>
      </c>
      <c r="M804" s="5">
        <f>IFERROR((H804-J804)/I804,"")</f>
        <v/>
      </c>
      <c r="N804" s="5">
        <f>IFERROR(M804,"")</f>
        <v/>
      </c>
      <c r="O804" s="5">
        <f>IFERROR(H804-N804,"")</f>
        <v/>
      </c>
      <c r="P804" s="3" t="inlineStr">
        <is>
          <t>Belum dihitung</t>
        </is>
      </c>
      <c r="Q804" s="3" t="n"/>
    </row>
    <row r="805">
      <c r="A805" s="3" t="n">
        <v>804</v>
      </c>
      <c r="B805" s="3" t="inlineStr">
        <is>
          <t>Desember 2025</t>
        </is>
      </c>
      <c r="C805" s="3">
        <f>'Data Aset'!B807</f>
        <v/>
      </c>
      <c r="D805" s="3">
        <f>'Data Aset'!F807</f>
        <v/>
      </c>
      <c r="E805" s="3" t="inlineStr">
        <is>
          <t>Inventaris Ruangan</t>
        </is>
      </c>
      <c r="F805" s="3">
        <f>'Data Aset'!C807</f>
        <v/>
      </c>
      <c r="G805" s="3">
        <f>'Data Aset'!J807</f>
        <v/>
      </c>
      <c r="H805" s="5">
        <f>'Data Aset'!M807</f>
        <v/>
      </c>
      <c r="I805" s="3">
        <f>'Data Aset'!O807</f>
        <v/>
      </c>
      <c r="J805" s="5" t="n">
        <v>0</v>
      </c>
      <c r="K805" s="3" t="inlineStr">
        <is>
          <t>Garis Lurus</t>
        </is>
      </c>
      <c r="L805" s="5">
        <f>IFERROR(M805/12,"")</f>
        <v/>
      </c>
      <c r="M805" s="5">
        <f>IFERROR((H805-J805)/I805,"")</f>
        <v/>
      </c>
      <c r="N805" s="5">
        <f>IFERROR(M805,"")</f>
        <v/>
      </c>
      <c r="O805" s="5">
        <f>IFERROR(H805-N805,"")</f>
        <v/>
      </c>
      <c r="P805" s="3" t="inlineStr">
        <is>
          <t>Belum dihitung</t>
        </is>
      </c>
      <c r="Q805" s="3" t="n"/>
    </row>
    <row r="806">
      <c r="A806" s="3" t="n">
        <v>805</v>
      </c>
      <c r="B806" s="3" t="inlineStr">
        <is>
          <t>Desember 2025</t>
        </is>
      </c>
      <c r="C806" s="3">
        <f>'Data Aset'!B808</f>
        <v/>
      </c>
      <c r="D806" s="3">
        <f>'Data Aset'!F808</f>
        <v/>
      </c>
      <c r="E806" s="3" t="inlineStr">
        <is>
          <t>Inventaris Ruangan</t>
        </is>
      </c>
      <c r="F806" s="3">
        <f>'Data Aset'!C808</f>
        <v/>
      </c>
      <c r="G806" s="3">
        <f>'Data Aset'!J808</f>
        <v/>
      </c>
      <c r="H806" s="5">
        <f>'Data Aset'!M808</f>
        <v/>
      </c>
      <c r="I806" s="3">
        <f>'Data Aset'!O808</f>
        <v/>
      </c>
      <c r="J806" s="5" t="n">
        <v>0</v>
      </c>
      <c r="K806" s="3" t="inlineStr">
        <is>
          <t>Garis Lurus</t>
        </is>
      </c>
      <c r="L806" s="5">
        <f>IFERROR(M806/12,"")</f>
        <v/>
      </c>
      <c r="M806" s="5">
        <f>IFERROR((H806-J806)/I806,"")</f>
        <v/>
      </c>
      <c r="N806" s="5">
        <f>IFERROR(M806,"")</f>
        <v/>
      </c>
      <c r="O806" s="5">
        <f>IFERROR(H806-N806,"")</f>
        <v/>
      </c>
      <c r="P806" s="3" t="inlineStr">
        <is>
          <t>Belum dihitung</t>
        </is>
      </c>
      <c r="Q806" s="3" t="n"/>
    </row>
    <row r="807">
      <c r="A807" s="3" t="n">
        <v>806</v>
      </c>
      <c r="B807" s="3" t="inlineStr">
        <is>
          <t>Desember 2025</t>
        </is>
      </c>
      <c r="C807" s="3">
        <f>'Data Aset'!B809</f>
        <v/>
      </c>
      <c r="D807" s="3">
        <f>'Data Aset'!F809</f>
        <v/>
      </c>
      <c r="E807" s="3" t="inlineStr">
        <is>
          <t>Inventaris Ruangan</t>
        </is>
      </c>
      <c r="F807" s="3">
        <f>'Data Aset'!C809</f>
        <v/>
      </c>
      <c r="G807" s="3">
        <f>'Data Aset'!J809</f>
        <v/>
      </c>
      <c r="H807" s="5">
        <f>'Data Aset'!M809</f>
        <v/>
      </c>
      <c r="I807" s="3">
        <f>'Data Aset'!O809</f>
        <v/>
      </c>
      <c r="J807" s="5" t="n">
        <v>0</v>
      </c>
      <c r="K807" s="3" t="inlineStr">
        <is>
          <t>Garis Lurus</t>
        </is>
      </c>
      <c r="L807" s="5">
        <f>IFERROR(M807/12,"")</f>
        <v/>
      </c>
      <c r="M807" s="5">
        <f>IFERROR((H807-J807)/I807,"")</f>
        <v/>
      </c>
      <c r="N807" s="5">
        <f>IFERROR(M807,"")</f>
        <v/>
      </c>
      <c r="O807" s="5">
        <f>IFERROR(H807-N807,"")</f>
        <v/>
      </c>
      <c r="P807" s="3" t="inlineStr">
        <is>
          <t>Belum dihitung</t>
        </is>
      </c>
      <c r="Q807" s="3" t="n"/>
    </row>
    <row r="808">
      <c r="A808" s="3" t="n">
        <v>807</v>
      </c>
      <c r="B808" s="3" t="inlineStr">
        <is>
          <t>Desember 2025</t>
        </is>
      </c>
      <c r="C808" s="3">
        <f>'Data Aset'!B810</f>
        <v/>
      </c>
      <c r="D808" s="3">
        <f>'Data Aset'!F810</f>
        <v/>
      </c>
      <c r="E808" s="3" t="inlineStr">
        <is>
          <t>Inventaris Ruangan</t>
        </is>
      </c>
      <c r="F808" s="3">
        <f>'Data Aset'!C810</f>
        <v/>
      </c>
      <c r="G808" s="3">
        <f>'Data Aset'!J810</f>
        <v/>
      </c>
      <c r="H808" s="5">
        <f>'Data Aset'!M810</f>
        <v/>
      </c>
      <c r="I808" s="3">
        <f>'Data Aset'!O810</f>
        <v/>
      </c>
      <c r="J808" s="5" t="n">
        <v>0</v>
      </c>
      <c r="K808" s="3" t="inlineStr">
        <is>
          <t>Garis Lurus</t>
        </is>
      </c>
      <c r="L808" s="5">
        <f>IFERROR(M808/12,"")</f>
        <v/>
      </c>
      <c r="M808" s="5">
        <f>IFERROR((H808-J808)/I808,"")</f>
        <v/>
      </c>
      <c r="N808" s="5">
        <f>IFERROR(M808,"")</f>
        <v/>
      </c>
      <c r="O808" s="5">
        <f>IFERROR(H808-N808,"")</f>
        <v/>
      </c>
      <c r="P808" s="3" t="inlineStr">
        <is>
          <t>Belum dihitung</t>
        </is>
      </c>
      <c r="Q808" s="3" t="n"/>
    </row>
    <row r="809">
      <c r="A809" s="3" t="n">
        <v>808</v>
      </c>
      <c r="B809" s="3" t="inlineStr">
        <is>
          <t>Desember 2025</t>
        </is>
      </c>
      <c r="C809" s="3">
        <f>'Data Aset'!B811</f>
        <v/>
      </c>
      <c r="D809" s="3">
        <f>'Data Aset'!F811</f>
        <v/>
      </c>
      <c r="E809" s="3" t="inlineStr">
        <is>
          <t>Inventaris Ruangan</t>
        </is>
      </c>
      <c r="F809" s="3">
        <f>'Data Aset'!C811</f>
        <v/>
      </c>
      <c r="G809" s="3">
        <f>'Data Aset'!J811</f>
        <v/>
      </c>
      <c r="H809" s="5">
        <f>'Data Aset'!M811</f>
        <v/>
      </c>
      <c r="I809" s="3">
        <f>'Data Aset'!O811</f>
        <v/>
      </c>
      <c r="J809" s="5" t="n">
        <v>0</v>
      </c>
      <c r="K809" s="3" t="inlineStr">
        <is>
          <t>Garis Lurus</t>
        </is>
      </c>
      <c r="L809" s="5">
        <f>IFERROR(M809/12,"")</f>
        <v/>
      </c>
      <c r="M809" s="5">
        <f>IFERROR((H809-J809)/I809,"")</f>
        <v/>
      </c>
      <c r="N809" s="5">
        <f>IFERROR(M809,"")</f>
        <v/>
      </c>
      <c r="O809" s="5">
        <f>IFERROR(H809-N809,"")</f>
        <v/>
      </c>
      <c r="P809" s="3" t="inlineStr">
        <is>
          <t>Belum dihitung</t>
        </is>
      </c>
      <c r="Q809" s="3" t="n"/>
    </row>
    <row r="810">
      <c r="A810" s="3" t="n">
        <v>809</v>
      </c>
      <c r="B810" s="3" t="inlineStr">
        <is>
          <t>Desember 2025</t>
        </is>
      </c>
      <c r="C810" s="3">
        <f>'Data Aset'!B812</f>
        <v/>
      </c>
      <c r="D810" s="3">
        <f>'Data Aset'!F812</f>
        <v/>
      </c>
      <c r="E810" s="3" t="inlineStr">
        <is>
          <t>Inventaris Ruangan</t>
        </is>
      </c>
      <c r="F810" s="3">
        <f>'Data Aset'!C812</f>
        <v/>
      </c>
      <c r="G810" s="3">
        <f>'Data Aset'!J812</f>
        <v/>
      </c>
      <c r="H810" s="5">
        <f>'Data Aset'!M812</f>
        <v/>
      </c>
      <c r="I810" s="3">
        <f>'Data Aset'!O812</f>
        <v/>
      </c>
      <c r="J810" s="5" t="n">
        <v>0</v>
      </c>
      <c r="K810" s="3" t="inlineStr">
        <is>
          <t>Garis Lurus</t>
        </is>
      </c>
      <c r="L810" s="5">
        <f>IFERROR(M810/12,"")</f>
        <v/>
      </c>
      <c r="M810" s="5">
        <f>IFERROR((H810-J810)/I810,"")</f>
        <v/>
      </c>
      <c r="N810" s="5">
        <f>IFERROR(M810,"")</f>
        <v/>
      </c>
      <c r="O810" s="5">
        <f>IFERROR(H810-N810,"")</f>
        <v/>
      </c>
      <c r="P810" s="3" t="inlineStr">
        <is>
          <t>Belum dihitung</t>
        </is>
      </c>
      <c r="Q810" s="3" t="n"/>
    </row>
    <row r="811">
      <c r="A811" s="3" t="n">
        <v>810</v>
      </c>
      <c r="B811" s="3" t="inlineStr">
        <is>
          <t>Desember 2025</t>
        </is>
      </c>
      <c r="C811" s="3">
        <f>'Data Aset'!B813</f>
        <v/>
      </c>
      <c r="D811" s="3">
        <f>'Data Aset'!F813</f>
        <v/>
      </c>
      <c r="E811" s="3" t="inlineStr">
        <is>
          <t>Inventaris Ruangan</t>
        </is>
      </c>
      <c r="F811" s="3">
        <f>'Data Aset'!C813</f>
        <v/>
      </c>
      <c r="G811" s="3">
        <f>'Data Aset'!J813</f>
        <v/>
      </c>
      <c r="H811" s="5">
        <f>'Data Aset'!M813</f>
        <v/>
      </c>
      <c r="I811" s="3">
        <f>'Data Aset'!O813</f>
        <v/>
      </c>
      <c r="J811" s="5" t="n">
        <v>0</v>
      </c>
      <c r="K811" s="3" t="inlineStr">
        <is>
          <t>Garis Lurus</t>
        </is>
      </c>
      <c r="L811" s="5">
        <f>IFERROR(M811/12,"")</f>
        <v/>
      </c>
      <c r="M811" s="5">
        <f>IFERROR((H811-J811)/I811,"")</f>
        <v/>
      </c>
      <c r="N811" s="5">
        <f>IFERROR(M811,"")</f>
        <v/>
      </c>
      <c r="O811" s="5">
        <f>IFERROR(H811-N811,"")</f>
        <v/>
      </c>
      <c r="P811" s="3" t="inlineStr">
        <is>
          <t>Belum dihitung</t>
        </is>
      </c>
      <c r="Q811" s="3" t="n"/>
    </row>
    <row r="812">
      <c r="A812" s="3" t="n">
        <v>811</v>
      </c>
      <c r="B812" s="3" t="inlineStr">
        <is>
          <t>Desember 2025</t>
        </is>
      </c>
      <c r="C812" s="3">
        <f>'Data Aset'!B814</f>
        <v/>
      </c>
      <c r="D812" s="3">
        <f>'Data Aset'!F814</f>
        <v/>
      </c>
      <c r="E812" s="3" t="inlineStr">
        <is>
          <t>Inventaris Ruangan</t>
        </is>
      </c>
      <c r="F812" s="3">
        <f>'Data Aset'!C814</f>
        <v/>
      </c>
      <c r="G812" s="3">
        <f>'Data Aset'!J814</f>
        <v/>
      </c>
      <c r="H812" s="5">
        <f>'Data Aset'!M814</f>
        <v/>
      </c>
      <c r="I812" s="3">
        <f>'Data Aset'!O814</f>
        <v/>
      </c>
      <c r="J812" s="5" t="n">
        <v>0</v>
      </c>
      <c r="K812" s="3" t="inlineStr">
        <is>
          <t>Garis Lurus</t>
        </is>
      </c>
      <c r="L812" s="5">
        <f>IFERROR(M812/12,"")</f>
        <v/>
      </c>
      <c r="M812" s="5">
        <f>IFERROR((H812-J812)/I812,"")</f>
        <v/>
      </c>
      <c r="N812" s="5">
        <f>IFERROR(M812,"")</f>
        <v/>
      </c>
      <c r="O812" s="5">
        <f>IFERROR(H812-N812,"")</f>
        <v/>
      </c>
      <c r="P812" s="3" t="inlineStr">
        <is>
          <t>Belum dihitung</t>
        </is>
      </c>
      <c r="Q812" s="3" t="n"/>
    </row>
    <row r="813">
      <c r="A813" s="3" t="n">
        <v>812</v>
      </c>
      <c r="B813" s="3" t="inlineStr">
        <is>
          <t>Desember 2025</t>
        </is>
      </c>
      <c r="C813" s="3">
        <f>'Data Aset'!B815</f>
        <v/>
      </c>
      <c r="D813" s="3">
        <f>'Data Aset'!F815</f>
        <v/>
      </c>
      <c r="E813" s="3" t="inlineStr">
        <is>
          <t>Inventaris Ruangan</t>
        </is>
      </c>
      <c r="F813" s="3">
        <f>'Data Aset'!C815</f>
        <v/>
      </c>
      <c r="G813" s="3">
        <f>'Data Aset'!J815</f>
        <v/>
      </c>
      <c r="H813" s="5">
        <f>'Data Aset'!M815</f>
        <v/>
      </c>
      <c r="I813" s="3">
        <f>'Data Aset'!O815</f>
        <v/>
      </c>
      <c r="J813" s="5" t="n">
        <v>0</v>
      </c>
      <c r="K813" s="3" t="inlineStr">
        <is>
          <t>Garis Lurus</t>
        </is>
      </c>
      <c r="L813" s="5">
        <f>IFERROR(M813/12,"")</f>
        <v/>
      </c>
      <c r="M813" s="5">
        <f>IFERROR((H813-J813)/I813,"")</f>
        <v/>
      </c>
      <c r="N813" s="5">
        <f>IFERROR(M813,"")</f>
        <v/>
      </c>
      <c r="O813" s="5">
        <f>IFERROR(H813-N813,"")</f>
        <v/>
      </c>
      <c r="P813" s="3" t="inlineStr">
        <is>
          <t>Belum dihitung</t>
        </is>
      </c>
      <c r="Q813" s="3" t="n"/>
    </row>
    <row r="814">
      <c r="A814" s="3" t="n">
        <v>813</v>
      </c>
      <c r="B814" s="3" t="inlineStr">
        <is>
          <t>Desember 2025</t>
        </is>
      </c>
      <c r="C814" s="3">
        <f>'Data Aset'!B816</f>
        <v/>
      </c>
      <c r="D814" s="3">
        <f>'Data Aset'!F816</f>
        <v/>
      </c>
      <c r="E814" s="3" t="inlineStr">
        <is>
          <t>Inventaris Ruangan</t>
        </is>
      </c>
      <c r="F814" s="3">
        <f>'Data Aset'!C816</f>
        <v/>
      </c>
      <c r="G814" s="3">
        <f>'Data Aset'!J816</f>
        <v/>
      </c>
      <c r="H814" s="5">
        <f>'Data Aset'!M816</f>
        <v/>
      </c>
      <c r="I814" s="3">
        <f>'Data Aset'!O816</f>
        <v/>
      </c>
      <c r="J814" s="5" t="n">
        <v>0</v>
      </c>
      <c r="K814" s="3" t="inlineStr">
        <is>
          <t>Garis Lurus</t>
        </is>
      </c>
      <c r="L814" s="5">
        <f>IFERROR(M814/12,"")</f>
        <v/>
      </c>
      <c r="M814" s="5">
        <f>IFERROR((H814-J814)/I814,"")</f>
        <v/>
      </c>
      <c r="N814" s="5">
        <f>IFERROR(M814,"")</f>
        <v/>
      </c>
      <c r="O814" s="5">
        <f>IFERROR(H814-N814,"")</f>
        <v/>
      </c>
      <c r="P814" s="3" t="inlineStr">
        <is>
          <t>Belum dihitung</t>
        </is>
      </c>
      <c r="Q814" s="3" t="n"/>
    </row>
    <row r="815">
      <c r="A815" s="3" t="n">
        <v>814</v>
      </c>
      <c r="B815" s="3" t="inlineStr">
        <is>
          <t>Desember 2025</t>
        </is>
      </c>
      <c r="C815" s="3">
        <f>'Data Aset'!B817</f>
        <v/>
      </c>
      <c r="D815" s="3">
        <f>'Data Aset'!F817</f>
        <v/>
      </c>
      <c r="E815" s="3" t="inlineStr">
        <is>
          <t>Inventaris Ruangan</t>
        </is>
      </c>
      <c r="F815" s="3">
        <f>'Data Aset'!C817</f>
        <v/>
      </c>
      <c r="G815" s="3">
        <f>'Data Aset'!J817</f>
        <v/>
      </c>
      <c r="H815" s="5">
        <f>'Data Aset'!M817</f>
        <v/>
      </c>
      <c r="I815" s="3">
        <f>'Data Aset'!O817</f>
        <v/>
      </c>
      <c r="J815" s="5" t="n">
        <v>0</v>
      </c>
      <c r="K815" s="3" t="inlineStr">
        <is>
          <t>Garis Lurus</t>
        </is>
      </c>
      <c r="L815" s="5">
        <f>IFERROR(M815/12,"")</f>
        <v/>
      </c>
      <c r="M815" s="5">
        <f>IFERROR((H815-J815)/I815,"")</f>
        <v/>
      </c>
      <c r="N815" s="5">
        <f>IFERROR(M815,"")</f>
        <v/>
      </c>
      <c r="O815" s="5">
        <f>IFERROR(H815-N815,"")</f>
        <v/>
      </c>
      <c r="P815" s="3" t="inlineStr">
        <is>
          <t>Belum dihitung</t>
        </is>
      </c>
      <c r="Q815" s="3" t="n"/>
    </row>
    <row r="816">
      <c r="A816" s="3" t="n">
        <v>815</v>
      </c>
      <c r="B816" s="3" t="inlineStr">
        <is>
          <t>Desember 2025</t>
        </is>
      </c>
      <c r="C816" s="3">
        <f>'Data Aset'!B818</f>
        <v/>
      </c>
      <c r="D816" s="3">
        <f>'Data Aset'!F818</f>
        <v/>
      </c>
      <c r="E816" s="3" t="inlineStr">
        <is>
          <t>Inventaris Ruangan</t>
        </is>
      </c>
      <c r="F816" s="3">
        <f>'Data Aset'!C818</f>
        <v/>
      </c>
      <c r="G816" s="3">
        <f>'Data Aset'!J818</f>
        <v/>
      </c>
      <c r="H816" s="5">
        <f>'Data Aset'!M818</f>
        <v/>
      </c>
      <c r="I816" s="3">
        <f>'Data Aset'!O818</f>
        <v/>
      </c>
      <c r="J816" s="5" t="n">
        <v>0</v>
      </c>
      <c r="K816" s="3" t="inlineStr">
        <is>
          <t>Garis Lurus</t>
        </is>
      </c>
      <c r="L816" s="5">
        <f>IFERROR(M816/12,"")</f>
        <v/>
      </c>
      <c r="M816" s="5">
        <f>IFERROR((H816-J816)/I816,"")</f>
        <v/>
      </c>
      <c r="N816" s="5">
        <f>IFERROR(M816,"")</f>
        <v/>
      </c>
      <c r="O816" s="5">
        <f>IFERROR(H816-N816,"")</f>
        <v/>
      </c>
      <c r="P816" s="3" t="inlineStr">
        <is>
          <t>Belum dihitung</t>
        </is>
      </c>
      <c r="Q816" s="3" t="n"/>
    </row>
    <row r="817">
      <c r="A817" s="3" t="n">
        <v>816</v>
      </c>
      <c r="B817" s="3" t="inlineStr">
        <is>
          <t>Desember 2025</t>
        </is>
      </c>
      <c r="C817" s="3">
        <f>'Data Aset'!B819</f>
        <v/>
      </c>
      <c r="D817" s="3">
        <f>'Data Aset'!F819</f>
        <v/>
      </c>
      <c r="E817" s="3" t="inlineStr">
        <is>
          <t>Inventaris Ruangan</t>
        </is>
      </c>
      <c r="F817" s="3">
        <f>'Data Aset'!C819</f>
        <v/>
      </c>
      <c r="G817" s="3">
        <f>'Data Aset'!J819</f>
        <v/>
      </c>
      <c r="H817" s="5">
        <f>'Data Aset'!M819</f>
        <v/>
      </c>
      <c r="I817" s="3">
        <f>'Data Aset'!O819</f>
        <v/>
      </c>
      <c r="J817" s="5" t="n">
        <v>0</v>
      </c>
      <c r="K817" s="3" t="inlineStr">
        <is>
          <t>Garis Lurus</t>
        </is>
      </c>
      <c r="L817" s="5">
        <f>IFERROR(M817/12,"")</f>
        <v/>
      </c>
      <c r="M817" s="5">
        <f>IFERROR((H817-J817)/I817,"")</f>
        <v/>
      </c>
      <c r="N817" s="5">
        <f>IFERROR(M817,"")</f>
        <v/>
      </c>
      <c r="O817" s="5">
        <f>IFERROR(H817-N817,"")</f>
        <v/>
      </c>
      <c r="P817" s="3" t="inlineStr">
        <is>
          <t>Belum dihitung</t>
        </is>
      </c>
      <c r="Q817" s="3" t="n"/>
    </row>
    <row r="818">
      <c r="A818" s="3" t="n">
        <v>817</v>
      </c>
      <c r="B818" s="3" t="inlineStr">
        <is>
          <t>Desember 2025</t>
        </is>
      </c>
      <c r="C818" s="3">
        <f>'Data Aset'!B820</f>
        <v/>
      </c>
      <c r="D818" s="3">
        <f>'Data Aset'!F820</f>
        <v/>
      </c>
      <c r="E818" s="3" t="inlineStr">
        <is>
          <t>Inventaris Ruangan</t>
        </is>
      </c>
      <c r="F818" s="3">
        <f>'Data Aset'!C820</f>
        <v/>
      </c>
      <c r="G818" s="3">
        <f>'Data Aset'!J820</f>
        <v/>
      </c>
      <c r="H818" s="5">
        <f>'Data Aset'!M820</f>
        <v/>
      </c>
      <c r="I818" s="3">
        <f>'Data Aset'!O820</f>
        <v/>
      </c>
      <c r="J818" s="5" t="n">
        <v>0</v>
      </c>
      <c r="K818" s="3" t="inlineStr">
        <is>
          <t>Garis Lurus</t>
        </is>
      </c>
      <c r="L818" s="5">
        <f>IFERROR(M818/12,"")</f>
        <v/>
      </c>
      <c r="M818" s="5">
        <f>IFERROR((H818-J818)/I818,"")</f>
        <v/>
      </c>
      <c r="N818" s="5">
        <f>IFERROR(M818,"")</f>
        <v/>
      </c>
      <c r="O818" s="5">
        <f>IFERROR(H818-N818,"")</f>
        <v/>
      </c>
      <c r="P818" s="3" t="inlineStr">
        <is>
          <t>Belum dihitung</t>
        </is>
      </c>
      <c r="Q818" s="3" t="n"/>
    </row>
    <row r="819">
      <c r="A819" s="3" t="n">
        <v>818</v>
      </c>
      <c r="B819" s="3" t="inlineStr">
        <is>
          <t>Desember 2025</t>
        </is>
      </c>
      <c r="C819" s="3">
        <f>'Data Aset'!B821</f>
        <v/>
      </c>
      <c r="D819" s="3">
        <f>'Data Aset'!F821</f>
        <v/>
      </c>
      <c r="E819" s="3" t="inlineStr">
        <is>
          <t>Inventaris Ruangan</t>
        </is>
      </c>
      <c r="F819" s="3">
        <f>'Data Aset'!C821</f>
        <v/>
      </c>
      <c r="G819" s="3">
        <f>'Data Aset'!J821</f>
        <v/>
      </c>
      <c r="H819" s="5">
        <f>'Data Aset'!M821</f>
        <v/>
      </c>
      <c r="I819" s="3">
        <f>'Data Aset'!O821</f>
        <v/>
      </c>
      <c r="J819" s="5" t="n">
        <v>0</v>
      </c>
      <c r="K819" s="3" t="inlineStr">
        <is>
          <t>Garis Lurus</t>
        </is>
      </c>
      <c r="L819" s="5">
        <f>IFERROR(M819/12,"")</f>
        <v/>
      </c>
      <c r="M819" s="5">
        <f>IFERROR((H819-J819)/I819,"")</f>
        <v/>
      </c>
      <c r="N819" s="5">
        <f>IFERROR(M819,"")</f>
        <v/>
      </c>
      <c r="O819" s="5">
        <f>IFERROR(H819-N819,"")</f>
        <v/>
      </c>
      <c r="P819" s="3" t="inlineStr">
        <is>
          <t>Belum dihitung</t>
        </is>
      </c>
      <c r="Q819" s="3" t="n"/>
    </row>
    <row r="820">
      <c r="A820" s="3" t="n">
        <v>819</v>
      </c>
      <c r="B820" s="3" t="inlineStr">
        <is>
          <t>Desember 2025</t>
        </is>
      </c>
      <c r="C820" s="3">
        <f>'Data Aset'!B822</f>
        <v/>
      </c>
      <c r="D820" s="3">
        <f>'Data Aset'!F822</f>
        <v/>
      </c>
      <c r="E820" s="3" t="inlineStr">
        <is>
          <t>Inventaris Ruangan</t>
        </is>
      </c>
      <c r="F820" s="3">
        <f>'Data Aset'!C822</f>
        <v/>
      </c>
      <c r="G820" s="3">
        <f>'Data Aset'!J822</f>
        <v/>
      </c>
      <c r="H820" s="5">
        <f>'Data Aset'!M822</f>
        <v/>
      </c>
      <c r="I820" s="3">
        <f>'Data Aset'!O822</f>
        <v/>
      </c>
      <c r="J820" s="5" t="n">
        <v>0</v>
      </c>
      <c r="K820" s="3" t="inlineStr">
        <is>
          <t>Garis Lurus</t>
        </is>
      </c>
      <c r="L820" s="5">
        <f>IFERROR(M820/12,"")</f>
        <v/>
      </c>
      <c r="M820" s="5">
        <f>IFERROR((H820-J820)/I820,"")</f>
        <v/>
      </c>
      <c r="N820" s="5">
        <f>IFERROR(M820,"")</f>
        <v/>
      </c>
      <c r="O820" s="5">
        <f>IFERROR(H820-N820,"")</f>
        <v/>
      </c>
      <c r="P820" s="3" t="inlineStr">
        <is>
          <t>Belum dihitung</t>
        </is>
      </c>
      <c r="Q820" s="3" t="n"/>
    </row>
    <row r="821">
      <c r="A821" s="3" t="n">
        <v>820</v>
      </c>
      <c r="B821" s="3" t="inlineStr">
        <is>
          <t>Desember 2025</t>
        </is>
      </c>
      <c r="C821" s="3">
        <f>'Data Aset'!B823</f>
        <v/>
      </c>
      <c r="D821" s="3">
        <f>'Data Aset'!F823</f>
        <v/>
      </c>
      <c r="E821" s="3" t="inlineStr">
        <is>
          <t>Inventaris Ruangan</t>
        </is>
      </c>
      <c r="F821" s="3">
        <f>'Data Aset'!C823</f>
        <v/>
      </c>
      <c r="G821" s="3">
        <f>'Data Aset'!J823</f>
        <v/>
      </c>
      <c r="H821" s="5">
        <f>'Data Aset'!M823</f>
        <v/>
      </c>
      <c r="I821" s="3">
        <f>'Data Aset'!O823</f>
        <v/>
      </c>
      <c r="J821" s="5" t="n">
        <v>0</v>
      </c>
      <c r="K821" s="3" t="inlineStr">
        <is>
          <t>Garis Lurus</t>
        </is>
      </c>
      <c r="L821" s="5">
        <f>IFERROR(M821/12,"")</f>
        <v/>
      </c>
      <c r="M821" s="5">
        <f>IFERROR((H821-J821)/I821,"")</f>
        <v/>
      </c>
      <c r="N821" s="5">
        <f>IFERROR(M821,"")</f>
        <v/>
      </c>
      <c r="O821" s="5">
        <f>IFERROR(H821-N821,"")</f>
        <v/>
      </c>
      <c r="P821" s="3" t="inlineStr">
        <is>
          <t>Belum dihitung</t>
        </is>
      </c>
      <c r="Q821" s="3" t="n"/>
    </row>
    <row r="822">
      <c r="A822" s="3" t="n">
        <v>821</v>
      </c>
      <c r="B822" s="3" t="inlineStr">
        <is>
          <t>Desember 2025</t>
        </is>
      </c>
      <c r="C822" s="3">
        <f>'Data Aset'!B824</f>
        <v/>
      </c>
      <c r="D822" s="3">
        <f>'Data Aset'!F824</f>
        <v/>
      </c>
      <c r="E822" s="3" t="inlineStr">
        <is>
          <t>Inventaris Ruangan</t>
        </is>
      </c>
      <c r="F822" s="3">
        <f>'Data Aset'!C824</f>
        <v/>
      </c>
      <c r="G822" s="3">
        <f>'Data Aset'!J824</f>
        <v/>
      </c>
      <c r="H822" s="5">
        <f>'Data Aset'!M824</f>
        <v/>
      </c>
      <c r="I822" s="3">
        <f>'Data Aset'!O824</f>
        <v/>
      </c>
      <c r="J822" s="5" t="n">
        <v>0</v>
      </c>
      <c r="K822" s="3" t="inlineStr">
        <is>
          <t>Garis Lurus</t>
        </is>
      </c>
      <c r="L822" s="5">
        <f>IFERROR(M822/12,"")</f>
        <v/>
      </c>
      <c r="M822" s="5">
        <f>IFERROR((H822-J822)/I822,"")</f>
        <v/>
      </c>
      <c r="N822" s="5">
        <f>IFERROR(M822,"")</f>
        <v/>
      </c>
      <c r="O822" s="5">
        <f>IFERROR(H822-N822,"")</f>
        <v/>
      </c>
      <c r="P822" s="3" t="inlineStr">
        <is>
          <t>Belum dihitung</t>
        </is>
      </c>
      <c r="Q822" s="3" t="n"/>
    </row>
    <row r="823">
      <c r="A823" s="3" t="n">
        <v>822</v>
      </c>
      <c r="B823" s="3" t="inlineStr">
        <is>
          <t>Desember 2025</t>
        </is>
      </c>
      <c r="C823" s="3">
        <f>'Data Aset'!B825</f>
        <v/>
      </c>
      <c r="D823" s="3">
        <f>'Data Aset'!F825</f>
        <v/>
      </c>
      <c r="E823" s="3" t="inlineStr">
        <is>
          <t>Inventaris Ruangan</t>
        </is>
      </c>
      <c r="F823" s="3">
        <f>'Data Aset'!C825</f>
        <v/>
      </c>
      <c r="G823" s="3">
        <f>'Data Aset'!J825</f>
        <v/>
      </c>
      <c r="H823" s="5">
        <f>'Data Aset'!M825</f>
        <v/>
      </c>
      <c r="I823" s="3">
        <f>'Data Aset'!O825</f>
        <v/>
      </c>
      <c r="J823" s="5" t="n">
        <v>0</v>
      </c>
      <c r="K823" s="3" t="inlineStr">
        <is>
          <t>Garis Lurus</t>
        </is>
      </c>
      <c r="L823" s="5">
        <f>IFERROR(M823/12,"")</f>
        <v/>
      </c>
      <c r="M823" s="5">
        <f>IFERROR((H823-J823)/I823,"")</f>
        <v/>
      </c>
      <c r="N823" s="5">
        <f>IFERROR(M823,"")</f>
        <v/>
      </c>
      <c r="O823" s="5">
        <f>IFERROR(H823-N823,"")</f>
        <v/>
      </c>
      <c r="P823" s="3" t="inlineStr">
        <is>
          <t>Belum dihitung</t>
        </is>
      </c>
      <c r="Q823" s="3" t="n"/>
    </row>
    <row r="824">
      <c r="A824" s="3" t="n">
        <v>823</v>
      </c>
      <c r="B824" s="3" t="inlineStr">
        <is>
          <t>Desember 2025</t>
        </is>
      </c>
      <c r="C824" s="3">
        <f>'Data Aset'!B826</f>
        <v/>
      </c>
      <c r="D824" s="3">
        <f>'Data Aset'!F826</f>
        <v/>
      </c>
      <c r="E824" s="3" t="inlineStr">
        <is>
          <t>Inventaris Ruangan</t>
        </is>
      </c>
      <c r="F824" s="3">
        <f>'Data Aset'!C826</f>
        <v/>
      </c>
      <c r="G824" s="3">
        <f>'Data Aset'!J826</f>
        <v/>
      </c>
      <c r="H824" s="5">
        <f>'Data Aset'!M826</f>
        <v/>
      </c>
      <c r="I824" s="3">
        <f>'Data Aset'!O826</f>
        <v/>
      </c>
      <c r="J824" s="5" t="n">
        <v>0</v>
      </c>
      <c r="K824" s="3" t="inlineStr">
        <is>
          <t>Garis Lurus</t>
        </is>
      </c>
      <c r="L824" s="5">
        <f>IFERROR(M824/12,"")</f>
        <v/>
      </c>
      <c r="M824" s="5">
        <f>IFERROR((H824-J824)/I824,"")</f>
        <v/>
      </c>
      <c r="N824" s="5">
        <f>IFERROR(M824,"")</f>
        <v/>
      </c>
      <c r="O824" s="5">
        <f>IFERROR(H824-N824,"")</f>
        <v/>
      </c>
      <c r="P824" s="3" t="inlineStr">
        <is>
          <t>Belum dihitung</t>
        </is>
      </c>
      <c r="Q824" s="3" t="n"/>
    </row>
    <row r="825">
      <c r="A825" s="3" t="n">
        <v>824</v>
      </c>
      <c r="B825" s="3" t="inlineStr">
        <is>
          <t>Desember 2025</t>
        </is>
      </c>
      <c r="C825" s="3">
        <f>'Data Aset'!B827</f>
        <v/>
      </c>
      <c r="D825" s="3">
        <f>'Data Aset'!F827</f>
        <v/>
      </c>
      <c r="E825" s="3" t="inlineStr">
        <is>
          <t>Inventaris Ruangan</t>
        </is>
      </c>
      <c r="F825" s="3">
        <f>'Data Aset'!C827</f>
        <v/>
      </c>
      <c r="G825" s="3">
        <f>'Data Aset'!J827</f>
        <v/>
      </c>
      <c r="H825" s="5">
        <f>'Data Aset'!M827</f>
        <v/>
      </c>
      <c r="I825" s="3">
        <f>'Data Aset'!O827</f>
        <v/>
      </c>
      <c r="J825" s="5" t="n">
        <v>0</v>
      </c>
      <c r="K825" s="3" t="inlineStr">
        <is>
          <t>Garis Lurus</t>
        </is>
      </c>
      <c r="L825" s="5">
        <f>IFERROR(M825/12,"")</f>
        <v/>
      </c>
      <c r="M825" s="5">
        <f>IFERROR((H825-J825)/I825,"")</f>
        <v/>
      </c>
      <c r="N825" s="5">
        <f>IFERROR(M825,"")</f>
        <v/>
      </c>
      <c r="O825" s="5">
        <f>IFERROR(H825-N825,"")</f>
        <v/>
      </c>
      <c r="P825" s="3" t="inlineStr">
        <is>
          <t>Belum dihitung</t>
        </is>
      </c>
      <c r="Q825" s="3" t="n"/>
    </row>
    <row r="826">
      <c r="A826" s="3" t="n">
        <v>825</v>
      </c>
      <c r="B826" s="3" t="inlineStr">
        <is>
          <t>Desember 2025</t>
        </is>
      </c>
      <c r="C826" s="3">
        <f>'Data Aset'!B828</f>
        <v/>
      </c>
      <c r="D826" s="3">
        <f>'Data Aset'!F828</f>
        <v/>
      </c>
      <c r="E826" s="3" t="inlineStr">
        <is>
          <t>Inventaris Ruangan</t>
        </is>
      </c>
      <c r="F826" s="3">
        <f>'Data Aset'!C828</f>
        <v/>
      </c>
      <c r="G826" s="3">
        <f>'Data Aset'!J828</f>
        <v/>
      </c>
      <c r="H826" s="5">
        <f>'Data Aset'!M828</f>
        <v/>
      </c>
      <c r="I826" s="3">
        <f>'Data Aset'!O828</f>
        <v/>
      </c>
      <c r="J826" s="5" t="n">
        <v>0</v>
      </c>
      <c r="K826" s="3" t="inlineStr">
        <is>
          <t>Garis Lurus</t>
        </is>
      </c>
      <c r="L826" s="5">
        <f>IFERROR(M826/12,"")</f>
        <v/>
      </c>
      <c r="M826" s="5">
        <f>IFERROR((H826-J826)/I826,"")</f>
        <v/>
      </c>
      <c r="N826" s="5">
        <f>IFERROR(M826,"")</f>
        <v/>
      </c>
      <c r="O826" s="5">
        <f>IFERROR(H826-N826,"")</f>
        <v/>
      </c>
      <c r="P826" s="3" t="inlineStr">
        <is>
          <t>Belum dihitung</t>
        </is>
      </c>
      <c r="Q826" s="3" t="n"/>
    </row>
    <row r="827">
      <c r="A827" s="3" t="n">
        <v>826</v>
      </c>
      <c r="B827" s="3" t="inlineStr">
        <is>
          <t>Desember 2025</t>
        </is>
      </c>
      <c r="C827" s="3">
        <f>'Data Aset'!B829</f>
        <v/>
      </c>
      <c r="D827" s="3">
        <f>'Data Aset'!F829</f>
        <v/>
      </c>
      <c r="E827" s="3" t="inlineStr">
        <is>
          <t>Inventaris Ruangan</t>
        </is>
      </c>
      <c r="F827" s="3">
        <f>'Data Aset'!C829</f>
        <v/>
      </c>
      <c r="G827" s="3">
        <f>'Data Aset'!J829</f>
        <v/>
      </c>
      <c r="H827" s="5">
        <f>'Data Aset'!M829</f>
        <v/>
      </c>
      <c r="I827" s="3">
        <f>'Data Aset'!O829</f>
        <v/>
      </c>
      <c r="J827" s="5" t="n">
        <v>0</v>
      </c>
      <c r="K827" s="3" t="inlineStr">
        <is>
          <t>Garis Lurus</t>
        </is>
      </c>
      <c r="L827" s="5">
        <f>IFERROR(M827/12,"")</f>
        <v/>
      </c>
      <c r="M827" s="5">
        <f>IFERROR((H827-J827)/I827,"")</f>
        <v/>
      </c>
      <c r="N827" s="5">
        <f>IFERROR(M827,"")</f>
        <v/>
      </c>
      <c r="O827" s="5">
        <f>IFERROR(H827-N827,"")</f>
        <v/>
      </c>
      <c r="P827" s="3" t="inlineStr">
        <is>
          <t>Belum dihitung</t>
        </is>
      </c>
      <c r="Q827" s="3" t="n"/>
    </row>
    <row r="828">
      <c r="A828" s="3" t="n">
        <v>827</v>
      </c>
      <c r="B828" s="3" t="inlineStr">
        <is>
          <t>Desember 2025</t>
        </is>
      </c>
      <c r="C828" s="3">
        <f>'Data Aset'!B830</f>
        <v/>
      </c>
      <c r="D828" s="3">
        <f>'Data Aset'!F830</f>
        <v/>
      </c>
      <c r="E828" s="3" t="inlineStr">
        <is>
          <t>Inventaris Ruangan</t>
        </is>
      </c>
      <c r="F828" s="3">
        <f>'Data Aset'!C830</f>
        <v/>
      </c>
      <c r="G828" s="3">
        <f>'Data Aset'!J830</f>
        <v/>
      </c>
      <c r="H828" s="5">
        <f>'Data Aset'!M830</f>
        <v/>
      </c>
      <c r="I828" s="3">
        <f>'Data Aset'!O830</f>
        <v/>
      </c>
      <c r="J828" s="5" t="n">
        <v>0</v>
      </c>
      <c r="K828" s="3" t="inlineStr">
        <is>
          <t>Garis Lurus</t>
        </is>
      </c>
      <c r="L828" s="5">
        <f>IFERROR(M828/12,"")</f>
        <v/>
      </c>
      <c r="M828" s="5">
        <f>IFERROR((H828-J828)/I828,"")</f>
        <v/>
      </c>
      <c r="N828" s="5">
        <f>IFERROR(M828,"")</f>
        <v/>
      </c>
      <c r="O828" s="5">
        <f>IFERROR(H828-N828,"")</f>
        <v/>
      </c>
      <c r="P828" s="3" t="inlineStr">
        <is>
          <t>Belum dihitung</t>
        </is>
      </c>
      <c r="Q828" s="3" t="n"/>
    </row>
    <row r="829">
      <c r="A829" s="3" t="n">
        <v>828</v>
      </c>
      <c r="B829" s="3" t="inlineStr">
        <is>
          <t>Desember 2025</t>
        </is>
      </c>
      <c r="C829" s="3">
        <f>'Data Aset'!B831</f>
        <v/>
      </c>
      <c r="D829" s="3">
        <f>'Data Aset'!F831</f>
        <v/>
      </c>
      <c r="E829" s="3" t="inlineStr">
        <is>
          <t>Inventaris Ruangan</t>
        </is>
      </c>
      <c r="F829" s="3">
        <f>'Data Aset'!C831</f>
        <v/>
      </c>
      <c r="G829" s="3">
        <f>'Data Aset'!J831</f>
        <v/>
      </c>
      <c r="H829" s="5">
        <f>'Data Aset'!M831</f>
        <v/>
      </c>
      <c r="I829" s="3">
        <f>'Data Aset'!O831</f>
        <v/>
      </c>
      <c r="J829" s="5" t="n">
        <v>0</v>
      </c>
      <c r="K829" s="3" t="inlineStr">
        <is>
          <t>Garis Lurus</t>
        </is>
      </c>
      <c r="L829" s="5">
        <f>IFERROR(M829/12,"")</f>
        <v/>
      </c>
      <c r="M829" s="5">
        <f>IFERROR((H829-J829)/I829,"")</f>
        <v/>
      </c>
      <c r="N829" s="5">
        <f>IFERROR(M829,"")</f>
        <v/>
      </c>
      <c r="O829" s="5">
        <f>IFERROR(H829-N829,"")</f>
        <v/>
      </c>
      <c r="P829" s="3" t="inlineStr">
        <is>
          <t>Belum dihitung</t>
        </is>
      </c>
      <c r="Q829" s="3" t="n"/>
    </row>
    <row r="830">
      <c r="A830" s="3" t="n">
        <v>829</v>
      </c>
      <c r="B830" s="3" t="inlineStr">
        <is>
          <t>Desember 2025</t>
        </is>
      </c>
      <c r="C830" s="3">
        <f>'Data Aset'!B832</f>
        <v/>
      </c>
      <c r="D830" s="3">
        <f>'Data Aset'!F832</f>
        <v/>
      </c>
      <c r="E830" s="3" t="inlineStr">
        <is>
          <t>Inventaris Ruangan</t>
        </is>
      </c>
      <c r="F830" s="3">
        <f>'Data Aset'!C832</f>
        <v/>
      </c>
      <c r="G830" s="3">
        <f>'Data Aset'!J832</f>
        <v/>
      </c>
      <c r="H830" s="5">
        <f>'Data Aset'!M832</f>
        <v/>
      </c>
      <c r="I830" s="3">
        <f>'Data Aset'!O832</f>
        <v/>
      </c>
      <c r="J830" s="5" t="n">
        <v>0</v>
      </c>
      <c r="K830" s="3" t="inlineStr">
        <is>
          <t>Garis Lurus</t>
        </is>
      </c>
      <c r="L830" s="5">
        <f>IFERROR(M830/12,"")</f>
        <v/>
      </c>
      <c r="M830" s="5">
        <f>IFERROR((H830-J830)/I830,"")</f>
        <v/>
      </c>
      <c r="N830" s="5">
        <f>IFERROR(M830,"")</f>
        <v/>
      </c>
      <c r="O830" s="5">
        <f>IFERROR(H830-N830,"")</f>
        <v/>
      </c>
      <c r="P830" s="3" t="inlineStr">
        <is>
          <t>Belum dihitung</t>
        </is>
      </c>
      <c r="Q830" s="3" t="n"/>
    </row>
    <row r="831">
      <c r="A831" s="3" t="n">
        <v>830</v>
      </c>
      <c r="B831" s="3" t="inlineStr">
        <is>
          <t>Desember 2025</t>
        </is>
      </c>
      <c r="C831" s="3">
        <f>'Data Aset'!B833</f>
        <v/>
      </c>
      <c r="D831" s="3">
        <f>'Data Aset'!F833</f>
        <v/>
      </c>
      <c r="E831" s="3" t="inlineStr">
        <is>
          <t>Inventaris Ruangan</t>
        </is>
      </c>
      <c r="F831" s="3">
        <f>'Data Aset'!C833</f>
        <v/>
      </c>
      <c r="G831" s="3">
        <f>'Data Aset'!J833</f>
        <v/>
      </c>
      <c r="H831" s="5">
        <f>'Data Aset'!M833</f>
        <v/>
      </c>
      <c r="I831" s="3">
        <f>'Data Aset'!O833</f>
        <v/>
      </c>
      <c r="J831" s="5" t="n">
        <v>0</v>
      </c>
      <c r="K831" s="3" t="inlineStr">
        <is>
          <t>Garis Lurus</t>
        </is>
      </c>
      <c r="L831" s="5">
        <f>IFERROR(M831/12,"")</f>
        <v/>
      </c>
      <c r="M831" s="5">
        <f>IFERROR((H831-J831)/I831,"")</f>
        <v/>
      </c>
      <c r="N831" s="5">
        <f>IFERROR(M831,"")</f>
        <v/>
      </c>
      <c r="O831" s="5">
        <f>IFERROR(H831-N831,"")</f>
        <v/>
      </c>
      <c r="P831" s="3" t="inlineStr">
        <is>
          <t>Belum dihitung</t>
        </is>
      </c>
      <c r="Q831" s="3" t="n"/>
    </row>
    <row r="832">
      <c r="A832" s="3" t="n">
        <v>831</v>
      </c>
      <c r="B832" s="3" t="inlineStr">
        <is>
          <t>Desember 2025</t>
        </is>
      </c>
      <c r="C832" s="3">
        <f>'Data Aset'!B834</f>
        <v/>
      </c>
      <c r="D832" s="3">
        <f>'Data Aset'!F834</f>
        <v/>
      </c>
      <c r="E832" s="3" t="inlineStr">
        <is>
          <t>Inventaris Ruangan</t>
        </is>
      </c>
      <c r="F832" s="3">
        <f>'Data Aset'!C834</f>
        <v/>
      </c>
      <c r="G832" s="3">
        <f>'Data Aset'!J834</f>
        <v/>
      </c>
      <c r="H832" s="5">
        <f>'Data Aset'!M834</f>
        <v/>
      </c>
      <c r="I832" s="3">
        <f>'Data Aset'!O834</f>
        <v/>
      </c>
      <c r="J832" s="5" t="n">
        <v>0</v>
      </c>
      <c r="K832" s="3" t="inlineStr">
        <is>
          <t>Garis Lurus</t>
        </is>
      </c>
      <c r="L832" s="5">
        <f>IFERROR(M832/12,"")</f>
        <v/>
      </c>
      <c r="M832" s="5">
        <f>IFERROR((H832-J832)/I832,"")</f>
        <v/>
      </c>
      <c r="N832" s="5">
        <f>IFERROR(M832,"")</f>
        <v/>
      </c>
      <c r="O832" s="5">
        <f>IFERROR(H832-N832,"")</f>
        <v/>
      </c>
      <c r="P832" s="3" t="inlineStr">
        <is>
          <t>Belum dihitung</t>
        </is>
      </c>
      <c r="Q832" s="3" t="n"/>
    </row>
    <row r="833">
      <c r="A833" s="3" t="n">
        <v>832</v>
      </c>
      <c r="B833" s="3" t="inlineStr">
        <is>
          <t>Desember 2025</t>
        </is>
      </c>
      <c r="C833" s="3">
        <f>'Data Aset'!B835</f>
        <v/>
      </c>
      <c r="D833" s="3">
        <f>'Data Aset'!F835</f>
        <v/>
      </c>
      <c r="E833" s="3" t="inlineStr">
        <is>
          <t>Inventaris Ruangan</t>
        </is>
      </c>
      <c r="F833" s="3">
        <f>'Data Aset'!C835</f>
        <v/>
      </c>
      <c r="G833" s="3">
        <f>'Data Aset'!J835</f>
        <v/>
      </c>
      <c r="H833" s="5">
        <f>'Data Aset'!M835</f>
        <v/>
      </c>
      <c r="I833" s="3">
        <f>'Data Aset'!O835</f>
        <v/>
      </c>
      <c r="J833" s="5" t="n">
        <v>0</v>
      </c>
      <c r="K833" s="3" t="inlineStr">
        <is>
          <t>Garis Lurus</t>
        </is>
      </c>
      <c r="L833" s="5">
        <f>IFERROR(M833/12,"")</f>
        <v/>
      </c>
      <c r="M833" s="5">
        <f>IFERROR((H833-J833)/I833,"")</f>
        <v/>
      </c>
      <c r="N833" s="5">
        <f>IFERROR(M833,"")</f>
        <v/>
      </c>
      <c r="O833" s="5">
        <f>IFERROR(H833-N833,"")</f>
        <v/>
      </c>
      <c r="P833" s="3" t="inlineStr">
        <is>
          <t>Belum dihitung</t>
        </is>
      </c>
      <c r="Q833" s="3" t="n"/>
    </row>
    <row r="834">
      <c r="A834" s="3" t="n">
        <v>833</v>
      </c>
      <c r="B834" s="3" t="inlineStr">
        <is>
          <t>Desember 2025</t>
        </is>
      </c>
      <c r="C834" s="3">
        <f>'Data Aset'!B836</f>
        <v/>
      </c>
      <c r="D834" s="3">
        <f>'Data Aset'!F836</f>
        <v/>
      </c>
      <c r="E834" s="3" t="inlineStr">
        <is>
          <t>Inventaris Ruangan</t>
        </is>
      </c>
      <c r="F834" s="3">
        <f>'Data Aset'!C836</f>
        <v/>
      </c>
      <c r="G834" s="3">
        <f>'Data Aset'!J836</f>
        <v/>
      </c>
      <c r="H834" s="5">
        <f>'Data Aset'!M836</f>
        <v/>
      </c>
      <c r="I834" s="3">
        <f>'Data Aset'!O836</f>
        <v/>
      </c>
      <c r="J834" s="5" t="n">
        <v>0</v>
      </c>
      <c r="K834" s="3" t="inlineStr">
        <is>
          <t>Garis Lurus</t>
        </is>
      </c>
      <c r="L834" s="5">
        <f>IFERROR(M834/12,"")</f>
        <v/>
      </c>
      <c r="M834" s="5">
        <f>IFERROR((H834-J834)/I834,"")</f>
        <v/>
      </c>
      <c r="N834" s="5">
        <f>IFERROR(M834,"")</f>
        <v/>
      </c>
      <c r="O834" s="5">
        <f>IFERROR(H834-N834,"")</f>
        <v/>
      </c>
      <c r="P834" s="3" t="inlineStr">
        <is>
          <t>Belum dihitung</t>
        </is>
      </c>
      <c r="Q834" s="3" t="n"/>
    </row>
    <row r="835">
      <c r="A835" s="3" t="n">
        <v>834</v>
      </c>
      <c r="B835" s="3" t="inlineStr">
        <is>
          <t>Desember 2025</t>
        </is>
      </c>
      <c r="C835" s="3">
        <f>'Data Aset'!B837</f>
        <v/>
      </c>
      <c r="D835" s="3">
        <f>'Data Aset'!F837</f>
        <v/>
      </c>
      <c r="E835" s="3" t="inlineStr">
        <is>
          <t>Inventaris Ruangan</t>
        </is>
      </c>
      <c r="F835" s="3">
        <f>'Data Aset'!C837</f>
        <v/>
      </c>
      <c r="G835" s="3">
        <f>'Data Aset'!J837</f>
        <v/>
      </c>
      <c r="H835" s="5">
        <f>'Data Aset'!M837</f>
        <v/>
      </c>
      <c r="I835" s="3">
        <f>'Data Aset'!O837</f>
        <v/>
      </c>
      <c r="J835" s="5" t="n">
        <v>0</v>
      </c>
      <c r="K835" s="3" t="inlineStr">
        <is>
          <t>Garis Lurus</t>
        </is>
      </c>
      <c r="L835" s="5">
        <f>IFERROR(M835/12,"")</f>
        <v/>
      </c>
      <c r="M835" s="5">
        <f>IFERROR((H835-J835)/I835,"")</f>
        <v/>
      </c>
      <c r="N835" s="5">
        <f>IFERROR(M835,"")</f>
        <v/>
      </c>
      <c r="O835" s="5">
        <f>IFERROR(H835-N835,"")</f>
        <v/>
      </c>
      <c r="P835" s="3" t="inlineStr">
        <is>
          <t>Belum dihitung</t>
        </is>
      </c>
      <c r="Q835" s="3" t="n"/>
    </row>
    <row r="836">
      <c r="A836" s="3" t="n">
        <v>835</v>
      </c>
      <c r="B836" s="3" t="inlineStr">
        <is>
          <t>Desember 2025</t>
        </is>
      </c>
      <c r="C836" s="3">
        <f>'Data Aset'!B838</f>
        <v/>
      </c>
      <c r="D836" s="3">
        <f>'Data Aset'!F838</f>
        <v/>
      </c>
      <c r="E836" s="3" t="inlineStr">
        <is>
          <t>Inventaris Ruangan</t>
        </is>
      </c>
      <c r="F836" s="3">
        <f>'Data Aset'!C838</f>
        <v/>
      </c>
      <c r="G836" s="3">
        <f>'Data Aset'!J838</f>
        <v/>
      </c>
      <c r="H836" s="5">
        <f>'Data Aset'!M838</f>
        <v/>
      </c>
      <c r="I836" s="3">
        <f>'Data Aset'!O838</f>
        <v/>
      </c>
      <c r="J836" s="5" t="n">
        <v>0</v>
      </c>
      <c r="K836" s="3" t="inlineStr">
        <is>
          <t>Garis Lurus</t>
        </is>
      </c>
      <c r="L836" s="5">
        <f>IFERROR(M836/12,"")</f>
        <v/>
      </c>
      <c r="M836" s="5">
        <f>IFERROR((H836-J836)/I836,"")</f>
        <v/>
      </c>
      <c r="N836" s="5">
        <f>IFERROR(M836,"")</f>
        <v/>
      </c>
      <c r="O836" s="5">
        <f>IFERROR(H836-N836,"")</f>
        <v/>
      </c>
      <c r="P836" s="3" t="inlineStr">
        <is>
          <t>Belum dihitung</t>
        </is>
      </c>
      <c r="Q836" s="3" t="n"/>
    </row>
    <row r="837">
      <c r="A837" s="3" t="n">
        <v>836</v>
      </c>
      <c r="B837" s="3" t="inlineStr">
        <is>
          <t>Desember 2025</t>
        </is>
      </c>
      <c r="C837" s="3">
        <f>'Data Aset'!B839</f>
        <v/>
      </c>
      <c r="D837" s="3">
        <f>'Data Aset'!F839</f>
        <v/>
      </c>
      <c r="E837" s="3" t="inlineStr">
        <is>
          <t>Inventaris Ruangan</t>
        </is>
      </c>
      <c r="F837" s="3">
        <f>'Data Aset'!C839</f>
        <v/>
      </c>
      <c r="G837" s="3">
        <f>'Data Aset'!J839</f>
        <v/>
      </c>
      <c r="H837" s="5">
        <f>'Data Aset'!M839</f>
        <v/>
      </c>
      <c r="I837" s="3">
        <f>'Data Aset'!O839</f>
        <v/>
      </c>
      <c r="J837" s="5" t="n">
        <v>0</v>
      </c>
      <c r="K837" s="3" t="inlineStr">
        <is>
          <t>Garis Lurus</t>
        </is>
      </c>
      <c r="L837" s="5">
        <f>IFERROR(M837/12,"")</f>
        <v/>
      </c>
      <c r="M837" s="5">
        <f>IFERROR((H837-J837)/I837,"")</f>
        <v/>
      </c>
      <c r="N837" s="5">
        <f>IFERROR(M837,"")</f>
        <v/>
      </c>
      <c r="O837" s="5">
        <f>IFERROR(H837-N837,"")</f>
        <v/>
      </c>
      <c r="P837" s="3" t="inlineStr">
        <is>
          <t>Belum dihitung</t>
        </is>
      </c>
      <c r="Q837" s="3" t="n"/>
    </row>
    <row r="838">
      <c r="A838" s="3" t="n">
        <v>837</v>
      </c>
      <c r="B838" s="3" t="inlineStr">
        <is>
          <t>Desember 2025</t>
        </is>
      </c>
      <c r="C838" s="3">
        <f>'Data Aset'!B840</f>
        <v/>
      </c>
      <c r="D838" s="3">
        <f>'Data Aset'!F840</f>
        <v/>
      </c>
      <c r="E838" s="3" t="inlineStr">
        <is>
          <t>Inventaris Ruangan</t>
        </is>
      </c>
      <c r="F838" s="3">
        <f>'Data Aset'!C840</f>
        <v/>
      </c>
      <c r="G838" s="3">
        <f>'Data Aset'!J840</f>
        <v/>
      </c>
      <c r="H838" s="5">
        <f>'Data Aset'!M840</f>
        <v/>
      </c>
      <c r="I838" s="3">
        <f>'Data Aset'!O840</f>
        <v/>
      </c>
      <c r="J838" s="5" t="n">
        <v>0</v>
      </c>
      <c r="K838" s="3" t="inlineStr">
        <is>
          <t>Garis Lurus</t>
        </is>
      </c>
      <c r="L838" s="5">
        <f>IFERROR(M838/12,"")</f>
        <v/>
      </c>
      <c r="M838" s="5">
        <f>IFERROR((H838-J838)/I838,"")</f>
        <v/>
      </c>
      <c r="N838" s="5">
        <f>IFERROR(M838,"")</f>
        <v/>
      </c>
      <c r="O838" s="5">
        <f>IFERROR(H838-N838,"")</f>
        <v/>
      </c>
      <c r="P838" s="3" t="inlineStr">
        <is>
          <t>Belum dihitung</t>
        </is>
      </c>
      <c r="Q838" s="3" t="n"/>
    </row>
    <row r="839">
      <c r="A839" s="3" t="n">
        <v>838</v>
      </c>
      <c r="B839" s="3" t="inlineStr">
        <is>
          <t>Desember 2025</t>
        </is>
      </c>
      <c r="C839" s="3">
        <f>'Data Aset'!B841</f>
        <v/>
      </c>
      <c r="D839" s="3">
        <f>'Data Aset'!F841</f>
        <v/>
      </c>
      <c r="E839" s="3" t="inlineStr">
        <is>
          <t>Inventaris Ruangan</t>
        </is>
      </c>
      <c r="F839" s="3">
        <f>'Data Aset'!C841</f>
        <v/>
      </c>
      <c r="G839" s="3">
        <f>'Data Aset'!J841</f>
        <v/>
      </c>
      <c r="H839" s="5">
        <f>'Data Aset'!M841</f>
        <v/>
      </c>
      <c r="I839" s="3">
        <f>'Data Aset'!O841</f>
        <v/>
      </c>
      <c r="J839" s="5" t="n">
        <v>0</v>
      </c>
      <c r="K839" s="3" t="inlineStr">
        <is>
          <t>Garis Lurus</t>
        </is>
      </c>
      <c r="L839" s="5">
        <f>IFERROR(M839/12,"")</f>
        <v/>
      </c>
      <c r="M839" s="5">
        <f>IFERROR((H839-J839)/I839,"")</f>
        <v/>
      </c>
      <c r="N839" s="5">
        <f>IFERROR(M839,"")</f>
        <v/>
      </c>
      <c r="O839" s="5">
        <f>IFERROR(H839-N839,"")</f>
        <v/>
      </c>
      <c r="P839" s="3" t="inlineStr">
        <is>
          <t>Belum dihitung</t>
        </is>
      </c>
      <c r="Q839" s="3" t="n"/>
    </row>
    <row r="840">
      <c r="A840" s="3" t="n">
        <v>839</v>
      </c>
      <c r="B840" s="3" t="inlineStr">
        <is>
          <t>Desember 2025</t>
        </is>
      </c>
      <c r="C840" s="3">
        <f>'Data Aset'!B842</f>
        <v/>
      </c>
      <c r="D840" s="3">
        <f>'Data Aset'!F842</f>
        <v/>
      </c>
      <c r="E840" s="3" t="inlineStr">
        <is>
          <t>Inventaris Ruangan</t>
        </is>
      </c>
      <c r="F840" s="3">
        <f>'Data Aset'!C842</f>
        <v/>
      </c>
      <c r="G840" s="3">
        <f>'Data Aset'!J842</f>
        <v/>
      </c>
      <c r="H840" s="5">
        <f>'Data Aset'!M842</f>
        <v/>
      </c>
      <c r="I840" s="3">
        <f>'Data Aset'!O842</f>
        <v/>
      </c>
      <c r="J840" s="5" t="n">
        <v>0</v>
      </c>
      <c r="K840" s="3" t="inlineStr">
        <is>
          <t>Garis Lurus</t>
        </is>
      </c>
      <c r="L840" s="5">
        <f>IFERROR(M840/12,"")</f>
        <v/>
      </c>
      <c r="M840" s="5">
        <f>IFERROR((H840-J840)/I840,"")</f>
        <v/>
      </c>
      <c r="N840" s="5">
        <f>IFERROR(M840,"")</f>
        <v/>
      </c>
      <c r="O840" s="5">
        <f>IFERROR(H840-N840,"")</f>
        <v/>
      </c>
      <c r="P840" s="3" t="inlineStr">
        <is>
          <t>Belum dihitung</t>
        </is>
      </c>
      <c r="Q840" s="3" t="n"/>
    </row>
    <row r="841">
      <c r="A841" s="3" t="n">
        <v>840</v>
      </c>
      <c r="B841" s="3" t="inlineStr">
        <is>
          <t>Desember 2025</t>
        </is>
      </c>
      <c r="C841" s="3">
        <f>'Data Aset'!B843</f>
        <v/>
      </c>
      <c r="D841" s="3">
        <f>'Data Aset'!F843</f>
        <v/>
      </c>
      <c r="E841" s="3" t="inlineStr">
        <is>
          <t>Inventaris Ruangan</t>
        </is>
      </c>
      <c r="F841" s="3">
        <f>'Data Aset'!C843</f>
        <v/>
      </c>
      <c r="G841" s="3">
        <f>'Data Aset'!J843</f>
        <v/>
      </c>
      <c r="H841" s="5">
        <f>'Data Aset'!M843</f>
        <v/>
      </c>
      <c r="I841" s="3">
        <f>'Data Aset'!O843</f>
        <v/>
      </c>
      <c r="J841" s="5" t="n">
        <v>0</v>
      </c>
      <c r="K841" s="3" t="inlineStr">
        <is>
          <t>Garis Lurus</t>
        </is>
      </c>
      <c r="L841" s="5">
        <f>IFERROR(M841/12,"")</f>
        <v/>
      </c>
      <c r="M841" s="5">
        <f>IFERROR((H841-J841)/I841,"")</f>
        <v/>
      </c>
      <c r="N841" s="5">
        <f>IFERROR(M841,"")</f>
        <v/>
      </c>
      <c r="O841" s="5">
        <f>IFERROR(H841-N841,"")</f>
        <v/>
      </c>
      <c r="P841" s="3" t="inlineStr">
        <is>
          <t>Belum dihitung</t>
        </is>
      </c>
      <c r="Q841" s="3" t="n"/>
    </row>
    <row r="842">
      <c r="A842" s="3" t="n">
        <v>841</v>
      </c>
      <c r="B842" s="3" t="inlineStr">
        <is>
          <t>Desember 2025</t>
        </is>
      </c>
      <c r="C842" s="3">
        <f>'Data Aset'!B844</f>
        <v/>
      </c>
      <c r="D842" s="3">
        <f>'Data Aset'!F844</f>
        <v/>
      </c>
      <c r="E842" s="3" t="inlineStr">
        <is>
          <t>Inventaris Ruangan</t>
        </is>
      </c>
      <c r="F842" s="3">
        <f>'Data Aset'!C844</f>
        <v/>
      </c>
      <c r="G842" s="3">
        <f>'Data Aset'!J844</f>
        <v/>
      </c>
      <c r="H842" s="5">
        <f>'Data Aset'!M844</f>
        <v/>
      </c>
      <c r="I842" s="3">
        <f>'Data Aset'!O844</f>
        <v/>
      </c>
      <c r="J842" s="5" t="n">
        <v>0</v>
      </c>
      <c r="K842" s="3" t="inlineStr">
        <is>
          <t>Garis Lurus</t>
        </is>
      </c>
      <c r="L842" s="5">
        <f>IFERROR(M842/12,"")</f>
        <v/>
      </c>
      <c r="M842" s="5">
        <f>IFERROR((H842-J842)/I842,"")</f>
        <v/>
      </c>
      <c r="N842" s="5">
        <f>IFERROR(M842,"")</f>
        <v/>
      </c>
      <c r="O842" s="5">
        <f>IFERROR(H842-N842,"")</f>
        <v/>
      </c>
      <c r="P842" s="3" t="inlineStr">
        <is>
          <t>Belum dihitung</t>
        </is>
      </c>
      <c r="Q842" s="3" t="n"/>
    </row>
    <row r="843">
      <c r="A843" s="3" t="n">
        <v>842</v>
      </c>
      <c r="B843" s="3" t="inlineStr">
        <is>
          <t>Desember 2025</t>
        </is>
      </c>
      <c r="C843" s="3">
        <f>'Data Aset'!B845</f>
        <v/>
      </c>
      <c r="D843" s="3">
        <f>'Data Aset'!F845</f>
        <v/>
      </c>
      <c r="E843" s="3" t="inlineStr">
        <is>
          <t>Inventaris Ruangan</t>
        </is>
      </c>
      <c r="F843" s="3">
        <f>'Data Aset'!C845</f>
        <v/>
      </c>
      <c r="G843" s="3">
        <f>'Data Aset'!J845</f>
        <v/>
      </c>
      <c r="H843" s="5">
        <f>'Data Aset'!M845</f>
        <v/>
      </c>
      <c r="I843" s="3">
        <f>'Data Aset'!O845</f>
        <v/>
      </c>
      <c r="J843" s="5" t="n">
        <v>0</v>
      </c>
      <c r="K843" s="3" t="inlineStr">
        <is>
          <t>Garis Lurus</t>
        </is>
      </c>
      <c r="L843" s="5">
        <f>IFERROR(M843/12,"")</f>
        <v/>
      </c>
      <c r="M843" s="5">
        <f>IFERROR((H843-J843)/I843,"")</f>
        <v/>
      </c>
      <c r="N843" s="5">
        <f>IFERROR(M843,"")</f>
        <v/>
      </c>
      <c r="O843" s="5">
        <f>IFERROR(H843-N843,"")</f>
        <v/>
      </c>
      <c r="P843" s="3" t="inlineStr">
        <is>
          <t>Belum dihitung</t>
        </is>
      </c>
      <c r="Q843" s="3" t="n"/>
    </row>
    <row r="844">
      <c r="A844" s="3" t="n">
        <v>843</v>
      </c>
      <c r="B844" s="3" t="inlineStr">
        <is>
          <t>Desember 2025</t>
        </is>
      </c>
      <c r="C844" s="3">
        <f>'Data Aset'!B846</f>
        <v/>
      </c>
      <c r="D844" s="3">
        <f>'Data Aset'!F846</f>
        <v/>
      </c>
      <c r="E844" s="3" t="inlineStr">
        <is>
          <t>Inventaris Ruangan</t>
        </is>
      </c>
      <c r="F844" s="3">
        <f>'Data Aset'!C846</f>
        <v/>
      </c>
      <c r="G844" s="3">
        <f>'Data Aset'!J846</f>
        <v/>
      </c>
      <c r="H844" s="5">
        <f>'Data Aset'!M846</f>
        <v/>
      </c>
      <c r="I844" s="3">
        <f>'Data Aset'!O846</f>
        <v/>
      </c>
      <c r="J844" s="5" t="n">
        <v>0</v>
      </c>
      <c r="K844" s="3" t="inlineStr">
        <is>
          <t>Garis Lurus</t>
        </is>
      </c>
      <c r="L844" s="5">
        <f>IFERROR(M844/12,"")</f>
        <v/>
      </c>
      <c r="M844" s="5">
        <f>IFERROR((H844-J844)/I844,"")</f>
        <v/>
      </c>
      <c r="N844" s="5">
        <f>IFERROR(M844,"")</f>
        <v/>
      </c>
      <c r="O844" s="5">
        <f>IFERROR(H844-N844,"")</f>
        <v/>
      </c>
      <c r="P844" s="3" t="inlineStr">
        <is>
          <t>Belum dihitung</t>
        </is>
      </c>
      <c r="Q844" s="3" t="n"/>
    </row>
    <row r="845">
      <c r="A845" s="3" t="n">
        <v>844</v>
      </c>
      <c r="B845" s="3" t="inlineStr">
        <is>
          <t>Desember 2025</t>
        </is>
      </c>
      <c r="C845" s="3">
        <f>'Data Aset'!B847</f>
        <v/>
      </c>
      <c r="D845" s="3">
        <f>'Data Aset'!F847</f>
        <v/>
      </c>
      <c r="E845" s="3" t="inlineStr">
        <is>
          <t>Inventaris Ruangan</t>
        </is>
      </c>
      <c r="F845" s="3">
        <f>'Data Aset'!C847</f>
        <v/>
      </c>
      <c r="G845" s="3">
        <f>'Data Aset'!J847</f>
        <v/>
      </c>
      <c r="H845" s="5">
        <f>'Data Aset'!M847</f>
        <v/>
      </c>
      <c r="I845" s="3">
        <f>'Data Aset'!O847</f>
        <v/>
      </c>
      <c r="J845" s="5" t="n">
        <v>0</v>
      </c>
      <c r="K845" s="3" t="inlineStr">
        <is>
          <t>Garis Lurus</t>
        </is>
      </c>
      <c r="L845" s="5">
        <f>IFERROR(M845/12,"")</f>
        <v/>
      </c>
      <c r="M845" s="5">
        <f>IFERROR((H845-J845)/I845,"")</f>
        <v/>
      </c>
      <c r="N845" s="5">
        <f>IFERROR(M845,"")</f>
        <v/>
      </c>
      <c r="O845" s="5">
        <f>IFERROR(H845-N845,"")</f>
        <v/>
      </c>
      <c r="P845" s="3" t="inlineStr">
        <is>
          <t>Belum dihitung</t>
        </is>
      </c>
      <c r="Q845" s="3" t="n"/>
    </row>
    <row r="846">
      <c r="A846" s="3" t="n">
        <v>845</v>
      </c>
      <c r="B846" s="3" t="inlineStr">
        <is>
          <t>Desember 2025</t>
        </is>
      </c>
      <c r="C846" s="3">
        <f>'Data Aset'!B848</f>
        <v/>
      </c>
      <c r="D846" s="3">
        <f>'Data Aset'!F848</f>
        <v/>
      </c>
      <c r="E846" s="3" t="inlineStr">
        <is>
          <t>Inventaris Ruangan</t>
        </is>
      </c>
      <c r="F846" s="3">
        <f>'Data Aset'!C848</f>
        <v/>
      </c>
      <c r="G846" s="3">
        <f>'Data Aset'!J848</f>
        <v/>
      </c>
      <c r="H846" s="5">
        <f>'Data Aset'!M848</f>
        <v/>
      </c>
      <c r="I846" s="3">
        <f>'Data Aset'!O848</f>
        <v/>
      </c>
      <c r="J846" s="5" t="n">
        <v>0</v>
      </c>
      <c r="K846" s="3" t="inlineStr">
        <is>
          <t>Garis Lurus</t>
        </is>
      </c>
      <c r="L846" s="5">
        <f>IFERROR(M846/12,"")</f>
        <v/>
      </c>
      <c r="M846" s="5">
        <f>IFERROR((H846-J846)/I846,"")</f>
        <v/>
      </c>
      <c r="N846" s="5">
        <f>IFERROR(M846,"")</f>
        <v/>
      </c>
      <c r="O846" s="5">
        <f>IFERROR(H846-N846,"")</f>
        <v/>
      </c>
      <c r="P846" s="3" t="inlineStr">
        <is>
          <t>Belum dihitung</t>
        </is>
      </c>
      <c r="Q846" s="3" t="n"/>
    </row>
    <row r="847">
      <c r="A847" s="3" t="n">
        <v>846</v>
      </c>
      <c r="B847" s="3" t="inlineStr">
        <is>
          <t>Desember 2025</t>
        </is>
      </c>
      <c r="C847" s="3">
        <f>'Data Aset'!B849</f>
        <v/>
      </c>
      <c r="D847" s="3">
        <f>'Data Aset'!F849</f>
        <v/>
      </c>
      <c r="E847" s="3" t="inlineStr">
        <is>
          <t>Inventaris Ruangan</t>
        </is>
      </c>
      <c r="F847" s="3">
        <f>'Data Aset'!C849</f>
        <v/>
      </c>
      <c r="G847" s="3">
        <f>'Data Aset'!J849</f>
        <v/>
      </c>
      <c r="H847" s="5">
        <f>'Data Aset'!M849</f>
        <v/>
      </c>
      <c r="I847" s="3">
        <f>'Data Aset'!O849</f>
        <v/>
      </c>
      <c r="J847" s="5" t="n">
        <v>0</v>
      </c>
      <c r="K847" s="3" t="inlineStr">
        <is>
          <t>Garis Lurus</t>
        </is>
      </c>
      <c r="L847" s="5">
        <f>IFERROR(M847/12,"")</f>
        <v/>
      </c>
      <c r="M847" s="5">
        <f>IFERROR((H847-J847)/I847,"")</f>
        <v/>
      </c>
      <c r="N847" s="5">
        <f>IFERROR(M847,"")</f>
        <v/>
      </c>
      <c r="O847" s="5">
        <f>IFERROR(H847-N847,"")</f>
        <v/>
      </c>
      <c r="P847" s="3" t="inlineStr">
        <is>
          <t>Belum dihitung</t>
        </is>
      </c>
      <c r="Q847" s="3" t="n"/>
    </row>
    <row r="848">
      <c r="A848" s="3" t="n">
        <v>847</v>
      </c>
      <c r="B848" s="3" t="inlineStr">
        <is>
          <t>Desember 2025</t>
        </is>
      </c>
      <c r="C848" s="3">
        <f>'Data Aset'!B850</f>
        <v/>
      </c>
      <c r="D848" s="3">
        <f>'Data Aset'!F850</f>
        <v/>
      </c>
      <c r="E848" s="3" t="inlineStr">
        <is>
          <t>Inventaris Ruangan</t>
        </is>
      </c>
      <c r="F848" s="3">
        <f>'Data Aset'!C850</f>
        <v/>
      </c>
      <c r="G848" s="3">
        <f>'Data Aset'!J850</f>
        <v/>
      </c>
      <c r="H848" s="5">
        <f>'Data Aset'!M850</f>
        <v/>
      </c>
      <c r="I848" s="3">
        <f>'Data Aset'!O850</f>
        <v/>
      </c>
      <c r="J848" s="5" t="n">
        <v>0</v>
      </c>
      <c r="K848" s="3" t="inlineStr">
        <is>
          <t>Garis Lurus</t>
        </is>
      </c>
      <c r="L848" s="5">
        <f>IFERROR(M848/12,"")</f>
        <v/>
      </c>
      <c r="M848" s="5">
        <f>IFERROR((H848-J848)/I848,"")</f>
        <v/>
      </c>
      <c r="N848" s="5">
        <f>IFERROR(M848,"")</f>
        <v/>
      </c>
      <c r="O848" s="5">
        <f>IFERROR(H848-N848,"")</f>
        <v/>
      </c>
      <c r="P848" s="3" t="inlineStr">
        <is>
          <t>Belum dihitung</t>
        </is>
      </c>
      <c r="Q848" s="3" t="n"/>
    </row>
    <row r="849">
      <c r="A849" s="3" t="n">
        <v>848</v>
      </c>
      <c r="B849" s="3" t="inlineStr">
        <is>
          <t>Desember 2025</t>
        </is>
      </c>
      <c r="C849" s="3">
        <f>'Data Aset'!B851</f>
        <v/>
      </c>
      <c r="D849" s="3">
        <f>'Data Aset'!F851</f>
        <v/>
      </c>
      <c r="E849" s="3" t="inlineStr">
        <is>
          <t>Inventaris Ruangan</t>
        </is>
      </c>
      <c r="F849" s="3">
        <f>'Data Aset'!C851</f>
        <v/>
      </c>
      <c r="G849" s="3">
        <f>'Data Aset'!J851</f>
        <v/>
      </c>
      <c r="H849" s="5">
        <f>'Data Aset'!M851</f>
        <v/>
      </c>
      <c r="I849" s="3">
        <f>'Data Aset'!O851</f>
        <v/>
      </c>
      <c r="J849" s="5" t="n">
        <v>0</v>
      </c>
      <c r="K849" s="3" t="inlineStr">
        <is>
          <t>Garis Lurus</t>
        </is>
      </c>
      <c r="L849" s="5">
        <f>IFERROR(M849/12,"")</f>
        <v/>
      </c>
      <c r="M849" s="5">
        <f>IFERROR((H849-J849)/I849,"")</f>
        <v/>
      </c>
      <c r="N849" s="5">
        <f>IFERROR(M849,"")</f>
        <v/>
      </c>
      <c r="O849" s="5">
        <f>IFERROR(H849-N849,"")</f>
        <v/>
      </c>
      <c r="P849" s="3" t="inlineStr">
        <is>
          <t>Belum dihitung</t>
        </is>
      </c>
      <c r="Q849" s="3" t="n"/>
    </row>
    <row r="850">
      <c r="A850" s="3" t="n">
        <v>849</v>
      </c>
      <c r="B850" s="3" t="inlineStr">
        <is>
          <t>Desember 2025</t>
        </is>
      </c>
      <c r="C850" s="3">
        <f>'Data Aset'!B852</f>
        <v/>
      </c>
      <c r="D850" s="3">
        <f>'Data Aset'!F852</f>
        <v/>
      </c>
      <c r="E850" s="3" t="inlineStr">
        <is>
          <t>Inventaris Ruangan</t>
        </is>
      </c>
      <c r="F850" s="3">
        <f>'Data Aset'!C852</f>
        <v/>
      </c>
      <c r="G850" s="3">
        <f>'Data Aset'!J852</f>
        <v/>
      </c>
      <c r="H850" s="5">
        <f>'Data Aset'!M852</f>
        <v/>
      </c>
      <c r="I850" s="3">
        <f>'Data Aset'!O852</f>
        <v/>
      </c>
      <c r="J850" s="5" t="n">
        <v>0</v>
      </c>
      <c r="K850" s="3" t="inlineStr">
        <is>
          <t>Garis Lurus</t>
        </is>
      </c>
      <c r="L850" s="5">
        <f>IFERROR(M850/12,"")</f>
        <v/>
      </c>
      <c r="M850" s="5">
        <f>IFERROR((H850-J850)/I850,"")</f>
        <v/>
      </c>
      <c r="N850" s="5">
        <f>IFERROR(M850,"")</f>
        <v/>
      </c>
      <c r="O850" s="5">
        <f>IFERROR(H850-N850,"")</f>
        <v/>
      </c>
      <c r="P850" s="3" t="inlineStr">
        <is>
          <t>Belum dihitung</t>
        </is>
      </c>
      <c r="Q850" s="3" t="n"/>
    </row>
    <row r="851">
      <c r="A851" s="3" t="n">
        <v>850</v>
      </c>
      <c r="B851" s="3" t="inlineStr">
        <is>
          <t>Desember 2025</t>
        </is>
      </c>
      <c r="C851" s="3">
        <f>'Data Aset'!B853</f>
        <v/>
      </c>
      <c r="D851" s="3">
        <f>'Data Aset'!F853</f>
        <v/>
      </c>
      <c r="E851" s="3" t="inlineStr">
        <is>
          <t>Inventaris Ruangan</t>
        </is>
      </c>
      <c r="F851" s="3">
        <f>'Data Aset'!C853</f>
        <v/>
      </c>
      <c r="G851" s="3">
        <f>'Data Aset'!J853</f>
        <v/>
      </c>
      <c r="H851" s="5">
        <f>'Data Aset'!M853</f>
        <v/>
      </c>
      <c r="I851" s="3">
        <f>'Data Aset'!O853</f>
        <v/>
      </c>
      <c r="J851" s="5" t="n">
        <v>0</v>
      </c>
      <c r="K851" s="3" t="inlineStr">
        <is>
          <t>Garis Lurus</t>
        </is>
      </c>
      <c r="L851" s="5">
        <f>IFERROR(M851/12,"")</f>
        <v/>
      </c>
      <c r="M851" s="5">
        <f>IFERROR((H851-J851)/I851,"")</f>
        <v/>
      </c>
      <c r="N851" s="5">
        <f>IFERROR(M851,"")</f>
        <v/>
      </c>
      <c r="O851" s="5">
        <f>IFERROR(H851-N851,"")</f>
        <v/>
      </c>
      <c r="P851" s="3" t="inlineStr">
        <is>
          <t>Belum dihitung</t>
        </is>
      </c>
      <c r="Q851" s="3" t="n"/>
    </row>
    <row r="852">
      <c r="A852" s="3" t="n">
        <v>851</v>
      </c>
      <c r="B852" s="3" t="inlineStr">
        <is>
          <t>Desember 2025</t>
        </is>
      </c>
      <c r="C852" s="3">
        <f>'Data Aset'!B854</f>
        <v/>
      </c>
      <c r="D852" s="3">
        <f>'Data Aset'!F854</f>
        <v/>
      </c>
      <c r="E852" s="3" t="inlineStr">
        <is>
          <t>Inventaris Ruangan</t>
        </is>
      </c>
      <c r="F852" s="3">
        <f>'Data Aset'!C854</f>
        <v/>
      </c>
      <c r="G852" s="3">
        <f>'Data Aset'!J854</f>
        <v/>
      </c>
      <c r="H852" s="5">
        <f>'Data Aset'!M854</f>
        <v/>
      </c>
      <c r="I852" s="3">
        <f>'Data Aset'!O854</f>
        <v/>
      </c>
      <c r="J852" s="5" t="n">
        <v>0</v>
      </c>
      <c r="K852" s="3" t="inlineStr">
        <is>
          <t>Garis Lurus</t>
        </is>
      </c>
      <c r="L852" s="5">
        <f>IFERROR(M852/12,"")</f>
        <v/>
      </c>
      <c r="M852" s="5">
        <f>IFERROR((H852-J852)/I852,"")</f>
        <v/>
      </c>
      <c r="N852" s="5">
        <f>IFERROR(M852,"")</f>
        <v/>
      </c>
      <c r="O852" s="5">
        <f>IFERROR(H852-N852,"")</f>
        <v/>
      </c>
      <c r="P852" s="3" t="inlineStr">
        <is>
          <t>Belum dihitung</t>
        </is>
      </c>
      <c r="Q852" s="3" t="n"/>
    </row>
    <row r="853">
      <c r="A853" s="3" t="n">
        <v>852</v>
      </c>
      <c r="B853" s="3" t="inlineStr">
        <is>
          <t>Desember 2025</t>
        </is>
      </c>
      <c r="C853" s="3">
        <f>'Data Aset'!B855</f>
        <v/>
      </c>
      <c r="D853" s="3">
        <f>'Data Aset'!F855</f>
        <v/>
      </c>
      <c r="E853" s="3" t="inlineStr">
        <is>
          <t>Inventaris Ruangan</t>
        </is>
      </c>
      <c r="F853" s="3">
        <f>'Data Aset'!C855</f>
        <v/>
      </c>
      <c r="G853" s="3">
        <f>'Data Aset'!J855</f>
        <v/>
      </c>
      <c r="H853" s="5">
        <f>'Data Aset'!M855</f>
        <v/>
      </c>
      <c r="I853" s="3">
        <f>'Data Aset'!O855</f>
        <v/>
      </c>
      <c r="J853" s="5" t="n">
        <v>0</v>
      </c>
      <c r="K853" s="3" t="inlineStr">
        <is>
          <t>Garis Lurus</t>
        </is>
      </c>
      <c r="L853" s="5">
        <f>IFERROR(M853/12,"")</f>
        <v/>
      </c>
      <c r="M853" s="5">
        <f>IFERROR((H853-J853)/I853,"")</f>
        <v/>
      </c>
      <c r="N853" s="5">
        <f>IFERROR(M853,"")</f>
        <v/>
      </c>
      <c r="O853" s="5">
        <f>IFERROR(H853-N853,"")</f>
        <v/>
      </c>
      <c r="P853" s="3" t="inlineStr">
        <is>
          <t>Belum dihitung</t>
        </is>
      </c>
      <c r="Q853" s="3" t="n"/>
    </row>
    <row r="854">
      <c r="A854" s="3" t="n">
        <v>853</v>
      </c>
      <c r="B854" s="3" t="inlineStr">
        <is>
          <t>Desember 2025</t>
        </is>
      </c>
      <c r="C854" s="3">
        <f>'Data Aset'!B856</f>
        <v/>
      </c>
      <c r="D854" s="3">
        <f>'Data Aset'!F856</f>
        <v/>
      </c>
      <c r="E854" s="3" t="inlineStr">
        <is>
          <t>Inventaris Ruangan</t>
        </is>
      </c>
      <c r="F854" s="3">
        <f>'Data Aset'!C856</f>
        <v/>
      </c>
      <c r="G854" s="3">
        <f>'Data Aset'!J856</f>
        <v/>
      </c>
      <c r="H854" s="5">
        <f>'Data Aset'!M856</f>
        <v/>
      </c>
      <c r="I854" s="3">
        <f>'Data Aset'!O856</f>
        <v/>
      </c>
      <c r="J854" s="5" t="n">
        <v>0</v>
      </c>
      <c r="K854" s="3" t="inlineStr">
        <is>
          <t>Garis Lurus</t>
        </is>
      </c>
      <c r="L854" s="5">
        <f>IFERROR(M854/12,"")</f>
        <v/>
      </c>
      <c r="M854" s="5">
        <f>IFERROR((H854-J854)/I854,"")</f>
        <v/>
      </c>
      <c r="N854" s="5">
        <f>IFERROR(M854,"")</f>
        <v/>
      </c>
      <c r="O854" s="5">
        <f>IFERROR(H854-N854,"")</f>
        <v/>
      </c>
      <c r="P854" s="3" t="inlineStr">
        <is>
          <t>Belum dihitung</t>
        </is>
      </c>
      <c r="Q854" s="3" t="n"/>
    </row>
    <row r="855">
      <c r="A855" s="3" t="n">
        <v>854</v>
      </c>
      <c r="B855" s="3" t="inlineStr">
        <is>
          <t>Desember 2025</t>
        </is>
      </c>
      <c r="C855" s="3">
        <f>'Data Aset'!B857</f>
        <v/>
      </c>
      <c r="D855" s="3">
        <f>'Data Aset'!F857</f>
        <v/>
      </c>
      <c r="E855" s="3" t="inlineStr">
        <is>
          <t>Inventaris Ruangan</t>
        </is>
      </c>
      <c r="F855" s="3">
        <f>'Data Aset'!C857</f>
        <v/>
      </c>
      <c r="G855" s="3">
        <f>'Data Aset'!J857</f>
        <v/>
      </c>
      <c r="H855" s="5">
        <f>'Data Aset'!M857</f>
        <v/>
      </c>
      <c r="I855" s="3">
        <f>'Data Aset'!O857</f>
        <v/>
      </c>
      <c r="J855" s="5" t="n">
        <v>0</v>
      </c>
      <c r="K855" s="3" t="inlineStr">
        <is>
          <t>Garis Lurus</t>
        </is>
      </c>
      <c r="L855" s="5">
        <f>IFERROR(M855/12,"")</f>
        <v/>
      </c>
      <c r="M855" s="5">
        <f>IFERROR((H855-J855)/I855,"")</f>
        <v/>
      </c>
      <c r="N855" s="5">
        <f>IFERROR(M855,"")</f>
        <v/>
      </c>
      <c r="O855" s="5">
        <f>IFERROR(H855-N855,"")</f>
        <v/>
      </c>
      <c r="P855" s="3" t="inlineStr">
        <is>
          <t>Belum dihitung</t>
        </is>
      </c>
      <c r="Q855" s="3" t="n"/>
    </row>
    <row r="856">
      <c r="A856" s="3" t="n">
        <v>855</v>
      </c>
      <c r="B856" s="3" t="inlineStr">
        <is>
          <t>Desember 2025</t>
        </is>
      </c>
      <c r="C856" s="3">
        <f>'Data Aset'!B858</f>
        <v/>
      </c>
      <c r="D856" s="3">
        <f>'Data Aset'!F858</f>
        <v/>
      </c>
      <c r="E856" s="3" t="inlineStr">
        <is>
          <t>Inventaris Ruangan</t>
        </is>
      </c>
      <c r="F856" s="3">
        <f>'Data Aset'!C858</f>
        <v/>
      </c>
      <c r="G856" s="3">
        <f>'Data Aset'!J858</f>
        <v/>
      </c>
      <c r="H856" s="5">
        <f>'Data Aset'!M858</f>
        <v/>
      </c>
      <c r="I856" s="3">
        <f>'Data Aset'!O858</f>
        <v/>
      </c>
      <c r="J856" s="5" t="n">
        <v>0</v>
      </c>
      <c r="K856" s="3" t="inlineStr">
        <is>
          <t>Garis Lurus</t>
        </is>
      </c>
      <c r="L856" s="5">
        <f>IFERROR(M856/12,"")</f>
        <v/>
      </c>
      <c r="M856" s="5">
        <f>IFERROR((H856-J856)/I856,"")</f>
        <v/>
      </c>
      <c r="N856" s="5">
        <f>IFERROR(M856,"")</f>
        <v/>
      </c>
      <c r="O856" s="5">
        <f>IFERROR(H856-N856,"")</f>
        <v/>
      </c>
      <c r="P856" s="3" t="inlineStr">
        <is>
          <t>Belum dihitung</t>
        </is>
      </c>
      <c r="Q856" s="3" t="n"/>
    </row>
    <row r="857">
      <c r="A857" s="3" t="n">
        <v>856</v>
      </c>
      <c r="B857" s="3" t="inlineStr">
        <is>
          <t>Desember 2025</t>
        </is>
      </c>
      <c r="C857" s="3">
        <f>'Data Aset'!B859</f>
        <v/>
      </c>
      <c r="D857" s="3">
        <f>'Data Aset'!F859</f>
        <v/>
      </c>
      <c r="E857" s="3" t="inlineStr">
        <is>
          <t>Inventaris Ruangan</t>
        </is>
      </c>
      <c r="F857" s="3">
        <f>'Data Aset'!C859</f>
        <v/>
      </c>
      <c r="G857" s="3">
        <f>'Data Aset'!J859</f>
        <v/>
      </c>
      <c r="H857" s="5">
        <f>'Data Aset'!M859</f>
        <v/>
      </c>
      <c r="I857" s="3">
        <f>'Data Aset'!O859</f>
        <v/>
      </c>
      <c r="J857" s="5" t="n">
        <v>0</v>
      </c>
      <c r="K857" s="3" t="inlineStr">
        <is>
          <t>Garis Lurus</t>
        </is>
      </c>
      <c r="L857" s="5">
        <f>IFERROR(M857/12,"")</f>
        <v/>
      </c>
      <c r="M857" s="5">
        <f>IFERROR((H857-J857)/I857,"")</f>
        <v/>
      </c>
      <c r="N857" s="5">
        <f>IFERROR(M857,"")</f>
        <v/>
      </c>
      <c r="O857" s="5">
        <f>IFERROR(H857-N857,"")</f>
        <v/>
      </c>
      <c r="P857" s="3" t="inlineStr">
        <is>
          <t>Belum dihitung</t>
        </is>
      </c>
      <c r="Q857" s="3" t="n"/>
    </row>
    <row r="858">
      <c r="A858" s="3" t="n">
        <v>857</v>
      </c>
      <c r="B858" s="3" t="inlineStr">
        <is>
          <t>Desember 2025</t>
        </is>
      </c>
      <c r="C858" s="3">
        <f>'Data Aset'!B860</f>
        <v/>
      </c>
      <c r="D858" s="3">
        <f>'Data Aset'!F860</f>
        <v/>
      </c>
      <c r="E858" s="3" t="inlineStr">
        <is>
          <t>Inventaris Ruangan</t>
        </is>
      </c>
      <c r="F858" s="3">
        <f>'Data Aset'!C860</f>
        <v/>
      </c>
      <c r="G858" s="3">
        <f>'Data Aset'!J860</f>
        <v/>
      </c>
      <c r="H858" s="5">
        <f>'Data Aset'!M860</f>
        <v/>
      </c>
      <c r="I858" s="3">
        <f>'Data Aset'!O860</f>
        <v/>
      </c>
      <c r="J858" s="5" t="n">
        <v>0</v>
      </c>
      <c r="K858" s="3" t="inlineStr">
        <is>
          <t>Garis Lurus</t>
        </is>
      </c>
      <c r="L858" s="5">
        <f>IFERROR(M858/12,"")</f>
        <v/>
      </c>
      <c r="M858" s="5">
        <f>IFERROR((H858-J858)/I858,"")</f>
        <v/>
      </c>
      <c r="N858" s="5">
        <f>IFERROR(M858,"")</f>
        <v/>
      </c>
      <c r="O858" s="5">
        <f>IFERROR(H858-N858,"")</f>
        <v/>
      </c>
      <c r="P858" s="3" t="inlineStr">
        <is>
          <t>Belum dihitung</t>
        </is>
      </c>
      <c r="Q858" s="3" t="n"/>
    </row>
    <row r="859">
      <c r="A859" s="3" t="n">
        <v>858</v>
      </c>
      <c r="B859" s="3" t="inlineStr">
        <is>
          <t>Desember 2025</t>
        </is>
      </c>
      <c r="C859" s="3">
        <f>'Data Aset'!B861</f>
        <v/>
      </c>
      <c r="D859" s="3">
        <f>'Data Aset'!F861</f>
        <v/>
      </c>
      <c r="E859" s="3" t="inlineStr">
        <is>
          <t>Inventaris Ruangan</t>
        </is>
      </c>
      <c r="F859" s="3">
        <f>'Data Aset'!C861</f>
        <v/>
      </c>
      <c r="G859" s="3">
        <f>'Data Aset'!J861</f>
        <v/>
      </c>
      <c r="H859" s="5">
        <f>'Data Aset'!M861</f>
        <v/>
      </c>
      <c r="I859" s="3">
        <f>'Data Aset'!O861</f>
        <v/>
      </c>
      <c r="J859" s="5" t="n">
        <v>0</v>
      </c>
      <c r="K859" s="3" t="inlineStr">
        <is>
          <t>Garis Lurus</t>
        </is>
      </c>
      <c r="L859" s="5">
        <f>IFERROR(M859/12,"")</f>
        <v/>
      </c>
      <c r="M859" s="5">
        <f>IFERROR((H859-J859)/I859,"")</f>
        <v/>
      </c>
      <c r="N859" s="5">
        <f>IFERROR(M859,"")</f>
        <v/>
      </c>
      <c r="O859" s="5">
        <f>IFERROR(H859-N859,"")</f>
        <v/>
      </c>
      <c r="P859" s="3" t="inlineStr">
        <is>
          <t>Belum dihitung</t>
        </is>
      </c>
      <c r="Q859" s="3" t="n"/>
    </row>
    <row r="860">
      <c r="A860" s="3" t="n">
        <v>859</v>
      </c>
      <c r="B860" s="3" t="inlineStr">
        <is>
          <t>Desember 2025</t>
        </is>
      </c>
      <c r="C860" s="3">
        <f>'Data Aset'!B862</f>
        <v/>
      </c>
      <c r="D860" s="3">
        <f>'Data Aset'!F862</f>
        <v/>
      </c>
      <c r="E860" s="3" t="inlineStr">
        <is>
          <t>Inventaris Ruangan</t>
        </is>
      </c>
      <c r="F860" s="3">
        <f>'Data Aset'!C862</f>
        <v/>
      </c>
      <c r="G860" s="3">
        <f>'Data Aset'!J862</f>
        <v/>
      </c>
      <c r="H860" s="5">
        <f>'Data Aset'!M862</f>
        <v/>
      </c>
      <c r="I860" s="3">
        <f>'Data Aset'!O862</f>
        <v/>
      </c>
      <c r="J860" s="5" t="n">
        <v>0</v>
      </c>
      <c r="K860" s="3" t="inlineStr">
        <is>
          <t>Garis Lurus</t>
        </is>
      </c>
      <c r="L860" s="5">
        <f>IFERROR(M860/12,"")</f>
        <v/>
      </c>
      <c r="M860" s="5">
        <f>IFERROR((H860-J860)/I860,"")</f>
        <v/>
      </c>
      <c r="N860" s="5">
        <f>IFERROR(M860,"")</f>
        <v/>
      </c>
      <c r="O860" s="5">
        <f>IFERROR(H860-N860,"")</f>
        <v/>
      </c>
      <c r="P860" s="3" t="inlineStr">
        <is>
          <t>Belum dihitung</t>
        </is>
      </c>
      <c r="Q860" s="3" t="n"/>
    </row>
    <row r="861">
      <c r="A861" s="3" t="n">
        <v>860</v>
      </c>
      <c r="B861" s="3" t="inlineStr">
        <is>
          <t>Desember 2025</t>
        </is>
      </c>
      <c r="C861" s="3">
        <f>'Data Aset'!B863</f>
        <v/>
      </c>
      <c r="D861" s="3">
        <f>'Data Aset'!F863</f>
        <v/>
      </c>
      <c r="E861" s="3" t="inlineStr">
        <is>
          <t>Inventaris Ruangan</t>
        </is>
      </c>
      <c r="F861" s="3">
        <f>'Data Aset'!C863</f>
        <v/>
      </c>
      <c r="G861" s="3">
        <f>'Data Aset'!J863</f>
        <v/>
      </c>
      <c r="H861" s="5">
        <f>'Data Aset'!M863</f>
        <v/>
      </c>
      <c r="I861" s="3">
        <f>'Data Aset'!O863</f>
        <v/>
      </c>
      <c r="J861" s="5" t="n">
        <v>0</v>
      </c>
      <c r="K861" s="3" t="inlineStr">
        <is>
          <t>Garis Lurus</t>
        </is>
      </c>
      <c r="L861" s="5">
        <f>IFERROR(M861/12,"")</f>
        <v/>
      </c>
      <c r="M861" s="5">
        <f>IFERROR((H861-J861)/I861,"")</f>
        <v/>
      </c>
      <c r="N861" s="5">
        <f>IFERROR(M861,"")</f>
        <v/>
      </c>
      <c r="O861" s="5">
        <f>IFERROR(H861-N861,"")</f>
        <v/>
      </c>
      <c r="P861" s="3" t="inlineStr">
        <is>
          <t>Belum dihitung</t>
        </is>
      </c>
      <c r="Q861" s="3" t="n"/>
    </row>
    <row r="862">
      <c r="A862" s="3" t="n">
        <v>861</v>
      </c>
      <c r="B862" s="3" t="inlineStr">
        <is>
          <t>Desember 2025</t>
        </is>
      </c>
      <c r="C862" s="3">
        <f>'Data Aset'!B864</f>
        <v/>
      </c>
      <c r="D862" s="3">
        <f>'Data Aset'!F864</f>
        <v/>
      </c>
      <c r="E862" s="3" t="inlineStr">
        <is>
          <t>Inventaris Ruangan</t>
        </is>
      </c>
      <c r="F862" s="3">
        <f>'Data Aset'!C864</f>
        <v/>
      </c>
      <c r="G862" s="3">
        <f>'Data Aset'!J864</f>
        <v/>
      </c>
      <c r="H862" s="5">
        <f>'Data Aset'!M864</f>
        <v/>
      </c>
      <c r="I862" s="3">
        <f>'Data Aset'!O864</f>
        <v/>
      </c>
      <c r="J862" s="5" t="n">
        <v>0</v>
      </c>
      <c r="K862" s="3" t="inlineStr">
        <is>
          <t>Garis Lurus</t>
        </is>
      </c>
      <c r="L862" s="5">
        <f>IFERROR(M862/12,"")</f>
        <v/>
      </c>
      <c r="M862" s="5">
        <f>IFERROR((H862-J862)/I862,"")</f>
        <v/>
      </c>
      <c r="N862" s="5">
        <f>IFERROR(M862,"")</f>
        <v/>
      </c>
      <c r="O862" s="5">
        <f>IFERROR(H862-N862,"")</f>
        <v/>
      </c>
      <c r="P862" s="3" t="inlineStr">
        <is>
          <t>Belum dihitung</t>
        </is>
      </c>
      <c r="Q862" s="3" t="n"/>
    </row>
    <row r="863">
      <c r="A863" s="3" t="n">
        <v>862</v>
      </c>
      <c r="B863" s="3" t="inlineStr">
        <is>
          <t>Desember 2025</t>
        </is>
      </c>
      <c r="C863" s="3">
        <f>'Data Aset'!B865</f>
        <v/>
      </c>
      <c r="D863" s="3">
        <f>'Data Aset'!F865</f>
        <v/>
      </c>
      <c r="E863" s="3" t="inlineStr">
        <is>
          <t>Inventaris Ruangan</t>
        </is>
      </c>
      <c r="F863" s="3">
        <f>'Data Aset'!C865</f>
        <v/>
      </c>
      <c r="G863" s="3">
        <f>'Data Aset'!J865</f>
        <v/>
      </c>
      <c r="H863" s="5">
        <f>'Data Aset'!M865</f>
        <v/>
      </c>
      <c r="I863" s="3">
        <f>'Data Aset'!O865</f>
        <v/>
      </c>
      <c r="J863" s="5" t="n">
        <v>0</v>
      </c>
      <c r="K863" s="3" t="inlineStr">
        <is>
          <t>Garis Lurus</t>
        </is>
      </c>
      <c r="L863" s="5">
        <f>IFERROR(M863/12,"")</f>
        <v/>
      </c>
      <c r="M863" s="5">
        <f>IFERROR((H863-J863)/I863,"")</f>
        <v/>
      </c>
      <c r="N863" s="5">
        <f>IFERROR(M863,"")</f>
        <v/>
      </c>
      <c r="O863" s="5">
        <f>IFERROR(H863-N863,"")</f>
        <v/>
      </c>
      <c r="P863" s="3" t="inlineStr">
        <is>
          <t>Belum dihitung</t>
        </is>
      </c>
      <c r="Q863" s="3" t="n"/>
    </row>
    <row r="864">
      <c r="A864" s="3" t="n">
        <v>863</v>
      </c>
      <c r="B864" s="3" t="inlineStr">
        <is>
          <t>Desember 2025</t>
        </is>
      </c>
      <c r="C864" s="3">
        <f>'Data Aset'!B866</f>
        <v/>
      </c>
      <c r="D864" s="3">
        <f>'Data Aset'!F866</f>
        <v/>
      </c>
      <c r="E864" s="3" t="inlineStr">
        <is>
          <t>Inventaris Ruangan</t>
        </is>
      </c>
      <c r="F864" s="3">
        <f>'Data Aset'!C866</f>
        <v/>
      </c>
      <c r="G864" s="3">
        <f>'Data Aset'!J866</f>
        <v/>
      </c>
      <c r="H864" s="5">
        <f>'Data Aset'!M866</f>
        <v/>
      </c>
      <c r="I864" s="3">
        <f>'Data Aset'!O866</f>
        <v/>
      </c>
      <c r="J864" s="5" t="n">
        <v>0</v>
      </c>
      <c r="K864" s="3" t="inlineStr">
        <is>
          <t>Garis Lurus</t>
        </is>
      </c>
      <c r="L864" s="5">
        <f>IFERROR(M864/12,"")</f>
        <v/>
      </c>
      <c r="M864" s="5">
        <f>IFERROR((H864-J864)/I864,"")</f>
        <v/>
      </c>
      <c r="N864" s="5">
        <f>IFERROR(M864,"")</f>
        <v/>
      </c>
      <c r="O864" s="5">
        <f>IFERROR(H864-N864,"")</f>
        <v/>
      </c>
      <c r="P864" s="3" t="inlineStr">
        <is>
          <t>Belum dihitung</t>
        </is>
      </c>
      <c r="Q864" s="3" t="n"/>
    </row>
    <row r="865">
      <c r="A865" s="3" t="n">
        <v>864</v>
      </c>
      <c r="B865" s="3" t="inlineStr">
        <is>
          <t>Desember 2025</t>
        </is>
      </c>
      <c r="C865" s="3">
        <f>'Data Aset'!B867</f>
        <v/>
      </c>
      <c r="D865" s="3">
        <f>'Data Aset'!F867</f>
        <v/>
      </c>
      <c r="E865" s="3" t="inlineStr">
        <is>
          <t>Inventaris Ruangan</t>
        </is>
      </c>
      <c r="F865" s="3">
        <f>'Data Aset'!C867</f>
        <v/>
      </c>
      <c r="G865" s="3">
        <f>'Data Aset'!J867</f>
        <v/>
      </c>
      <c r="H865" s="5">
        <f>'Data Aset'!M867</f>
        <v/>
      </c>
      <c r="I865" s="3">
        <f>'Data Aset'!O867</f>
        <v/>
      </c>
      <c r="J865" s="5" t="n">
        <v>0</v>
      </c>
      <c r="K865" s="3" t="inlineStr">
        <is>
          <t>Garis Lurus</t>
        </is>
      </c>
      <c r="L865" s="5">
        <f>IFERROR(M865/12,"")</f>
        <v/>
      </c>
      <c r="M865" s="5">
        <f>IFERROR((H865-J865)/I865,"")</f>
        <v/>
      </c>
      <c r="N865" s="5">
        <f>IFERROR(M865,"")</f>
        <v/>
      </c>
      <c r="O865" s="5">
        <f>IFERROR(H865-N865,"")</f>
        <v/>
      </c>
      <c r="P865" s="3" t="inlineStr">
        <is>
          <t>Belum dihitung</t>
        </is>
      </c>
      <c r="Q865" s="3" t="n"/>
    </row>
    <row r="866">
      <c r="A866" s="3" t="n">
        <v>865</v>
      </c>
      <c r="B866" s="3" t="inlineStr">
        <is>
          <t>Desember 2025</t>
        </is>
      </c>
      <c r="C866" s="3">
        <f>'Data Aset'!B868</f>
        <v/>
      </c>
      <c r="D866" s="3">
        <f>'Data Aset'!F868</f>
        <v/>
      </c>
      <c r="E866" s="3" t="inlineStr">
        <is>
          <t>Inventaris Ruangan</t>
        </is>
      </c>
      <c r="F866" s="3">
        <f>'Data Aset'!C868</f>
        <v/>
      </c>
      <c r="G866" s="3">
        <f>'Data Aset'!J868</f>
        <v/>
      </c>
      <c r="H866" s="5">
        <f>'Data Aset'!M868</f>
        <v/>
      </c>
      <c r="I866" s="3">
        <f>'Data Aset'!O868</f>
        <v/>
      </c>
      <c r="J866" s="5" t="n">
        <v>0</v>
      </c>
      <c r="K866" s="3" t="inlineStr">
        <is>
          <t>Garis Lurus</t>
        </is>
      </c>
      <c r="L866" s="5">
        <f>IFERROR(M866/12,"")</f>
        <v/>
      </c>
      <c r="M866" s="5">
        <f>IFERROR((H866-J866)/I866,"")</f>
        <v/>
      </c>
      <c r="N866" s="5">
        <f>IFERROR(M866,"")</f>
        <v/>
      </c>
      <c r="O866" s="5">
        <f>IFERROR(H866-N866,"")</f>
        <v/>
      </c>
      <c r="P866" s="3" t="inlineStr">
        <is>
          <t>Belum dihitung</t>
        </is>
      </c>
      <c r="Q866" s="3" t="n"/>
    </row>
    <row r="867">
      <c r="A867" s="3" t="n">
        <v>866</v>
      </c>
      <c r="B867" s="3" t="inlineStr">
        <is>
          <t>Desember 2025</t>
        </is>
      </c>
      <c r="C867" s="3">
        <f>'Data Aset'!B869</f>
        <v/>
      </c>
      <c r="D867" s="3">
        <f>'Data Aset'!F869</f>
        <v/>
      </c>
      <c r="E867" s="3" t="inlineStr">
        <is>
          <t>Inventaris Ruangan</t>
        </is>
      </c>
      <c r="F867" s="3">
        <f>'Data Aset'!C869</f>
        <v/>
      </c>
      <c r="G867" s="3">
        <f>'Data Aset'!J869</f>
        <v/>
      </c>
      <c r="H867" s="5">
        <f>'Data Aset'!M869</f>
        <v/>
      </c>
      <c r="I867" s="3">
        <f>'Data Aset'!O869</f>
        <v/>
      </c>
      <c r="J867" s="5" t="n">
        <v>0</v>
      </c>
      <c r="K867" s="3" t="inlineStr">
        <is>
          <t>Garis Lurus</t>
        </is>
      </c>
      <c r="L867" s="5">
        <f>IFERROR(M867/12,"")</f>
        <v/>
      </c>
      <c r="M867" s="5">
        <f>IFERROR((H867-J867)/I867,"")</f>
        <v/>
      </c>
      <c r="N867" s="5">
        <f>IFERROR(M867,"")</f>
        <v/>
      </c>
      <c r="O867" s="5">
        <f>IFERROR(H867-N867,"")</f>
        <v/>
      </c>
      <c r="P867" s="3" t="inlineStr">
        <is>
          <t>Belum dihitung</t>
        </is>
      </c>
      <c r="Q867" s="3" t="n"/>
    </row>
    <row r="868">
      <c r="A868" s="3" t="n">
        <v>867</v>
      </c>
      <c r="B868" s="3" t="inlineStr">
        <is>
          <t>Desember 2025</t>
        </is>
      </c>
      <c r="C868" s="3">
        <f>'Data Aset'!B870</f>
        <v/>
      </c>
      <c r="D868" s="3">
        <f>'Data Aset'!F870</f>
        <v/>
      </c>
      <c r="E868" s="3" t="inlineStr">
        <is>
          <t>Inventaris Ruangan</t>
        </is>
      </c>
      <c r="F868" s="3">
        <f>'Data Aset'!C870</f>
        <v/>
      </c>
      <c r="G868" s="3">
        <f>'Data Aset'!J870</f>
        <v/>
      </c>
      <c r="H868" s="5">
        <f>'Data Aset'!M870</f>
        <v/>
      </c>
      <c r="I868" s="3">
        <f>'Data Aset'!O870</f>
        <v/>
      </c>
      <c r="J868" s="5" t="n">
        <v>0</v>
      </c>
      <c r="K868" s="3" t="inlineStr">
        <is>
          <t>Garis Lurus</t>
        </is>
      </c>
      <c r="L868" s="5">
        <f>IFERROR(M868/12,"")</f>
        <v/>
      </c>
      <c r="M868" s="5">
        <f>IFERROR((H868-J868)/I868,"")</f>
        <v/>
      </c>
      <c r="N868" s="5">
        <f>IFERROR(M868,"")</f>
        <v/>
      </c>
      <c r="O868" s="5">
        <f>IFERROR(H868-N868,"")</f>
        <v/>
      </c>
      <c r="P868" s="3" t="inlineStr">
        <is>
          <t>Belum dihitung</t>
        </is>
      </c>
      <c r="Q868" s="3" t="n"/>
    </row>
    <row r="869">
      <c r="A869" s="3" t="n">
        <v>868</v>
      </c>
      <c r="B869" s="3" t="inlineStr">
        <is>
          <t>Desember 2025</t>
        </is>
      </c>
      <c r="C869" s="3">
        <f>'Data Aset'!B871</f>
        <v/>
      </c>
      <c r="D869" s="3">
        <f>'Data Aset'!F871</f>
        <v/>
      </c>
      <c r="E869" s="3" t="inlineStr">
        <is>
          <t>Inventaris Ruangan</t>
        </is>
      </c>
      <c r="F869" s="3">
        <f>'Data Aset'!C871</f>
        <v/>
      </c>
      <c r="G869" s="3">
        <f>'Data Aset'!J871</f>
        <v/>
      </c>
      <c r="H869" s="5">
        <f>'Data Aset'!M871</f>
        <v/>
      </c>
      <c r="I869" s="3">
        <f>'Data Aset'!O871</f>
        <v/>
      </c>
      <c r="J869" s="5" t="n">
        <v>0</v>
      </c>
      <c r="K869" s="3" t="inlineStr">
        <is>
          <t>Garis Lurus</t>
        </is>
      </c>
      <c r="L869" s="5">
        <f>IFERROR(M869/12,"")</f>
        <v/>
      </c>
      <c r="M869" s="5">
        <f>IFERROR((H869-J869)/I869,"")</f>
        <v/>
      </c>
      <c r="N869" s="5">
        <f>IFERROR(M869,"")</f>
        <v/>
      </c>
      <c r="O869" s="5">
        <f>IFERROR(H869-N869,"")</f>
        <v/>
      </c>
      <c r="P869" s="3" t="inlineStr">
        <is>
          <t>Belum dihitung</t>
        </is>
      </c>
      <c r="Q869" s="3" t="n"/>
    </row>
    <row r="870">
      <c r="A870" s="3" t="n">
        <v>869</v>
      </c>
      <c r="B870" s="3" t="inlineStr">
        <is>
          <t>Desember 2025</t>
        </is>
      </c>
      <c r="C870" s="3">
        <f>'Data Aset'!B872</f>
        <v/>
      </c>
      <c r="D870" s="3">
        <f>'Data Aset'!F872</f>
        <v/>
      </c>
      <c r="E870" s="3" t="inlineStr">
        <is>
          <t>Inventaris Ruangan</t>
        </is>
      </c>
      <c r="F870" s="3">
        <f>'Data Aset'!C872</f>
        <v/>
      </c>
      <c r="G870" s="3">
        <f>'Data Aset'!J872</f>
        <v/>
      </c>
      <c r="H870" s="5">
        <f>'Data Aset'!M872</f>
        <v/>
      </c>
      <c r="I870" s="3">
        <f>'Data Aset'!O872</f>
        <v/>
      </c>
      <c r="J870" s="5" t="n">
        <v>0</v>
      </c>
      <c r="K870" s="3" t="inlineStr">
        <is>
          <t>Garis Lurus</t>
        </is>
      </c>
      <c r="L870" s="5">
        <f>IFERROR(M870/12,"")</f>
        <v/>
      </c>
      <c r="M870" s="5">
        <f>IFERROR((H870-J870)/I870,"")</f>
        <v/>
      </c>
      <c r="N870" s="5">
        <f>IFERROR(M870,"")</f>
        <v/>
      </c>
      <c r="O870" s="5">
        <f>IFERROR(H870-N870,"")</f>
        <v/>
      </c>
      <c r="P870" s="3" t="inlineStr">
        <is>
          <t>Belum dihitung</t>
        </is>
      </c>
      <c r="Q870" s="3" t="n"/>
    </row>
    <row r="871">
      <c r="A871" s="3" t="n">
        <v>870</v>
      </c>
      <c r="B871" s="3" t="inlineStr">
        <is>
          <t>Desember 2025</t>
        </is>
      </c>
      <c r="C871" s="3">
        <f>'Data Aset'!B873</f>
        <v/>
      </c>
      <c r="D871" s="3">
        <f>'Data Aset'!F873</f>
        <v/>
      </c>
      <c r="E871" s="3" t="inlineStr">
        <is>
          <t>Inventaris Ruangan</t>
        </is>
      </c>
      <c r="F871" s="3">
        <f>'Data Aset'!C873</f>
        <v/>
      </c>
      <c r="G871" s="3">
        <f>'Data Aset'!J873</f>
        <v/>
      </c>
      <c r="H871" s="5">
        <f>'Data Aset'!M873</f>
        <v/>
      </c>
      <c r="I871" s="3">
        <f>'Data Aset'!O873</f>
        <v/>
      </c>
      <c r="J871" s="5" t="n">
        <v>0</v>
      </c>
      <c r="K871" s="3" t="inlineStr">
        <is>
          <t>Garis Lurus</t>
        </is>
      </c>
      <c r="L871" s="5">
        <f>IFERROR(M871/12,"")</f>
        <v/>
      </c>
      <c r="M871" s="5">
        <f>IFERROR((H871-J871)/I871,"")</f>
        <v/>
      </c>
      <c r="N871" s="5">
        <f>IFERROR(M871,"")</f>
        <v/>
      </c>
      <c r="O871" s="5">
        <f>IFERROR(H871-N871,"")</f>
        <v/>
      </c>
      <c r="P871" s="3" t="inlineStr">
        <is>
          <t>Belum dihitung</t>
        </is>
      </c>
      <c r="Q871" s="3" t="n"/>
    </row>
    <row r="872">
      <c r="A872" s="3" t="n">
        <v>871</v>
      </c>
      <c r="B872" s="3" t="inlineStr">
        <is>
          <t>Desember 2025</t>
        </is>
      </c>
      <c r="C872" s="3">
        <f>'Data Aset'!B874</f>
        <v/>
      </c>
      <c r="D872" s="3">
        <f>'Data Aset'!F874</f>
        <v/>
      </c>
      <c r="E872" s="3" t="inlineStr">
        <is>
          <t>Inventaris Ruangan</t>
        </is>
      </c>
      <c r="F872" s="3">
        <f>'Data Aset'!C874</f>
        <v/>
      </c>
      <c r="G872" s="3">
        <f>'Data Aset'!J874</f>
        <v/>
      </c>
      <c r="H872" s="5">
        <f>'Data Aset'!M874</f>
        <v/>
      </c>
      <c r="I872" s="3">
        <f>'Data Aset'!O874</f>
        <v/>
      </c>
      <c r="J872" s="5" t="n">
        <v>0</v>
      </c>
      <c r="K872" s="3" t="inlineStr">
        <is>
          <t>Garis Lurus</t>
        </is>
      </c>
      <c r="L872" s="5">
        <f>IFERROR(M872/12,"")</f>
        <v/>
      </c>
      <c r="M872" s="5">
        <f>IFERROR((H872-J872)/I872,"")</f>
        <v/>
      </c>
      <c r="N872" s="5">
        <f>IFERROR(M872,"")</f>
        <v/>
      </c>
      <c r="O872" s="5">
        <f>IFERROR(H872-N872,"")</f>
        <v/>
      </c>
      <c r="P872" s="3" t="inlineStr">
        <is>
          <t>Belum dihitung</t>
        </is>
      </c>
      <c r="Q872" s="3" t="n"/>
    </row>
    <row r="873">
      <c r="A873" s="3" t="n">
        <v>872</v>
      </c>
      <c r="B873" s="3" t="inlineStr">
        <is>
          <t>Desember 2025</t>
        </is>
      </c>
      <c r="C873" s="3">
        <f>'Data Aset'!B875</f>
        <v/>
      </c>
      <c r="D873" s="3">
        <f>'Data Aset'!F875</f>
        <v/>
      </c>
      <c r="E873" s="3" t="inlineStr">
        <is>
          <t>Inventaris Ruangan</t>
        </is>
      </c>
      <c r="F873" s="3">
        <f>'Data Aset'!C875</f>
        <v/>
      </c>
      <c r="G873" s="3">
        <f>'Data Aset'!J875</f>
        <v/>
      </c>
      <c r="H873" s="5">
        <f>'Data Aset'!M875</f>
        <v/>
      </c>
      <c r="I873" s="3">
        <f>'Data Aset'!O875</f>
        <v/>
      </c>
      <c r="J873" s="5" t="n">
        <v>0</v>
      </c>
      <c r="K873" s="3" t="inlineStr">
        <is>
          <t>Garis Lurus</t>
        </is>
      </c>
      <c r="L873" s="5">
        <f>IFERROR(M873/12,"")</f>
        <v/>
      </c>
      <c r="M873" s="5">
        <f>IFERROR((H873-J873)/I873,"")</f>
        <v/>
      </c>
      <c r="N873" s="5">
        <f>IFERROR(M873,"")</f>
        <v/>
      </c>
      <c r="O873" s="5">
        <f>IFERROR(H873-N873,"")</f>
        <v/>
      </c>
      <c r="P873" s="3" t="inlineStr">
        <is>
          <t>Belum dihitung</t>
        </is>
      </c>
      <c r="Q873" s="3" t="n"/>
    </row>
    <row r="874">
      <c r="A874" s="3" t="n">
        <v>873</v>
      </c>
      <c r="B874" s="3" t="inlineStr">
        <is>
          <t>Desember 2025</t>
        </is>
      </c>
      <c r="C874" s="3">
        <f>'Data Aset'!B876</f>
        <v/>
      </c>
      <c r="D874" s="3">
        <f>'Data Aset'!F876</f>
        <v/>
      </c>
      <c r="E874" s="3" t="inlineStr">
        <is>
          <t>Inventaris Ruangan</t>
        </is>
      </c>
      <c r="F874" s="3">
        <f>'Data Aset'!C876</f>
        <v/>
      </c>
      <c r="G874" s="3">
        <f>'Data Aset'!J876</f>
        <v/>
      </c>
      <c r="H874" s="5">
        <f>'Data Aset'!M876</f>
        <v/>
      </c>
      <c r="I874" s="3">
        <f>'Data Aset'!O876</f>
        <v/>
      </c>
      <c r="J874" s="5" t="n">
        <v>0</v>
      </c>
      <c r="K874" s="3" t="inlineStr">
        <is>
          <t>Garis Lurus</t>
        </is>
      </c>
      <c r="L874" s="5">
        <f>IFERROR(M874/12,"")</f>
        <v/>
      </c>
      <c r="M874" s="5">
        <f>IFERROR((H874-J874)/I874,"")</f>
        <v/>
      </c>
      <c r="N874" s="5">
        <f>IFERROR(M874,"")</f>
        <v/>
      </c>
      <c r="O874" s="5">
        <f>IFERROR(H874-N874,"")</f>
        <v/>
      </c>
      <c r="P874" s="3" t="inlineStr">
        <is>
          <t>Belum dihitung</t>
        </is>
      </c>
      <c r="Q874" s="3" t="n"/>
    </row>
    <row r="875">
      <c r="A875" s="3" t="n">
        <v>874</v>
      </c>
      <c r="B875" s="3" t="inlineStr">
        <is>
          <t>Desember 2025</t>
        </is>
      </c>
      <c r="C875" s="3">
        <f>'Data Aset'!B877</f>
        <v/>
      </c>
      <c r="D875" s="3">
        <f>'Data Aset'!F877</f>
        <v/>
      </c>
      <c r="E875" s="3" t="inlineStr">
        <is>
          <t>Inventaris Ruangan</t>
        </is>
      </c>
      <c r="F875" s="3">
        <f>'Data Aset'!C877</f>
        <v/>
      </c>
      <c r="G875" s="3">
        <f>'Data Aset'!J877</f>
        <v/>
      </c>
      <c r="H875" s="5">
        <f>'Data Aset'!M877</f>
        <v/>
      </c>
      <c r="I875" s="3">
        <f>'Data Aset'!O877</f>
        <v/>
      </c>
      <c r="J875" s="5" t="n">
        <v>0</v>
      </c>
      <c r="K875" s="3" t="inlineStr">
        <is>
          <t>Garis Lurus</t>
        </is>
      </c>
      <c r="L875" s="5">
        <f>IFERROR(M875/12,"")</f>
        <v/>
      </c>
      <c r="M875" s="5">
        <f>IFERROR((H875-J875)/I875,"")</f>
        <v/>
      </c>
      <c r="N875" s="5">
        <f>IFERROR(M875,"")</f>
        <v/>
      </c>
      <c r="O875" s="5">
        <f>IFERROR(H875-N875,"")</f>
        <v/>
      </c>
      <c r="P875" s="3" t="inlineStr">
        <is>
          <t>Belum dihitung</t>
        </is>
      </c>
      <c r="Q875" s="3" t="n"/>
    </row>
    <row r="876">
      <c r="A876" s="3" t="n">
        <v>875</v>
      </c>
      <c r="B876" s="3" t="inlineStr">
        <is>
          <t>Desember 2025</t>
        </is>
      </c>
      <c r="C876" s="3">
        <f>'Data Aset'!B878</f>
        <v/>
      </c>
      <c r="D876" s="3">
        <f>'Data Aset'!F878</f>
        <v/>
      </c>
      <c r="E876" s="3" t="inlineStr">
        <is>
          <t>Inventaris Ruangan</t>
        </is>
      </c>
      <c r="F876" s="3">
        <f>'Data Aset'!C878</f>
        <v/>
      </c>
      <c r="G876" s="3">
        <f>'Data Aset'!J878</f>
        <v/>
      </c>
      <c r="H876" s="5">
        <f>'Data Aset'!M878</f>
        <v/>
      </c>
      <c r="I876" s="3">
        <f>'Data Aset'!O878</f>
        <v/>
      </c>
      <c r="J876" s="5" t="n">
        <v>0</v>
      </c>
      <c r="K876" s="3" t="inlineStr">
        <is>
          <t>Garis Lurus</t>
        </is>
      </c>
      <c r="L876" s="5">
        <f>IFERROR(M876/12,"")</f>
        <v/>
      </c>
      <c r="M876" s="5">
        <f>IFERROR((H876-J876)/I876,"")</f>
        <v/>
      </c>
      <c r="N876" s="5">
        <f>IFERROR(M876,"")</f>
        <v/>
      </c>
      <c r="O876" s="5">
        <f>IFERROR(H876-N876,"")</f>
        <v/>
      </c>
      <c r="P876" s="3" t="inlineStr">
        <is>
          <t>Belum dihitung</t>
        </is>
      </c>
      <c r="Q876" s="3" t="n"/>
    </row>
    <row r="877">
      <c r="A877" s="3" t="n">
        <v>876</v>
      </c>
      <c r="B877" s="3" t="inlineStr">
        <is>
          <t>Desember 2025</t>
        </is>
      </c>
      <c r="C877" s="3">
        <f>'Data Aset'!B879</f>
        <v/>
      </c>
      <c r="D877" s="3">
        <f>'Data Aset'!F879</f>
        <v/>
      </c>
      <c r="E877" s="3" t="inlineStr">
        <is>
          <t>Inventaris Ruangan</t>
        </is>
      </c>
      <c r="F877" s="3">
        <f>'Data Aset'!C879</f>
        <v/>
      </c>
      <c r="G877" s="3">
        <f>'Data Aset'!J879</f>
        <v/>
      </c>
      <c r="H877" s="5">
        <f>'Data Aset'!M879</f>
        <v/>
      </c>
      <c r="I877" s="3">
        <f>'Data Aset'!O879</f>
        <v/>
      </c>
      <c r="J877" s="5" t="n">
        <v>0</v>
      </c>
      <c r="K877" s="3" t="inlineStr">
        <is>
          <t>Garis Lurus</t>
        </is>
      </c>
      <c r="L877" s="5">
        <f>IFERROR(M877/12,"")</f>
        <v/>
      </c>
      <c r="M877" s="5">
        <f>IFERROR((H877-J877)/I877,"")</f>
        <v/>
      </c>
      <c r="N877" s="5">
        <f>IFERROR(M877,"")</f>
        <v/>
      </c>
      <c r="O877" s="5">
        <f>IFERROR(H877-N877,"")</f>
        <v/>
      </c>
      <c r="P877" s="3" t="inlineStr">
        <is>
          <t>Belum dihitung</t>
        </is>
      </c>
      <c r="Q877" s="3" t="n"/>
    </row>
    <row r="878">
      <c r="A878" s="3" t="n">
        <v>877</v>
      </c>
      <c r="B878" s="3" t="inlineStr">
        <is>
          <t>Desember 2025</t>
        </is>
      </c>
      <c r="C878" s="3">
        <f>'Data Aset'!B880</f>
        <v/>
      </c>
      <c r="D878" s="3">
        <f>'Data Aset'!F880</f>
        <v/>
      </c>
      <c r="E878" s="3" t="inlineStr">
        <is>
          <t>Inventaris Ruangan</t>
        </is>
      </c>
      <c r="F878" s="3">
        <f>'Data Aset'!C880</f>
        <v/>
      </c>
      <c r="G878" s="3">
        <f>'Data Aset'!J880</f>
        <v/>
      </c>
      <c r="H878" s="5">
        <f>'Data Aset'!M880</f>
        <v/>
      </c>
      <c r="I878" s="3">
        <f>'Data Aset'!O880</f>
        <v/>
      </c>
      <c r="J878" s="5" t="n">
        <v>0</v>
      </c>
      <c r="K878" s="3" t="inlineStr">
        <is>
          <t>Garis Lurus</t>
        </is>
      </c>
      <c r="L878" s="5">
        <f>IFERROR(M878/12,"")</f>
        <v/>
      </c>
      <c r="M878" s="5">
        <f>IFERROR((H878-J878)/I878,"")</f>
        <v/>
      </c>
      <c r="N878" s="5">
        <f>IFERROR(M878,"")</f>
        <v/>
      </c>
      <c r="O878" s="5">
        <f>IFERROR(H878-N878,"")</f>
        <v/>
      </c>
      <c r="P878" s="3" t="inlineStr">
        <is>
          <t>Belum dihitung</t>
        </is>
      </c>
      <c r="Q878" s="3" t="n"/>
    </row>
    <row r="879">
      <c r="A879" s="3" t="n">
        <v>878</v>
      </c>
      <c r="B879" s="3" t="inlineStr">
        <is>
          <t>Desember 2025</t>
        </is>
      </c>
      <c r="C879" s="3">
        <f>'Data Aset'!B881</f>
        <v/>
      </c>
      <c r="D879" s="3">
        <f>'Data Aset'!F881</f>
        <v/>
      </c>
      <c r="E879" s="3" t="inlineStr">
        <is>
          <t>Inventaris Ruangan</t>
        </is>
      </c>
      <c r="F879" s="3">
        <f>'Data Aset'!C881</f>
        <v/>
      </c>
      <c r="G879" s="3">
        <f>'Data Aset'!J881</f>
        <v/>
      </c>
      <c r="H879" s="5">
        <f>'Data Aset'!M881</f>
        <v/>
      </c>
      <c r="I879" s="3">
        <f>'Data Aset'!O881</f>
        <v/>
      </c>
      <c r="J879" s="5" t="n">
        <v>0</v>
      </c>
      <c r="K879" s="3" t="inlineStr">
        <is>
          <t>Garis Lurus</t>
        </is>
      </c>
      <c r="L879" s="5">
        <f>IFERROR(M879/12,"")</f>
        <v/>
      </c>
      <c r="M879" s="5">
        <f>IFERROR((H879-J879)/I879,"")</f>
        <v/>
      </c>
      <c r="N879" s="5">
        <f>IFERROR(M879,"")</f>
        <v/>
      </c>
      <c r="O879" s="5">
        <f>IFERROR(H879-N879,"")</f>
        <v/>
      </c>
      <c r="P879" s="3" t="inlineStr">
        <is>
          <t>Belum dihitung</t>
        </is>
      </c>
      <c r="Q879" s="3" t="n"/>
    </row>
    <row r="880">
      <c r="A880" s="3" t="n">
        <v>879</v>
      </c>
      <c r="B880" s="3" t="inlineStr">
        <is>
          <t>Desember 2025</t>
        </is>
      </c>
      <c r="C880" s="3">
        <f>'Data Aset'!B882</f>
        <v/>
      </c>
      <c r="D880" s="3">
        <f>'Data Aset'!F882</f>
        <v/>
      </c>
      <c r="E880" s="3" t="inlineStr">
        <is>
          <t>Inventaris Ruangan</t>
        </is>
      </c>
      <c r="F880" s="3">
        <f>'Data Aset'!C882</f>
        <v/>
      </c>
      <c r="G880" s="3">
        <f>'Data Aset'!J882</f>
        <v/>
      </c>
      <c r="H880" s="5">
        <f>'Data Aset'!M882</f>
        <v/>
      </c>
      <c r="I880" s="3">
        <f>'Data Aset'!O882</f>
        <v/>
      </c>
      <c r="J880" s="5" t="n">
        <v>0</v>
      </c>
      <c r="K880" s="3" t="inlineStr">
        <is>
          <t>Garis Lurus</t>
        </is>
      </c>
      <c r="L880" s="5">
        <f>IFERROR(M880/12,"")</f>
        <v/>
      </c>
      <c r="M880" s="5">
        <f>IFERROR((H880-J880)/I880,"")</f>
        <v/>
      </c>
      <c r="N880" s="5">
        <f>IFERROR(M880,"")</f>
        <v/>
      </c>
      <c r="O880" s="5">
        <f>IFERROR(H880-N880,"")</f>
        <v/>
      </c>
      <c r="P880" s="3" t="inlineStr">
        <is>
          <t>Belum dihitung</t>
        </is>
      </c>
      <c r="Q880" s="3" t="n"/>
    </row>
    <row r="881">
      <c r="A881" s="3" t="n">
        <v>880</v>
      </c>
      <c r="B881" s="3" t="inlineStr">
        <is>
          <t>Desember 2025</t>
        </is>
      </c>
      <c r="C881" s="3">
        <f>'Data Aset'!B883</f>
        <v/>
      </c>
      <c r="D881" s="3">
        <f>'Data Aset'!F883</f>
        <v/>
      </c>
      <c r="E881" s="3" t="inlineStr">
        <is>
          <t>Inventaris Ruangan</t>
        </is>
      </c>
      <c r="F881" s="3">
        <f>'Data Aset'!C883</f>
        <v/>
      </c>
      <c r="G881" s="3">
        <f>'Data Aset'!J883</f>
        <v/>
      </c>
      <c r="H881" s="5">
        <f>'Data Aset'!M883</f>
        <v/>
      </c>
      <c r="I881" s="3">
        <f>'Data Aset'!O883</f>
        <v/>
      </c>
      <c r="J881" s="5" t="n">
        <v>0</v>
      </c>
      <c r="K881" s="3" t="inlineStr">
        <is>
          <t>Garis Lurus</t>
        </is>
      </c>
      <c r="L881" s="5">
        <f>IFERROR(M881/12,"")</f>
        <v/>
      </c>
      <c r="M881" s="5">
        <f>IFERROR((H881-J881)/I881,"")</f>
        <v/>
      </c>
      <c r="N881" s="5">
        <f>IFERROR(M881,"")</f>
        <v/>
      </c>
      <c r="O881" s="5">
        <f>IFERROR(H881-N881,"")</f>
        <v/>
      </c>
      <c r="P881" s="3" t="inlineStr">
        <is>
          <t>Belum dihitung</t>
        </is>
      </c>
      <c r="Q881" s="3" t="n"/>
    </row>
    <row r="882">
      <c r="A882" s="3" t="n">
        <v>881</v>
      </c>
      <c r="B882" s="3" t="inlineStr">
        <is>
          <t>Desember 2025</t>
        </is>
      </c>
      <c r="C882" s="3">
        <f>'Data Aset'!B884</f>
        <v/>
      </c>
      <c r="D882" s="3">
        <f>'Data Aset'!F884</f>
        <v/>
      </c>
      <c r="E882" s="3" t="inlineStr">
        <is>
          <t>Inventaris Ruangan</t>
        </is>
      </c>
      <c r="F882" s="3">
        <f>'Data Aset'!C884</f>
        <v/>
      </c>
      <c r="G882" s="3">
        <f>'Data Aset'!J884</f>
        <v/>
      </c>
      <c r="H882" s="5">
        <f>'Data Aset'!M884</f>
        <v/>
      </c>
      <c r="I882" s="3">
        <f>'Data Aset'!O884</f>
        <v/>
      </c>
      <c r="J882" s="5" t="n">
        <v>0</v>
      </c>
      <c r="K882" s="3" t="inlineStr">
        <is>
          <t>Garis Lurus</t>
        </is>
      </c>
      <c r="L882" s="5">
        <f>IFERROR(M882/12,"")</f>
        <v/>
      </c>
      <c r="M882" s="5">
        <f>IFERROR((H882-J882)/I882,"")</f>
        <v/>
      </c>
      <c r="N882" s="5">
        <f>IFERROR(M882,"")</f>
        <v/>
      </c>
      <c r="O882" s="5">
        <f>IFERROR(H882-N882,"")</f>
        <v/>
      </c>
      <c r="P882" s="3" t="inlineStr">
        <is>
          <t>Belum dihitung</t>
        </is>
      </c>
      <c r="Q882" s="3" t="n"/>
    </row>
    <row r="883">
      <c r="A883" s="3" t="n">
        <v>882</v>
      </c>
      <c r="B883" s="3" t="inlineStr">
        <is>
          <t>Desember 2025</t>
        </is>
      </c>
      <c r="C883" s="3">
        <f>'Data Aset'!B885</f>
        <v/>
      </c>
      <c r="D883" s="3">
        <f>'Data Aset'!F885</f>
        <v/>
      </c>
      <c r="E883" s="3" t="inlineStr">
        <is>
          <t>Inventaris Ruangan</t>
        </is>
      </c>
      <c r="F883" s="3">
        <f>'Data Aset'!C885</f>
        <v/>
      </c>
      <c r="G883" s="3">
        <f>'Data Aset'!J885</f>
        <v/>
      </c>
      <c r="H883" s="5">
        <f>'Data Aset'!M885</f>
        <v/>
      </c>
      <c r="I883" s="3">
        <f>'Data Aset'!O885</f>
        <v/>
      </c>
      <c r="J883" s="5" t="n">
        <v>0</v>
      </c>
      <c r="K883" s="3" t="inlineStr">
        <is>
          <t>Garis Lurus</t>
        </is>
      </c>
      <c r="L883" s="5">
        <f>IFERROR(M883/12,"")</f>
        <v/>
      </c>
      <c r="M883" s="5">
        <f>IFERROR((H883-J883)/I883,"")</f>
        <v/>
      </c>
      <c r="N883" s="5">
        <f>IFERROR(M883,"")</f>
        <v/>
      </c>
      <c r="O883" s="5">
        <f>IFERROR(H883-N883,"")</f>
        <v/>
      </c>
      <c r="P883" s="3" t="inlineStr">
        <is>
          <t>Belum dihitung</t>
        </is>
      </c>
      <c r="Q883" s="3" t="n"/>
    </row>
    <row r="884">
      <c r="A884" s="3" t="n">
        <v>883</v>
      </c>
      <c r="B884" s="3" t="inlineStr">
        <is>
          <t>Desember 2025</t>
        </is>
      </c>
      <c r="C884" s="3">
        <f>'Data Aset'!B886</f>
        <v/>
      </c>
      <c r="D884" s="3">
        <f>'Data Aset'!F886</f>
        <v/>
      </c>
      <c r="E884" s="3" t="inlineStr">
        <is>
          <t>Inventaris Ruangan</t>
        </is>
      </c>
      <c r="F884" s="3">
        <f>'Data Aset'!C886</f>
        <v/>
      </c>
      <c r="G884" s="3">
        <f>'Data Aset'!J886</f>
        <v/>
      </c>
      <c r="H884" s="5">
        <f>'Data Aset'!M886</f>
        <v/>
      </c>
      <c r="I884" s="3">
        <f>'Data Aset'!O886</f>
        <v/>
      </c>
      <c r="J884" s="5" t="n">
        <v>0</v>
      </c>
      <c r="K884" s="3" t="inlineStr">
        <is>
          <t>Garis Lurus</t>
        </is>
      </c>
      <c r="L884" s="5">
        <f>IFERROR(M884/12,"")</f>
        <v/>
      </c>
      <c r="M884" s="5">
        <f>IFERROR((H884-J884)/I884,"")</f>
        <v/>
      </c>
      <c r="N884" s="5">
        <f>IFERROR(M884,"")</f>
        <v/>
      </c>
      <c r="O884" s="5">
        <f>IFERROR(H884-N884,"")</f>
        <v/>
      </c>
      <c r="P884" s="3" t="inlineStr">
        <is>
          <t>Belum dihitung</t>
        </is>
      </c>
      <c r="Q884" s="3" t="n"/>
    </row>
    <row r="885">
      <c r="A885" s="3" t="n">
        <v>884</v>
      </c>
      <c r="B885" s="3" t="inlineStr">
        <is>
          <t>Desember 2025</t>
        </is>
      </c>
      <c r="C885" s="3">
        <f>'Data Aset'!B887</f>
        <v/>
      </c>
      <c r="D885" s="3">
        <f>'Data Aset'!F887</f>
        <v/>
      </c>
      <c r="E885" s="3" t="inlineStr">
        <is>
          <t>Inventaris Ruangan</t>
        </is>
      </c>
      <c r="F885" s="3">
        <f>'Data Aset'!C887</f>
        <v/>
      </c>
      <c r="G885" s="3">
        <f>'Data Aset'!J887</f>
        <v/>
      </c>
      <c r="H885" s="5">
        <f>'Data Aset'!M887</f>
        <v/>
      </c>
      <c r="I885" s="3">
        <f>'Data Aset'!O887</f>
        <v/>
      </c>
      <c r="J885" s="5" t="n">
        <v>0</v>
      </c>
      <c r="K885" s="3" t="inlineStr">
        <is>
          <t>Garis Lurus</t>
        </is>
      </c>
      <c r="L885" s="5">
        <f>IFERROR(M885/12,"")</f>
        <v/>
      </c>
      <c r="M885" s="5">
        <f>IFERROR((H885-J885)/I885,"")</f>
        <v/>
      </c>
      <c r="N885" s="5">
        <f>IFERROR(M885,"")</f>
        <v/>
      </c>
      <c r="O885" s="5">
        <f>IFERROR(H885-N885,"")</f>
        <v/>
      </c>
      <c r="P885" s="3" t="inlineStr">
        <is>
          <t>Belum dihitung</t>
        </is>
      </c>
      <c r="Q885" s="3" t="n"/>
    </row>
    <row r="886">
      <c r="A886" s="3" t="n">
        <v>885</v>
      </c>
      <c r="B886" s="3" t="inlineStr">
        <is>
          <t>Desember 2025</t>
        </is>
      </c>
      <c r="C886" s="3">
        <f>'Data Aset'!B888</f>
        <v/>
      </c>
      <c r="D886" s="3">
        <f>'Data Aset'!F888</f>
        <v/>
      </c>
      <c r="E886" s="3" t="inlineStr">
        <is>
          <t>Inventaris Ruangan</t>
        </is>
      </c>
      <c r="F886" s="3">
        <f>'Data Aset'!C888</f>
        <v/>
      </c>
      <c r="G886" s="3">
        <f>'Data Aset'!J888</f>
        <v/>
      </c>
      <c r="H886" s="5">
        <f>'Data Aset'!M888</f>
        <v/>
      </c>
      <c r="I886" s="3">
        <f>'Data Aset'!O888</f>
        <v/>
      </c>
      <c r="J886" s="5" t="n">
        <v>0</v>
      </c>
      <c r="K886" s="3" t="inlineStr">
        <is>
          <t>Garis Lurus</t>
        </is>
      </c>
      <c r="L886" s="5">
        <f>IFERROR(M886/12,"")</f>
        <v/>
      </c>
      <c r="M886" s="5">
        <f>IFERROR((H886-J886)/I886,"")</f>
        <v/>
      </c>
      <c r="N886" s="5">
        <f>IFERROR(M886,"")</f>
        <v/>
      </c>
      <c r="O886" s="5">
        <f>IFERROR(H886-N886,"")</f>
        <v/>
      </c>
      <c r="P886" s="3" t="inlineStr">
        <is>
          <t>Belum dihitung</t>
        </is>
      </c>
      <c r="Q886" s="3" t="n"/>
    </row>
    <row r="887">
      <c r="A887" s="3" t="n">
        <v>886</v>
      </c>
      <c r="B887" s="3" t="inlineStr">
        <is>
          <t>Desember 2025</t>
        </is>
      </c>
      <c r="C887" s="3">
        <f>'Data Aset'!B889</f>
        <v/>
      </c>
      <c r="D887" s="3">
        <f>'Data Aset'!F889</f>
        <v/>
      </c>
      <c r="E887" s="3" t="inlineStr">
        <is>
          <t>Inventaris Ruangan</t>
        </is>
      </c>
      <c r="F887" s="3">
        <f>'Data Aset'!C889</f>
        <v/>
      </c>
      <c r="G887" s="3">
        <f>'Data Aset'!J889</f>
        <v/>
      </c>
      <c r="H887" s="5">
        <f>'Data Aset'!M889</f>
        <v/>
      </c>
      <c r="I887" s="3">
        <f>'Data Aset'!O889</f>
        <v/>
      </c>
      <c r="J887" s="5" t="n">
        <v>0</v>
      </c>
      <c r="K887" s="3" t="inlineStr">
        <is>
          <t>Garis Lurus</t>
        </is>
      </c>
      <c r="L887" s="5">
        <f>IFERROR(M887/12,"")</f>
        <v/>
      </c>
      <c r="M887" s="5">
        <f>IFERROR((H887-J887)/I887,"")</f>
        <v/>
      </c>
      <c r="N887" s="5">
        <f>IFERROR(M887,"")</f>
        <v/>
      </c>
      <c r="O887" s="5">
        <f>IFERROR(H887-N887,"")</f>
        <v/>
      </c>
      <c r="P887" s="3" t="inlineStr">
        <is>
          <t>Belum dihitung</t>
        </is>
      </c>
      <c r="Q887" s="3" t="n"/>
    </row>
    <row r="888">
      <c r="A888" s="3" t="n">
        <v>887</v>
      </c>
      <c r="B888" s="3" t="inlineStr">
        <is>
          <t>Desember 2025</t>
        </is>
      </c>
      <c r="C888" s="3">
        <f>'Data Aset'!B890</f>
        <v/>
      </c>
      <c r="D888" s="3">
        <f>'Data Aset'!F890</f>
        <v/>
      </c>
      <c r="E888" s="3" t="inlineStr">
        <is>
          <t>Inventaris Ruangan</t>
        </is>
      </c>
      <c r="F888" s="3">
        <f>'Data Aset'!C890</f>
        <v/>
      </c>
      <c r="G888" s="3">
        <f>'Data Aset'!J890</f>
        <v/>
      </c>
      <c r="H888" s="5">
        <f>'Data Aset'!M890</f>
        <v/>
      </c>
      <c r="I888" s="3">
        <f>'Data Aset'!O890</f>
        <v/>
      </c>
      <c r="J888" s="5" t="n">
        <v>0</v>
      </c>
      <c r="K888" s="3" t="inlineStr">
        <is>
          <t>Garis Lurus</t>
        </is>
      </c>
      <c r="L888" s="5">
        <f>IFERROR(M888/12,"")</f>
        <v/>
      </c>
      <c r="M888" s="5">
        <f>IFERROR((H888-J888)/I888,"")</f>
        <v/>
      </c>
      <c r="N888" s="5">
        <f>IFERROR(M888,"")</f>
        <v/>
      </c>
      <c r="O888" s="5">
        <f>IFERROR(H888-N888,"")</f>
        <v/>
      </c>
      <c r="P888" s="3" t="inlineStr">
        <is>
          <t>Belum dihitung</t>
        </is>
      </c>
      <c r="Q888" s="3" t="n"/>
    </row>
    <row r="889">
      <c r="A889" s="3" t="n">
        <v>888</v>
      </c>
      <c r="B889" s="3" t="inlineStr">
        <is>
          <t>Desember 2025</t>
        </is>
      </c>
      <c r="C889" s="3">
        <f>'Data Aset'!B891</f>
        <v/>
      </c>
      <c r="D889" s="3">
        <f>'Data Aset'!F891</f>
        <v/>
      </c>
      <c r="E889" s="3" t="inlineStr">
        <is>
          <t>Inventaris Ruangan</t>
        </is>
      </c>
      <c r="F889" s="3">
        <f>'Data Aset'!C891</f>
        <v/>
      </c>
      <c r="G889" s="3">
        <f>'Data Aset'!J891</f>
        <v/>
      </c>
      <c r="H889" s="5">
        <f>'Data Aset'!M891</f>
        <v/>
      </c>
      <c r="I889" s="3">
        <f>'Data Aset'!O891</f>
        <v/>
      </c>
      <c r="J889" s="5" t="n">
        <v>0</v>
      </c>
      <c r="K889" s="3" t="inlineStr">
        <is>
          <t>Garis Lurus</t>
        </is>
      </c>
      <c r="L889" s="5">
        <f>IFERROR(M889/12,"")</f>
        <v/>
      </c>
      <c r="M889" s="5">
        <f>IFERROR((H889-J889)/I889,"")</f>
        <v/>
      </c>
      <c r="N889" s="5">
        <f>IFERROR(M889,"")</f>
        <v/>
      </c>
      <c r="O889" s="5">
        <f>IFERROR(H889-N889,"")</f>
        <v/>
      </c>
      <c r="P889" s="3" t="inlineStr">
        <is>
          <t>Belum dihitung</t>
        </is>
      </c>
      <c r="Q889" s="3" t="n"/>
    </row>
    <row r="890">
      <c r="A890" s="3" t="n">
        <v>889</v>
      </c>
      <c r="B890" s="3" t="inlineStr">
        <is>
          <t>Desember 2025</t>
        </is>
      </c>
      <c r="C890" s="3">
        <f>'Data Aset'!B892</f>
        <v/>
      </c>
      <c r="D890" s="3">
        <f>'Data Aset'!F892</f>
        <v/>
      </c>
      <c r="E890" s="3" t="inlineStr">
        <is>
          <t>Inventaris Ruangan</t>
        </is>
      </c>
      <c r="F890" s="3">
        <f>'Data Aset'!C892</f>
        <v/>
      </c>
      <c r="G890" s="3">
        <f>'Data Aset'!J892</f>
        <v/>
      </c>
      <c r="H890" s="5">
        <f>'Data Aset'!M892</f>
        <v/>
      </c>
      <c r="I890" s="3">
        <f>'Data Aset'!O892</f>
        <v/>
      </c>
      <c r="J890" s="5" t="n">
        <v>0</v>
      </c>
      <c r="K890" s="3" t="inlineStr">
        <is>
          <t>Garis Lurus</t>
        </is>
      </c>
      <c r="L890" s="5">
        <f>IFERROR(M890/12,"")</f>
        <v/>
      </c>
      <c r="M890" s="5">
        <f>IFERROR((H890-J890)/I890,"")</f>
        <v/>
      </c>
      <c r="N890" s="5">
        <f>IFERROR(M890,"")</f>
        <v/>
      </c>
      <c r="O890" s="5">
        <f>IFERROR(H890-N890,"")</f>
        <v/>
      </c>
      <c r="P890" s="3" t="inlineStr">
        <is>
          <t>Belum dihitung</t>
        </is>
      </c>
      <c r="Q890" s="3" t="n"/>
    </row>
    <row r="891">
      <c r="A891" s="3" t="n">
        <v>890</v>
      </c>
      <c r="B891" s="3" t="inlineStr">
        <is>
          <t>Desember 2025</t>
        </is>
      </c>
      <c r="C891" s="3">
        <f>'Data Aset'!B893</f>
        <v/>
      </c>
      <c r="D891" s="3">
        <f>'Data Aset'!F893</f>
        <v/>
      </c>
      <c r="E891" s="3" t="inlineStr">
        <is>
          <t>Inventaris Ruangan</t>
        </is>
      </c>
      <c r="F891" s="3">
        <f>'Data Aset'!C893</f>
        <v/>
      </c>
      <c r="G891" s="3">
        <f>'Data Aset'!J893</f>
        <v/>
      </c>
      <c r="H891" s="5">
        <f>'Data Aset'!M893</f>
        <v/>
      </c>
      <c r="I891" s="3">
        <f>'Data Aset'!O893</f>
        <v/>
      </c>
      <c r="J891" s="5" t="n">
        <v>0</v>
      </c>
      <c r="K891" s="3" t="inlineStr">
        <is>
          <t>Garis Lurus</t>
        </is>
      </c>
      <c r="L891" s="5">
        <f>IFERROR(M891/12,"")</f>
        <v/>
      </c>
      <c r="M891" s="5">
        <f>IFERROR((H891-J891)/I891,"")</f>
        <v/>
      </c>
      <c r="N891" s="5">
        <f>IFERROR(M891,"")</f>
        <v/>
      </c>
      <c r="O891" s="5">
        <f>IFERROR(H891-N891,"")</f>
        <v/>
      </c>
      <c r="P891" s="3" t="inlineStr">
        <is>
          <t>Belum dihitung</t>
        </is>
      </c>
      <c r="Q891" s="3" t="n"/>
    </row>
    <row r="892">
      <c r="A892" s="3" t="n">
        <v>891</v>
      </c>
      <c r="B892" s="3" t="inlineStr">
        <is>
          <t>Desember 2025</t>
        </is>
      </c>
      <c r="C892" s="3">
        <f>'Data Aset'!B894</f>
        <v/>
      </c>
      <c r="D892" s="3">
        <f>'Data Aset'!F894</f>
        <v/>
      </c>
      <c r="E892" s="3" t="inlineStr">
        <is>
          <t>Inventaris Ruangan</t>
        </is>
      </c>
      <c r="F892" s="3">
        <f>'Data Aset'!C894</f>
        <v/>
      </c>
      <c r="G892" s="3">
        <f>'Data Aset'!J894</f>
        <v/>
      </c>
      <c r="H892" s="5">
        <f>'Data Aset'!M894</f>
        <v/>
      </c>
      <c r="I892" s="3">
        <f>'Data Aset'!O894</f>
        <v/>
      </c>
      <c r="J892" s="5" t="n">
        <v>0</v>
      </c>
      <c r="K892" s="3" t="inlineStr">
        <is>
          <t>Garis Lurus</t>
        </is>
      </c>
      <c r="L892" s="5">
        <f>IFERROR(M892/12,"")</f>
        <v/>
      </c>
      <c r="M892" s="5">
        <f>IFERROR((H892-J892)/I892,"")</f>
        <v/>
      </c>
      <c r="N892" s="5">
        <f>IFERROR(M892,"")</f>
        <v/>
      </c>
      <c r="O892" s="5">
        <f>IFERROR(H892-N892,"")</f>
        <v/>
      </c>
      <c r="P892" s="3" t="inlineStr">
        <is>
          <t>Belum dihitung</t>
        </is>
      </c>
      <c r="Q892" s="3" t="n"/>
    </row>
  </sheetData>
  <autoFilter ref="A1:Q89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0" t="inlineStr">
        <is>
          <t>No Jurnal</t>
        </is>
      </c>
      <c r="B1" s="10" t="inlineStr">
        <is>
          <t>Tanggal Jurnal</t>
        </is>
      </c>
      <c r="C1" s="10" t="inlineStr">
        <is>
          <t>Periode</t>
        </is>
      </c>
      <c r="D1" s="10" t="inlineStr">
        <is>
          <t>Kode Aset</t>
        </is>
      </c>
      <c r="E1" s="10" t="inlineStr">
        <is>
          <t>Nama Aset</t>
        </is>
      </c>
      <c r="F1" s="10" t="inlineStr">
        <is>
          <t>Kategori Aset</t>
        </is>
      </c>
      <c r="G1" s="10" t="inlineStr">
        <is>
          <t>Kode Akun Debit</t>
        </is>
      </c>
      <c r="H1" s="10" t="inlineStr">
        <is>
          <t>Nama Akun Debit</t>
        </is>
      </c>
      <c r="I1" s="10" t="inlineStr">
        <is>
          <t>Debit</t>
        </is>
      </c>
      <c r="J1" s="10" t="inlineStr">
        <is>
          <t>Kode Akun Kredit</t>
        </is>
      </c>
      <c r="K1" s="10" t="inlineStr">
        <is>
          <t>Nama Akun Kredit</t>
        </is>
      </c>
      <c r="L1" s="10" t="inlineStr">
        <is>
          <t>Kredit</t>
        </is>
      </c>
      <c r="M1" s="10" t="inlineStr">
        <is>
          <t>Keterangan</t>
        </is>
      </c>
    </row>
    <row r="2">
      <c r="A2" s="3">
        <f>IF(Penyusutan!D2="","","JRN-"&amp;TEXT(ROW()-1,"0000"))</f>
        <v/>
      </c>
      <c r="B2" s="4" t="n">
        <v>46022</v>
      </c>
      <c r="C2" s="3">
        <f>Penyusutan!B2</f>
        <v/>
      </c>
      <c r="D2" s="3">
        <f>Penyusutan!C2</f>
        <v/>
      </c>
      <c r="E2" s="3">
        <f>Penyusutan!D2</f>
        <v/>
      </c>
      <c r="F2" s="3" t="inlineStr">
        <is>
          <t>Inventaris Ruangan</t>
        </is>
      </c>
      <c r="G2" s="3" t="inlineStr"/>
      <c r="H2" s="3" t="inlineStr">
        <is>
          <t>Beban Penyusutan Inventaris Ruangan</t>
        </is>
      </c>
      <c r="I2" s="5">
        <f>Penyusutan!M2</f>
        <v/>
      </c>
      <c r="J2" s="3" t="inlineStr"/>
      <c r="K2" s="3" t="inlineStr">
        <is>
          <t>Akumulasi Penyusutan Inventaris Ruangan</t>
        </is>
      </c>
      <c r="L2" s="5">
        <f>Penyusutan!M2</f>
        <v/>
      </c>
      <c r="M2" s="3">
        <f>IF(E2="","","Penyusutan "&amp;E2&amp;" periode "&amp;C2)</f>
        <v/>
      </c>
    </row>
    <row r="3">
      <c r="A3" s="3">
        <f>IF(Penyusutan!D3="","","JRN-"&amp;TEXT(ROW()-1,"0000"))</f>
        <v/>
      </c>
      <c r="B3" s="4" t="n">
        <v>46022</v>
      </c>
      <c r="C3" s="3">
        <f>Penyusutan!B3</f>
        <v/>
      </c>
      <c r="D3" s="3">
        <f>Penyusutan!C3</f>
        <v/>
      </c>
      <c r="E3" s="3">
        <f>Penyusutan!D3</f>
        <v/>
      </c>
      <c r="F3" s="3" t="inlineStr">
        <is>
          <t>Inventaris Ruangan</t>
        </is>
      </c>
      <c r="G3" s="3" t="inlineStr"/>
      <c r="H3" s="3" t="inlineStr">
        <is>
          <t>Beban Penyusutan Inventaris Ruangan</t>
        </is>
      </c>
      <c r="I3" s="5">
        <f>Penyusutan!M3</f>
        <v/>
      </c>
      <c r="J3" s="3" t="inlineStr"/>
      <c r="K3" s="3" t="inlineStr">
        <is>
          <t>Akumulasi Penyusutan Inventaris Ruangan</t>
        </is>
      </c>
      <c r="L3" s="5">
        <f>Penyusutan!M3</f>
        <v/>
      </c>
      <c r="M3" s="3">
        <f>IF(E3="","","Penyusutan "&amp;E3&amp;" periode "&amp;C3)</f>
        <v/>
      </c>
    </row>
    <row r="4">
      <c r="A4" s="3">
        <f>IF(Penyusutan!D4="","","JRN-"&amp;TEXT(ROW()-1,"0000"))</f>
        <v/>
      </c>
      <c r="B4" s="4" t="n">
        <v>46022</v>
      </c>
      <c r="C4" s="3">
        <f>Penyusutan!B4</f>
        <v/>
      </c>
      <c r="D4" s="3">
        <f>Penyusutan!C4</f>
        <v/>
      </c>
      <c r="E4" s="3">
        <f>Penyusutan!D4</f>
        <v/>
      </c>
      <c r="F4" s="3" t="inlineStr">
        <is>
          <t>Inventaris Ruangan</t>
        </is>
      </c>
      <c r="G4" s="3" t="inlineStr"/>
      <c r="H4" s="3" t="inlineStr">
        <is>
          <t>Beban Penyusutan Inventaris Ruangan</t>
        </is>
      </c>
      <c r="I4" s="5">
        <f>Penyusutan!M4</f>
        <v/>
      </c>
      <c r="J4" s="3" t="inlineStr"/>
      <c r="K4" s="3" t="inlineStr">
        <is>
          <t>Akumulasi Penyusutan Inventaris Ruangan</t>
        </is>
      </c>
      <c r="L4" s="5">
        <f>Penyusutan!M4</f>
        <v/>
      </c>
      <c r="M4" s="3">
        <f>IF(E4="","","Penyusutan "&amp;E4&amp;" periode "&amp;C4)</f>
        <v/>
      </c>
    </row>
    <row r="5">
      <c r="A5" s="3">
        <f>IF(Penyusutan!D5="","","JRN-"&amp;TEXT(ROW()-1,"0000"))</f>
        <v/>
      </c>
      <c r="B5" s="4" t="n">
        <v>46022</v>
      </c>
      <c r="C5" s="3">
        <f>Penyusutan!B5</f>
        <v/>
      </c>
      <c r="D5" s="3">
        <f>Penyusutan!C5</f>
        <v/>
      </c>
      <c r="E5" s="3">
        <f>Penyusutan!D5</f>
        <v/>
      </c>
      <c r="F5" s="3" t="inlineStr">
        <is>
          <t>Inventaris Ruangan</t>
        </is>
      </c>
      <c r="G5" s="3" t="inlineStr"/>
      <c r="H5" s="3" t="inlineStr">
        <is>
          <t>Beban Penyusutan Inventaris Ruangan</t>
        </is>
      </c>
      <c r="I5" s="5">
        <f>Penyusutan!M5</f>
        <v/>
      </c>
      <c r="J5" s="3" t="inlineStr"/>
      <c r="K5" s="3" t="inlineStr">
        <is>
          <t>Akumulasi Penyusutan Inventaris Ruangan</t>
        </is>
      </c>
      <c r="L5" s="5">
        <f>Penyusutan!M5</f>
        <v/>
      </c>
      <c r="M5" s="3">
        <f>IF(E5="","","Penyusutan "&amp;E5&amp;" periode "&amp;C5)</f>
        <v/>
      </c>
    </row>
    <row r="6">
      <c r="A6" s="3">
        <f>IF(Penyusutan!D6="","","JRN-"&amp;TEXT(ROW()-1,"0000"))</f>
        <v/>
      </c>
      <c r="B6" s="4" t="n">
        <v>46022</v>
      </c>
      <c r="C6" s="3">
        <f>Penyusutan!B6</f>
        <v/>
      </c>
      <c r="D6" s="3">
        <f>Penyusutan!C6</f>
        <v/>
      </c>
      <c r="E6" s="3">
        <f>Penyusutan!D6</f>
        <v/>
      </c>
      <c r="F6" s="3" t="inlineStr">
        <is>
          <t>Inventaris Ruangan</t>
        </is>
      </c>
      <c r="G6" s="3" t="inlineStr"/>
      <c r="H6" s="3" t="inlineStr">
        <is>
          <t>Beban Penyusutan Inventaris Ruangan</t>
        </is>
      </c>
      <c r="I6" s="5">
        <f>Penyusutan!M6</f>
        <v/>
      </c>
      <c r="J6" s="3" t="inlineStr"/>
      <c r="K6" s="3" t="inlineStr">
        <is>
          <t>Akumulasi Penyusutan Inventaris Ruangan</t>
        </is>
      </c>
      <c r="L6" s="5">
        <f>Penyusutan!M6</f>
        <v/>
      </c>
      <c r="M6" s="3">
        <f>IF(E6="","","Penyusutan "&amp;E6&amp;" periode "&amp;C6)</f>
        <v/>
      </c>
    </row>
    <row r="7">
      <c r="A7" s="3">
        <f>IF(Penyusutan!D7="","","JRN-"&amp;TEXT(ROW()-1,"0000"))</f>
        <v/>
      </c>
      <c r="B7" s="4" t="n">
        <v>46022</v>
      </c>
      <c r="C7" s="3">
        <f>Penyusutan!B7</f>
        <v/>
      </c>
      <c r="D7" s="3">
        <f>Penyusutan!C7</f>
        <v/>
      </c>
      <c r="E7" s="3">
        <f>Penyusutan!D7</f>
        <v/>
      </c>
      <c r="F7" s="3" t="inlineStr">
        <is>
          <t>Inventaris Ruangan</t>
        </is>
      </c>
      <c r="G7" s="3" t="inlineStr"/>
      <c r="H7" s="3" t="inlineStr">
        <is>
          <t>Beban Penyusutan Inventaris Ruangan</t>
        </is>
      </c>
      <c r="I7" s="5">
        <f>Penyusutan!M7</f>
        <v/>
      </c>
      <c r="J7" s="3" t="inlineStr"/>
      <c r="K7" s="3" t="inlineStr">
        <is>
          <t>Akumulasi Penyusutan Inventaris Ruangan</t>
        </is>
      </c>
      <c r="L7" s="5">
        <f>Penyusutan!M7</f>
        <v/>
      </c>
      <c r="M7" s="3">
        <f>IF(E7="","","Penyusutan "&amp;E7&amp;" periode "&amp;C7)</f>
        <v/>
      </c>
    </row>
    <row r="8">
      <c r="A8" s="3">
        <f>IF(Penyusutan!D8="","","JRN-"&amp;TEXT(ROW()-1,"0000"))</f>
        <v/>
      </c>
      <c r="B8" s="4" t="n">
        <v>46022</v>
      </c>
      <c r="C8" s="3">
        <f>Penyusutan!B8</f>
        <v/>
      </c>
      <c r="D8" s="3">
        <f>Penyusutan!C8</f>
        <v/>
      </c>
      <c r="E8" s="3">
        <f>Penyusutan!D8</f>
        <v/>
      </c>
      <c r="F8" s="3" t="inlineStr">
        <is>
          <t>Inventaris Ruangan</t>
        </is>
      </c>
      <c r="G8" s="3" t="inlineStr"/>
      <c r="H8" s="3" t="inlineStr">
        <is>
          <t>Beban Penyusutan Inventaris Ruangan</t>
        </is>
      </c>
      <c r="I8" s="5">
        <f>Penyusutan!M8</f>
        <v/>
      </c>
      <c r="J8" s="3" t="inlineStr"/>
      <c r="K8" s="3" t="inlineStr">
        <is>
          <t>Akumulasi Penyusutan Inventaris Ruangan</t>
        </is>
      </c>
      <c r="L8" s="5">
        <f>Penyusutan!M8</f>
        <v/>
      </c>
      <c r="M8" s="3">
        <f>IF(E8="","","Penyusutan "&amp;E8&amp;" periode "&amp;C8)</f>
        <v/>
      </c>
    </row>
    <row r="9">
      <c r="A9" s="3">
        <f>IF(Penyusutan!D9="","","JRN-"&amp;TEXT(ROW()-1,"0000"))</f>
        <v/>
      </c>
      <c r="B9" s="4" t="n">
        <v>46022</v>
      </c>
      <c r="C9" s="3">
        <f>Penyusutan!B9</f>
        <v/>
      </c>
      <c r="D9" s="3">
        <f>Penyusutan!C9</f>
        <v/>
      </c>
      <c r="E9" s="3">
        <f>Penyusutan!D9</f>
        <v/>
      </c>
      <c r="F9" s="3" t="inlineStr">
        <is>
          <t>Inventaris Ruangan</t>
        </is>
      </c>
      <c r="G9" s="3" t="inlineStr"/>
      <c r="H9" s="3" t="inlineStr">
        <is>
          <t>Beban Penyusutan Inventaris Ruangan</t>
        </is>
      </c>
      <c r="I9" s="5">
        <f>Penyusutan!M9</f>
        <v/>
      </c>
      <c r="J9" s="3" t="inlineStr"/>
      <c r="K9" s="3" t="inlineStr">
        <is>
          <t>Akumulasi Penyusutan Inventaris Ruangan</t>
        </is>
      </c>
      <c r="L9" s="5">
        <f>Penyusutan!M9</f>
        <v/>
      </c>
      <c r="M9" s="3">
        <f>IF(E9="","","Penyusutan "&amp;E9&amp;" periode "&amp;C9)</f>
        <v/>
      </c>
    </row>
    <row r="10">
      <c r="A10" s="3">
        <f>IF(Penyusutan!D10="","","JRN-"&amp;TEXT(ROW()-1,"0000"))</f>
        <v/>
      </c>
      <c r="B10" s="4" t="n">
        <v>46022</v>
      </c>
      <c r="C10" s="3">
        <f>Penyusutan!B10</f>
        <v/>
      </c>
      <c r="D10" s="3">
        <f>Penyusutan!C10</f>
        <v/>
      </c>
      <c r="E10" s="3">
        <f>Penyusutan!D10</f>
        <v/>
      </c>
      <c r="F10" s="3" t="inlineStr">
        <is>
          <t>Inventaris Ruangan</t>
        </is>
      </c>
      <c r="G10" s="3" t="inlineStr"/>
      <c r="H10" s="3" t="inlineStr">
        <is>
          <t>Beban Penyusutan Inventaris Ruangan</t>
        </is>
      </c>
      <c r="I10" s="5">
        <f>Penyusutan!M10</f>
        <v/>
      </c>
      <c r="J10" s="3" t="inlineStr"/>
      <c r="K10" s="3" t="inlineStr">
        <is>
          <t>Akumulasi Penyusutan Inventaris Ruangan</t>
        </is>
      </c>
      <c r="L10" s="5">
        <f>Penyusutan!M10</f>
        <v/>
      </c>
      <c r="M10" s="3">
        <f>IF(E10="","","Penyusutan "&amp;E10&amp;" periode "&amp;C10)</f>
        <v/>
      </c>
    </row>
    <row r="11">
      <c r="A11" s="3">
        <f>IF(Penyusutan!D11="","","JRN-"&amp;TEXT(ROW()-1,"0000"))</f>
        <v/>
      </c>
      <c r="B11" s="4" t="n">
        <v>46022</v>
      </c>
      <c r="C11" s="3">
        <f>Penyusutan!B11</f>
        <v/>
      </c>
      <c r="D11" s="3">
        <f>Penyusutan!C11</f>
        <v/>
      </c>
      <c r="E11" s="3">
        <f>Penyusutan!D11</f>
        <v/>
      </c>
      <c r="F11" s="3" t="inlineStr">
        <is>
          <t>Inventaris Ruangan</t>
        </is>
      </c>
      <c r="G11" s="3" t="inlineStr"/>
      <c r="H11" s="3" t="inlineStr">
        <is>
          <t>Beban Penyusutan Inventaris Ruangan</t>
        </is>
      </c>
      <c r="I11" s="5">
        <f>Penyusutan!M11</f>
        <v/>
      </c>
      <c r="J11" s="3" t="inlineStr"/>
      <c r="K11" s="3" t="inlineStr">
        <is>
          <t>Akumulasi Penyusutan Inventaris Ruangan</t>
        </is>
      </c>
      <c r="L11" s="5">
        <f>Penyusutan!M11</f>
        <v/>
      </c>
      <c r="M11" s="3">
        <f>IF(E11="","","Penyusutan "&amp;E11&amp;" periode "&amp;C11)</f>
        <v/>
      </c>
    </row>
    <row r="12">
      <c r="A12" s="3">
        <f>IF(Penyusutan!D12="","","JRN-"&amp;TEXT(ROW()-1,"0000"))</f>
        <v/>
      </c>
      <c r="B12" s="4" t="n">
        <v>46022</v>
      </c>
      <c r="C12" s="3">
        <f>Penyusutan!B12</f>
        <v/>
      </c>
      <c r="D12" s="3">
        <f>Penyusutan!C12</f>
        <v/>
      </c>
      <c r="E12" s="3">
        <f>Penyusutan!D12</f>
        <v/>
      </c>
      <c r="F12" s="3" t="inlineStr">
        <is>
          <t>Inventaris Ruangan</t>
        </is>
      </c>
      <c r="G12" s="3" t="inlineStr"/>
      <c r="H12" s="3" t="inlineStr">
        <is>
          <t>Beban Penyusutan Inventaris Ruangan</t>
        </is>
      </c>
      <c r="I12" s="5">
        <f>Penyusutan!M12</f>
        <v/>
      </c>
      <c r="J12" s="3" t="inlineStr"/>
      <c r="K12" s="3" t="inlineStr">
        <is>
          <t>Akumulasi Penyusutan Inventaris Ruangan</t>
        </is>
      </c>
      <c r="L12" s="5">
        <f>Penyusutan!M12</f>
        <v/>
      </c>
      <c r="M12" s="3">
        <f>IF(E12="","","Penyusutan "&amp;E12&amp;" periode "&amp;C12)</f>
        <v/>
      </c>
    </row>
    <row r="13">
      <c r="A13" s="3">
        <f>IF(Penyusutan!D13="","","JRN-"&amp;TEXT(ROW()-1,"0000"))</f>
        <v/>
      </c>
      <c r="B13" s="4" t="n">
        <v>46022</v>
      </c>
      <c r="C13" s="3">
        <f>Penyusutan!B13</f>
        <v/>
      </c>
      <c r="D13" s="3">
        <f>Penyusutan!C13</f>
        <v/>
      </c>
      <c r="E13" s="3">
        <f>Penyusutan!D13</f>
        <v/>
      </c>
      <c r="F13" s="3" t="inlineStr">
        <is>
          <t>Inventaris Ruangan</t>
        </is>
      </c>
      <c r="G13" s="3" t="inlineStr"/>
      <c r="H13" s="3" t="inlineStr">
        <is>
          <t>Beban Penyusutan Inventaris Ruangan</t>
        </is>
      </c>
      <c r="I13" s="5">
        <f>Penyusutan!M13</f>
        <v/>
      </c>
      <c r="J13" s="3" t="inlineStr"/>
      <c r="K13" s="3" t="inlineStr">
        <is>
          <t>Akumulasi Penyusutan Inventaris Ruangan</t>
        </is>
      </c>
      <c r="L13" s="5">
        <f>Penyusutan!M13</f>
        <v/>
      </c>
      <c r="M13" s="3">
        <f>IF(E13="","","Penyusutan "&amp;E13&amp;" periode "&amp;C13)</f>
        <v/>
      </c>
    </row>
    <row r="14">
      <c r="A14" s="3">
        <f>IF(Penyusutan!D14="","","JRN-"&amp;TEXT(ROW()-1,"0000"))</f>
        <v/>
      </c>
      <c r="B14" s="4" t="n">
        <v>46022</v>
      </c>
      <c r="C14" s="3">
        <f>Penyusutan!B14</f>
        <v/>
      </c>
      <c r="D14" s="3">
        <f>Penyusutan!C14</f>
        <v/>
      </c>
      <c r="E14" s="3">
        <f>Penyusutan!D14</f>
        <v/>
      </c>
      <c r="F14" s="3" t="inlineStr">
        <is>
          <t>Inventaris Ruangan</t>
        </is>
      </c>
      <c r="G14" s="3" t="inlineStr"/>
      <c r="H14" s="3" t="inlineStr">
        <is>
          <t>Beban Penyusutan Inventaris Ruangan</t>
        </is>
      </c>
      <c r="I14" s="5">
        <f>Penyusutan!M14</f>
        <v/>
      </c>
      <c r="J14" s="3" t="inlineStr"/>
      <c r="K14" s="3" t="inlineStr">
        <is>
          <t>Akumulasi Penyusutan Inventaris Ruangan</t>
        </is>
      </c>
      <c r="L14" s="5">
        <f>Penyusutan!M14</f>
        <v/>
      </c>
      <c r="M14" s="3">
        <f>IF(E14="","","Penyusutan "&amp;E14&amp;" periode "&amp;C14)</f>
        <v/>
      </c>
    </row>
    <row r="15">
      <c r="A15" s="3">
        <f>IF(Penyusutan!D15="","","JRN-"&amp;TEXT(ROW()-1,"0000"))</f>
        <v/>
      </c>
      <c r="B15" s="4" t="n">
        <v>46022</v>
      </c>
      <c r="C15" s="3">
        <f>Penyusutan!B15</f>
        <v/>
      </c>
      <c r="D15" s="3">
        <f>Penyusutan!C15</f>
        <v/>
      </c>
      <c r="E15" s="3">
        <f>Penyusutan!D15</f>
        <v/>
      </c>
      <c r="F15" s="3" t="inlineStr">
        <is>
          <t>Inventaris Ruangan</t>
        </is>
      </c>
      <c r="G15" s="3" t="inlineStr"/>
      <c r="H15" s="3" t="inlineStr">
        <is>
          <t>Beban Penyusutan Inventaris Ruangan</t>
        </is>
      </c>
      <c r="I15" s="5">
        <f>Penyusutan!M15</f>
        <v/>
      </c>
      <c r="J15" s="3" t="inlineStr"/>
      <c r="K15" s="3" t="inlineStr">
        <is>
          <t>Akumulasi Penyusutan Inventaris Ruangan</t>
        </is>
      </c>
      <c r="L15" s="5">
        <f>Penyusutan!M15</f>
        <v/>
      </c>
      <c r="M15" s="3">
        <f>IF(E15="","","Penyusutan "&amp;E15&amp;" periode "&amp;C15)</f>
        <v/>
      </c>
    </row>
    <row r="16">
      <c r="A16" s="3">
        <f>IF(Penyusutan!D16="","","JRN-"&amp;TEXT(ROW()-1,"0000"))</f>
        <v/>
      </c>
      <c r="B16" s="4" t="n">
        <v>46022</v>
      </c>
      <c r="C16" s="3">
        <f>Penyusutan!B16</f>
        <v/>
      </c>
      <c r="D16" s="3">
        <f>Penyusutan!C16</f>
        <v/>
      </c>
      <c r="E16" s="3">
        <f>Penyusutan!D16</f>
        <v/>
      </c>
      <c r="F16" s="3" t="inlineStr">
        <is>
          <t>Inventaris Ruangan</t>
        </is>
      </c>
      <c r="G16" s="3" t="inlineStr"/>
      <c r="H16" s="3" t="inlineStr">
        <is>
          <t>Beban Penyusutan Inventaris Ruangan</t>
        </is>
      </c>
      <c r="I16" s="5">
        <f>Penyusutan!M16</f>
        <v/>
      </c>
      <c r="J16" s="3" t="inlineStr"/>
      <c r="K16" s="3" t="inlineStr">
        <is>
          <t>Akumulasi Penyusutan Inventaris Ruangan</t>
        </is>
      </c>
      <c r="L16" s="5">
        <f>Penyusutan!M16</f>
        <v/>
      </c>
      <c r="M16" s="3">
        <f>IF(E16="","","Penyusutan "&amp;E16&amp;" periode "&amp;C16)</f>
        <v/>
      </c>
    </row>
    <row r="17">
      <c r="A17" s="3">
        <f>IF(Penyusutan!D17="","","JRN-"&amp;TEXT(ROW()-1,"0000"))</f>
        <v/>
      </c>
      <c r="B17" s="4" t="n">
        <v>46022</v>
      </c>
      <c r="C17" s="3">
        <f>Penyusutan!B17</f>
        <v/>
      </c>
      <c r="D17" s="3">
        <f>Penyusutan!C17</f>
        <v/>
      </c>
      <c r="E17" s="3">
        <f>Penyusutan!D17</f>
        <v/>
      </c>
      <c r="F17" s="3" t="inlineStr">
        <is>
          <t>Inventaris Ruangan</t>
        </is>
      </c>
      <c r="G17" s="3" t="inlineStr"/>
      <c r="H17" s="3" t="inlineStr">
        <is>
          <t>Beban Penyusutan Inventaris Ruangan</t>
        </is>
      </c>
      <c r="I17" s="5">
        <f>Penyusutan!M17</f>
        <v/>
      </c>
      <c r="J17" s="3" t="inlineStr"/>
      <c r="K17" s="3" t="inlineStr">
        <is>
          <t>Akumulasi Penyusutan Inventaris Ruangan</t>
        </is>
      </c>
      <c r="L17" s="5">
        <f>Penyusutan!M17</f>
        <v/>
      </c>
      <c r="M17" s="3">
        <f>IF(E17="","","Penyusutan "&amp;E17&amp;" periode "&amp;C17)</f>
        <v/>
      </c>
    </row>
    <row r="18">
      <c r="A18" s="3">
        <f>IF(Penyusutan!D18="","","JRN-"&amp;TEXT(ROW()-1,"0000"))</f>
        <v/>
      </c>
      <c r="B18" s="4" t="n">
        <v>46022</v>
      </c>
      <c r="C18" s="3">
        <f>Penyusutan!B18</f>
        <v/>
      </c>
      <c r="D18" s="3">
        <f>Penyusutan!C18</f>
        <v/>
      </c>
      <c r="E18" s="3">
        <f>Penyusutan!D18</f>
        <v/>
      </c>
      <c r="F18" s="3" t="inlineStr">
        <is>
          <t>Inventaris Ruangan</t>
        </is>
      </c>
      <c r="G18" s="3" t="inlineStr"/>
      <c r="H18" s="3" t="inlineStr">
        <is>
          <t>Beban Penyusutan Inventaris Ruangan</t>
        </is>
      </c>
      <c r="I18" s="5">
        <f>Penyusutan!M18</f>
        <v/>
      </c>
      <c r="J18" s="3" t="inlineStr"/>
      <c r="K18" s="3" t="inlineStr">
        <is>
          <t>Akumulasi Penyusutan Inventaris Ruangan</t>
        </is>
      </c>
      <c r="L18" s="5">
        <f>Penyusutan!M18</f>
        <v/>
      </c>
      <c r="M18" s="3">
        <f>IF(E18="","","Penyusutan "&amp;E18&amp;" periode "&amp;C18)</f>
        <v/>
      </c>
    </row>
    <row r="19">
      <c r="A19" s="3">
        <f>IF(Penyusutan!D19="","","JRN-"&amp;TEXT(ROW()-1,"0000"))</f>
        <v/>
      </c>
      <c r="B19" s="4" t="n">
        <v>46022</v>
      </c>
      <c r="C19" s="3">
        <f>Penyusutan!B19</f>
        <v/>
      </c>
      <c r="D19" s="3">
        <f>Penyusutan!C19</f>
        <v/>
      </c>
      <c r="E19" s="3">
        <f>Penyusutan!D19</f>
        <v/>
      </c>
      <c r="F19" s="3" t="inlineStr">
        <is>
          <t>Inventaris Ruangan</t>
        </is>
      </c>
      <c r="G19" s="3" t="inlineStr"/>
      <c r="H19" s="3" t="inlineStr">
        <is>
          <t>Beban Penyusutan Inventaris Ruangan</t>
        </is>
      </c>
      <c r="I19" s="5">
        <f>Penyusutan!M19</f>
        <v/>
      </c>
      <c r="J19" s="3" t="inlineStr"/>
      <c r="K19" s="3" t="inlineStr">
        <is>
          <t>Akumulasi Penyusutan Inventaris Ruangan</t>
        </is>
      </c>
      <c r="L19" s="5">
        <f>Penyusutan!M19</f>
        <v/>
      </c>
      <c r="M19" s="3">
        <f>IF(E19="","","Penyusutan "&amp;E19&amp;" periode "&amp;C19)</f>
        <v/>
      </c>
    </row>
    <row r="20">
      <c r="A20" s="3">
        <f>IF(Penyusutan!D20="","","JRN-"&amp;TEXT(ROW()-1,"0000"))</f>
        <v/>
      </c>
      <c r="B20" s="4" t="n">
        <v>46022</v>
      </c>
      <c r="C20" s="3">
        <f>Penyusutan!B20</f>
        <v/>
      </c>
      <c r="D20" s="3">
        <f>Penyusutan!C20</f>
        <v/>
      </c>
      <c r="E20" s="3">
        <f>Penyusutan!D20</f>
        <v/>
      </c>
      <c r="F20" s="3" t="inlineStr">
        <is>
          <t>Inventaris Ruangan</t>
        </is>
      </c>
      <c r="G20" s="3" t="inlineStr"/>
      <c r="H20" s="3" t="inlineStr">
        <is>
          <t>Beban Penyusutan Inventaris Ruangan</t>
        </is>
      </c>
      <c r="I20" s="5">
        <f>Penyusutan!M20</f>
        <v/>
      </c>
      <c r="J20" s="3" t="inlineStr"/>
      <c r="K20" s="3" t="inlineStr">
        <is>
          <t>Akumulasi Penyusutan Inventaris Ruangan</t>
        </is>
      </c>
      <c r="L20" s="5">
        <f>Penyusutan!M20</f>
        <v/>
      </c>
      <c r="M20" s="3">
        <f>IF(E20="","","Penyusutan "&amp;E20&amp;" periode "&amp;C20)</f>
        <v/>
      </c>
    </row>
    <row r="21">
      <c r="A21" s="3">
        <f>IF(Penyusutan!D21="","","JRN-"&amp;TEXT(ROW()-1,"0000"))</f>
        <v/>
      </c>
      <c r="B21" s="4" t="n">
        <v>46022</v>
      </c>
      <c r="C21" s="3">
        <f>Penyusutan!B21</f>
        <v/>
      </c>
      <c r="D21" s="3">
        <f>Penyusutan!C21</f>
        <v/>
      </c>
      <c r="E21" s="3">
        <f>Penyusutan!D21</f>
        <v/>
      </c>
      <c r="F21" s="3" t="inlineStr">
        <is>
          <t>Inventaris Ruangan</t>
        </is>
      </c>
      <c r="G21" s="3" t="inlineStr"/>
      <c r="H21" s="3" t="inlineStr">
        <is>
          <t>Beban Penyusutan Inventaris Ruangan</t>
        </is>
      </c>
      <c r="I21" s="5">
        <f>Penyusutan!M21</f>
        <v/>
      </c>
      <c r="J21" s="3" t="inlineStr"/>
      <c r="K21" s="3" t="inlineStr">
        <is>
          <t>Akumulasi Penyusutan Inventaris Ruangan</t>
        </is>
      </c>
      <c r="L21" s="5">
        <f>Penyusutan!M21</f>
        <v/>
      </c>
      <c r="M21" s="3">
        <f>IF(E21="","","Penyusutan "&amp;E21&amp;" periode "&amp;C21)</f>
        <v/>
      </c>
    </row>
    <row r="22">
      <c r="A22" s="3">
        <f>IF(Penyusutan!D22="","","JRN-"&amp;TEXT(ROW()-1,"0000"))</f>
        <v/>
      </c>
      <c r="B22" s="4" t="n">
        <v>46022</v>
      </c>
      <c r="C22" s="3">
        <f>Penyusutan!B22</f>
        <v/>
      </c>
      <c r="D22" s="3">
        <f>Penyusutan!C22</f>
        <v/>
      </c>
      <c r="E22" s="3">
        <f>Penyusutan!D22</f>
        <v/>
      </c>
      <c r="F22" s="3" t="inlineStr">
        <is>
          <t>Inventaris Ruangan</t>
        </is>
      </c>
      <c r="G22" s="3" t="inlineStr"/>
      <c r="H22" s="3" t="inlineStr">
        <is>
          <t>Beban Penyusutan Inventaris Ruangan</t>
        </is>
      </c>
      <c r="I22" s="5">
        <f>Penyusutan!M22</f>
        <v/>
      </c>
      <c r="J22" s="3" t="inlineStr"/>
      <c r="K22" s="3" t="inlineStr">
        <is>
          <t>Akumulasi Penyusutan Inventaris Ruangan</t>
        </is>
      </c>
      <c r="L22" s="5">
        <f>Penyusutan!M22</f>
        <v/>
      </c>
      <c r="M22" s="3">
        <f>IF(E22="","","Penyusutan "&amp;E22&amp;" periode "&amp;C22)</f>
        <v/>
      </c>
    </row>
    <row r="23">
      <c r="A23" s="3">
        <f>IF(Penyusutan!D23="","","JRN-"&amp;TEXT(ROW()-1,"0000"))</f>
        <v/>
      </c>
      <c r="B23" s="4" t="n">
        <v>46022</v>
      </c>
      <c r="C23" s="3">
        <f>Penyusutan!B23</f>
        <v/>
      </c>
      <c r="D23" s="3">
        <f>Penyusutan!C23</f>
        <v/>
      </c>
      <c r="E23" s="3">
        <f>Penyusutan!D23</f>
        <v/>
      </c>
      <c r="F23" s="3" t="inlineStr">
        <is>
          <t>Inventaris Ruangan</t>
        </is>
      </c>
      <c r="G23" s="3" t="inlineStr"/>
      <c r="H23" s="3" t="inlineStr">
        <is>
          <t>Beban Penyusutan Inventaris Ruangan</t>
        </is>
      </c>
      <c r="I23" s="5">
        <f>Penyusutan!M23</f>
        <v/>
      </c>
      <c r="J23" s="3" t="inlineStr"/>
      <c r="K23" s="3" t="inlineStr">
        <is>
          <t>Akumulasi Penyusutan Inventaris Ruangan</t>
        </is>
      </c>
      <c r="L23" s="5">
        <f>Penyusutan!M23</f>
        <v/>
      </c>
      <c r="M23" s="3">
        <f>IF(E23="","","Penyusutan "&amp;E23&amp;" periode "&amp;C23)</f>
        <v/>
      </c>
    </row>
    <row r="24">
      <c r="A24" s="3">
        <f>IF(Penyusutan!D24="","","JRN-"&amp;TEXT(ROW()-1,"0000"))</f>
        <v/>
      </c>
      <c r="B24" s="4" t="n">
        <v>46022</v>
      </c>
      <c r="C24" s="3">
        <f>Penyusutan!B24</f>
        <v/>
      </c>
      <c r="D24" s="3">
        <f>Penyusutan!C24</f>
        <v/>
      </c>
      <c r="E24" s="3">
        <f>Penyusutan!D24</f>
        <v/>
      </c>
      <c r="F24" s="3" t="inlineStr">
        <is>
          <t>Inventaris Ruangan</t>
        </is>
      </c>
      <c r="G24" s="3" t="inlineStr"/>
      <c r="H24" s="3" t="inlineStr">
        <is>
          <t>Beban Penyusutan Inventaris Ruangan</t>
        </is>
      </c>
      <c r="I24" s="5">
        <f>Penyusutan!M24</f>
        <v/>
      </c>
      <c r="J24" s="3" t="inlineStr"/>
      <c r="K24" s="3" t="inlineStr">
        <is>
          <t>Akumulasi Penyusutan Inventaris Ruangan</t>
        </is>
      </c>
      <c r="L24" s="5">
        <f>Penyusutan!M24</f>
        <v/>
      </c>
      <c r="M24" s="3">
        <f>IF(E24="","","Penyusutan "&amp;E24&amp;" periode "&amp;C24)</f>
        <v/>
      </c>
    </row>
    <row r="25">
      <c r="A25" s="3">
        <f>IF(Penyusutan!D25="","","JRN-"&amp;TEXT(ROW()-1,"0000"))</f>
        <v/>
      </c>
      <c r="B25" s="4" t="n">
        <v>46022</v>
      </c>
      <c r="C25" s="3">
        <f>Penyusutan!B25</f>
        <v/>
      </c>
      <c r="D25" s="3">
        <f>Penyusutan!C25</f>
        <v/>
      </c>
      <c r="E25" s="3">
        <f>Penyusutan!D25</f>
        <v/>
      </c>
      <c r="F25" s="3" t="inlineStr">
        <is>
          <t>Inventaris Ruangan</t>
        </is>
      </c>
      <c r="G25" s="3" t="inlineStr"/>
      <c r="H25" s="3" t="inlineStr">
        <is>
          <t>Beban Penyusutan Inventaris Ruangan</t>
        </is>
      </c>
      <c r="I25" s="5">
        <f>Penyusutan!M25</f>
        <v/>
      </c>
      <c r="J25" s="3" t="inlineStr"/>
      <c r="K25" s="3" t="inlineStr">
        <is>
          <t>Akumulasi Penyusutan Inventaris Ruangan</t>
        </is>
      </c>
      <c r="L25" s="5">
        <f>Penyusutan!M25</f>
        <v/>
      </c>
      <c r="M25" s="3">
        <f>IF(E25="","","Penyusutan "&amp;E25&amp;" periode "&amp;C25)</f>
        <v/>
      </c>
    </row>
    <row r="26">
      <c r="A26" s="3">
        <f>IF(Penyusutan!D26="","","JRN-"&amp;TEXT(ROW()-1,"0000"))</f>
        <v/>
      </c>
      <c r="B26" s="4" t="n">
        <v>46022</v>
      </c>
      <c r="C26" s="3">
        <f>Penyusutan!B26</f>
        <v/>
      </c>
      <c r="D26" s="3">
        <f>Penyusutan!C26</f>
        <v/>
      </c>
      <c r="E26" s="3">
        <f>Penyusutan!D26</f>
        <v/>
      </c>
      <c r="F26" s="3" t="inlineStr">
        <is>
          <t>Inventaris Ruangan</t>
        </is>
      </c>
      <c r="G26" s="3" t="inlineStr"/>
      <c r="H26" s="3" t="inlineStr">
        <is>
          <t>Beban Penyusutan Inventaris Ruangan</t>
        </is>
      </c>
      <c r="I26" s="5">
        <f>Penyusutan!M26</f>
        <v/>
      </c>
      <c r="J26" s="3" t="inlineStr"/>
      <c r="K26" s="3" t="inlineStr">
        <is>
          <t>Akumulasi Penyusutan Inventaris Ruangan</t>
        </is>
      </c>
      <c r="L26" s="5">
        <f>Penyusutan!M26</f>
        <v/>
      </c>
      <c r="M26" s="3">
        <f>IF(E26="","","Penyusutan "&amp;E26&amp;" periode "&amp;C26)</f>
        <v/>
      </c>
    </row>
    <row r="27">
      <c r="A27" s="3">
        <f>IF(Penyusutan!D27="","","JRN-"&amp;TEXT(ROW()-1,"0000"))</f>
        <v/>
      </c>
      <c r="B27" s="4" t="n">
        <v>46022</v>
      </c>
      <c r="C27" s="3">
        <f>Penyusutan!B27</f>
        <v/>
      </c>
      <c r="D27" s="3">
        <f>Penyusutan!C27</f>
        <v/>
      </c>
      <c r="E27" s="3">
        <f>Penyusutan!D27</f>
        <v/>
      </c>
      <c r="F27" s="3" t="inlineStr">
        <is>
          <t>Inventaris Ruangan</t>
        </is>
      </c>
      <c r="G27" s="3" t="inlineStr"/>
      <c r="H27" s="3" t="inlineStr">
        <is>
          <t>Beban Penyusutan Inventaris Ruangan</t>
        </is>
      </c>
      <c r="I27" s="5">
        <f>Penyusutan!M27</f>
        <v/>
      </c>
      <c r="J27" s="3" t="inlineStr"/>
      <c r="K27" s="3" t="inlineStr">
        <is>
          <t>Akumulasi Penyusutan Inventaris Ruangan</t>
        </is>
      </c>
      <c r="L27" s="5">
        <f>Penyusutan!M27</f>
        <v/>
      </c>
      <c r="M27" s="3">
        <f>IF(E27="","","Penyusutan "&amp;E27&amp;" periode "&amp;C27)</f>
        <v/>
      </c>
    </row>
    <row r="28">
      <c r="A28" s="3">
        <f>IF(Penyusutan!D28="","","JRN-"&amp;TEXT(ROW()-1,"0000"))</f>
        <v/>
      </c>
      <c r="B28" s="4" t="n">
        <v>46022</v>
      </c>
      <c r="C28" s="3">
        <f>Penyusutan!B28</f>
        <v/>
      </c>
      <c r="D28" s="3">
        <f>Penyusutan!C28</f>
        <v/>
      </c>
      <c r="E28" s="3">
        <f>Penyusutan!D28</f>
        <v/>
      </c>
      <c r="F28" s="3" t="inlineStr">
        <is>
          <t>Inventaris Ruangan</t>
        </is>
      </c>
      <c r="G28" s="3" t="inlineStr"/>
      <c r="H28" s="3" t="inlineStr">
        <is>
          <t>Beban Penyusutan Inventaris Ruangan</t>
        </is>
      </c>
      <c r="I28" s="5">
        <f>Penyusutan!M28</f>
        <v/>
      </c>
      <c r="J28" s="3" t="inlineStr"/>
      <c r="K28" s="3" t="inlineStr">
        <is>
          <t>Akumulasi Penyusutan Inventaris Ruangan</t>
        </is>
      </c>
      <c r="L28" s="5">
        <f>Penyusutan!M28</f>
        <v/>
      </c>
      <c r="M28" s="3">
        <f>IF(E28="","","Penyusutan "&amp;E28&amp;" periode "&amp;C28)</f>
        <v/>
      </c>
    </row>
    <row r="29">
      <c r="A29" s="3">
        <f>IF(Penyusutan!D29="","","JRN-"&amp;TEXT(ROW()-1,"0000"))</f>
        <v/>
      </c>
      <c r="B29" s="4" t="n">
        <v>46022</v>
      </c>
      <c r="C29" s="3">
        <f>Penyusutan!B29</f>
        <v/>
      </c>
      <c r="D29" s="3">
        <f>Penyusutan!C29</f>
        <v/>
      </c>
      <c r="E29" s="3">
        <f>Penyusutan!D29</f>
        <v/>
      </c>
      <c r="F29" s="3" t="inlineStr">
        <is>
          <t>Inventaris Ruangan</t>
        </is>
      </c>
      <c r="G29" s="3" t="inlineStr"/>
      <c r="H29" s="3" t="inlineStr">
        <is>
          <t>Beban Penyusutan Inventaris Ruangan</t>
        </is>
      </c>
      <c r="I29" s="5">
        <f>Penyusutan!M29</f>
        <v/>
      </c>
      <c r="J29" s="3" t="inlineStr"/>
      <c r="K29" s="3" t="inlineStr">
        <is>
          <t>Akumulasi Penyusutan Inventaris Ruangan</t>
        </is>
      </c>
      <c r="L29" s="5">
        <f>Penyusutan!M29</f>
        <v/>
      </c>
      <c r="M29" s="3">
        <f>IF(E29="","","Penyusutan "&amp;E29&amp;" periode "&amp;C29)</f>
        <v/>
      </c>
    </row>
    <row r="30">
      <c r="A30" s="3">
        <f>IF(Penyusutan!D30="","","JRN-"&amp;TEXT(ROW()-1,"0000"))</f>
        <v/>
      </c>
      <c r="B30" s="4" t="n">
        <v>46022</v>
      </c>
      <c r="C30" s="3">
        <f>Penyusutan!B30</f>
        <v/>
      </c>
      <c r="D30" s="3">
        <f>Penyusutan!C30</f>
        <v/>
      </c>
      <c r="E30" s="3">
        <f>Penyusutan!D30</f>
        <v/>
      </c>
      <c r="F30" s="3" t="inlineStr">
        <is>
          <t>Inventaris Ruangan</t>
        </is>
      </c>
      <c r="G30" s="3" t="inlineStr"/>
      <c r="H30" s="3" t="inlineStr">
        <is>
          <t>Beban Penyusutan Inventaris Ruangan</t>
        </is>
      </c>
      <c r="I30" s="5">
        <f>Penyusutan!M30</f>
        <v/>
      </c>
      <c r="J30" s="3" t="inlineStr"/>
      <c r="K30" s="3" t="inlineStr">
        <is>
          <t>Akumulasi Penyusutan Inventaris Ruangan</t>
        </is>
      </c>
      <c r="L30" s="5">
        <f>Penyusutan!M30</f>
        <v/>
      </c>
      <c r="M30" s="3">
        <f>IF(E30="","","Penyusutan "&amp;E30&amp;" periode "&amp;C30)</f>
        <v/>
      </c>
    </row>
    <row r="31">
      <c r="A31" s="3">
        <f>IF(Penyusutan!D31="","","JRN-"&amp;TEXT(ROW()-1,"0000"))</f>
        <v/>
      </c>
      <c r="B31" s="4" t="n">
        <v>46022</v>
      </c>
      <c r="C31" s="3">
        <f>Penyusutan!B31</f>
        <v/>
      </c>
      <c r="D31" s="3">
        <f>Penyusutan!C31</f>
        <v/>
      </c>
      <c r="E31" s="3">
        <f>Penyusutan!D31</f>
        <v/>
      </c>
      <c r="F31" s="3" t="inlineStr">
        <is>
          <t>Inventaris Ruangan</t>
        </is>
      </c>
      <c r="G31" s="3" t="inlineStr"/>
      <c r="H31" s="3" t="inlineStr">
        <is>
          <t>Beban Penyusutan Inventaris Ruangan</t>
        </is>
      </c>
      <c r="I31" s="5">
        <f>Penyusutan!M31</f>
        <v/>
      </c>
      <c r="J31" s="3" t="inlineStr"/>
      <c r="K31" s="3" t="inlineStr">
        <is>
          <t>Akumulasi Penyusutan Inventaris Ruangan</t>
        </is>
      </c>
      <c r="L31" s="5">
        <f>Penyusutan!M31</f>
        <v/>
      </c>
      <c r="M31" s="3">
        <f>IF(E31="","","Penyusutan "&amp;E31&amp;" periode "&amp;C31)</f>
        <v/>
      </c>
    </row>
    <row r="32">
      <c r="A32" s="3">
        <f>IF(Penyusutan!D32="","","JRN-"&amp;TEXT(ROW()-1,"0000"))</f>
        <v/>
      </c>
      <c r="B32" s="4" t="n">
        <v>46022</v>
      </c>
      <c r="C32" s="3">
        <f>Penyusutan!B32</f>
        <v/>
      </c>
      <c r="D32" s="3">
        <f>Penyusutan!C32</f>
        <v/>
      </c>
      <c r="E32" s="3">
        <f>Penyusutan!D32</f>
        <v/>
      </c>
      <c r="F32" s="3" t="inlineStr">
        <is>
          <t>Inventaris Ruangan</t>
        </is>
      </c>
      <c r="G32" s="3" t="inlineStr"/>
      <c r="H32" s="3" t="inlineStr">
        <is>
          <t>Beban Penyusutan Inventaris Ruangan</t>
        </is>
      </c>
      <c r="I32" s="5">
        <f>Penyusutan!M32</f>
        <v/>
      </c>
      <c r="J32" s="3" t="inlineStr"/>
      <c r="K32" s="3" t="inlineStr">
        <is>
          <t>Akumulasi Penyusutan Inventaris Ruangan</t>
        </is>
      </c>
      <c r="L32" s="5">
        <f>Penyusutan!M32</f>
        <v/>
      </c>
      <c r="M32" s="3">
        <f>IF(E32="","","Penyusutan "&amp;E32&amp;" periode "&amp;C32)</f>
        <v/>
      </c>
    </row>
    <row r="33">
      <c r="A33" s="3">
        <f>IF(Penyusutan!D33="","","JRN-"&amp;TEXT(ROW()-1,"0000"))</f>
        <v/>
      </c>
      <c r="B33" s="4" t="n">
        <v>46022</v>
      </c>
      <c r="C33" s="3">
        <f>Penyusutan!B33</f>
        <v/>
      </c>
      <c r="D33" s="3">
        <f>Penyusutan!C33</f>
        <v/>
      </c>
      <c r="E33" s="3">
        <f>Penyusutan!D33</f>
        <v/>
      </c>
      <c r="F33" s="3" t="inlineStr">
        <is>
          <t>Inventaris Ruangan</t>
        </is>
      </c>
      <c r="G33" s="3" t="inlineStr"/>
      <c r="H33" s="3" t="inlineStr">
        <is>
          <t>Beban Penyusutan Inventaris Ruangan</t>
        </is>
      </c>
      <c r="I33" s="5">
        <f>Penyusutan!M33</f>
        <v/>
      </c>
      <c r="J33" s="3" t="inlineStr"/>
      <c r="K33" s="3" t="inlineStr">
        <is>
          <t>Akumulasi Penyusutan Inventaris Ruangan</t>
        </is>
      </c>
      <c r="L33" s="5">
        <f>Penyusutan!M33</f>
        <v/>
      </c>
      <c r="M33" s="3">
        <f>IF(E33="","","Penyusutan "&amp;E33&amp;" periode "&amp;C33)</f>
        <v/>
      </c>
    </row>
    <row r="34">
      <c r="A34" s="3">
        <f>IF(Penyusutan!D34="","","JRN-"&amp;TEXT(ROW()-1,"0000"))</f>
        <v/>
      </c>
      <c r="B34" s="4" t="n">
        <v>46022</v>
      </c>
      <c r="C34" s="3">
        <f>Penyusutan!B34</f>
        <v/>
      </c>
      <c r="D34" s="3">
        <f>Penyusutan!C34</f>
        <v/>
      </c>
      <c r="E34" s="3">
        <f>Penyusutan!D34</f>
        <v/>
      </c>
      <c r="F34" s="3" t="inlineStr">
        <is>
          <t>Inventaris Ruangan</t>
        </is>
      </c>
      <c r="G34" s="3" t="inlineStr"/>
      <c r="H34" s="3" t="inlineStr">
        <is>
          <t>Beban Penyusutan Inventaris Ruangan</t>
        </is>
      </c>
      <c r="I34" s="5">
        <f>Penyusutan!M34</f>
        <v/>
      </c>
      <c r="J34" s="3" t="inlineStr"/>
      <c r="K34" s="3" t="inlineStr">
        <is>
          <t>Akumulasi Penyusutan Inventaris Ruangan</t>
        </is>
      </c>
      <c r="L34" s="5">
        <f>Penyusutan!M34</f>
        <v/>
      </c>
      <c r="M34" s="3">
        <f>IF(E34="","","Penyusutan "&amp;E34&amp;" periode "&amp;C34)</f>
        <v/>
      </c>
    </row>
    <row r="35">
      <c r="A35" s="3">
        <f>IF(Penyusutan!D35="","","JRN-"&amp;TEXT(ROW()-1,"0000"))</f>
        <v/>
      </c>
      <c r="B35" s="4" t="n">
        <v>46022</v>
      </c>
      <c r="C35" s="3">
        <f>Penyusutan!B35</f>
        <v/>
      </c>
      <c r="D35" s="3">
        <f>Penyusutan!C35</f>
        <v/>
      </c>
      <c r="E35" s="3">
        <f>Penyusutan!D35</f>
        <v/>
      </c>
      <c r="F35" s="3" t="inlineStr">
        <is>
          <t>Inventaris Ruangan</t>
        </is>
      </c>
      <c r="G35" s="3" t="inlineStr"/>
      <c r="H35" s="3" t="inlineStr">
        <is>
          <t>Beban Penyusutan Inventaris Ruangan</t>
        </is>
      </c>
      <c r="I35" s="5">
        <f>Penyusutan!M35</f>
        <v/>
      </c>
      <c r="J35" s="3" t="inlineStr"/>
      <c r="K35" s="3" t="inlineStr">
        <is>
          <t>Akumulasi Penyusutan Inventaris Ruangan</t>
        </is>
      </c>
      <c r="L35" s="5">
        <f>Penyusutan!M35</f>
        <v/>
      </c>
      <c r="M35" s="3">
        <f>IF(E35="","","Penyusutan "&amp;E35&amp;" periode "&amp;C35)</f>
        <v/>
      </c>
    </row>
    <row r="36">
      <c r="A36" s="3">
        <f>IF(Penyusutan!D36="","","JRN-"&amp;TEXT(ROW()-1,"0000"))</f>
        <v/>
      </c>
      <c r="B36" s="4" t="n">
        <v>46022</v>
      </c>
      <c r="C36" s="3">
        <f>Penyusutan!B36</f>
        <v/>
      </c>
      <c r="D36" s="3">
        <f>Penyusutan!C36</f>
        <v/>
      </c>
      <c r="E36" s="3">
        <f>Penyusutan!D36</f>
        <v/>
      </c>
      <c r="F36" s="3" t="inlineStr">
        <is>
          <t>Inventaris Ruangan</t>
        </is>
      </c>
      <c r="G36" s="3" t="inlineStr"/>
      <c r="H36" s="3" t="inlineStr">
        <is>
          <t>Beban Penyusutan Inventaris Ruangan</t>
        </is>
      </c>
      <c r="I36" s="5">
        <f>Penyusutan!M36</f>
        <v/>
      </c>
      <c r="J36" s="3" t="inlineStr"/>
      <c r="K36" s="3" t="inlineStr">
        <is>
          <t>Akumulasi Penyusutan Inventaris Ruangan</t>
        </is>
      </c>
      <c r="L36" s="5">
        <f>Penyusutan!M36</f>
        <v/>
      </c>
      <c r="M36" s="3">
        <f>IF(E36="","","Penyusutan "&amp;E36&amp;" periode "&amp;C36)</f>
        <v/>
      </c>
    </row>
    <row r="37">
      <c r="A37" s="3">
        <f>IF(Penyusutan!D37="","","JRN-"&amp;TEXT(ROW()-1,"0000"))</f>
        <v/>
      </c>
      <c r="B37" s="4" t="n">
        <v>46022</v>
      </c>
      <c r="C37" s="3">
        <f>Penyusutan!B37</f>
        <v/>
      </c>
      <c r="D37" s="3">
        <f>Penyusutan!C37</f>
        <v/>
      </c>
      <c r="E37" s="3">
        <f>Penyusutan!D37</f>
        <v/>
      </c>
      <c r="F37" s="3" t="inlineStr">
        <is>
          <t>Inventaris Ruangan</t>
        </is>
      </c>
      <c r="G37" s="3" t="inlineStr"/>
      <c r="H37" s="3" t="inlineStr">
        <is>
          <t>Beban Penyusutan Inventaris Ruangan</t>
        </is>
      </c>
      <c r="I37" s="5">
        <f>Penyusutan!M37</f>
        <v/>
      </c>
      <c r="J37" s="3" t="inlineStr"/>
      <c r="K37" s="3" t="inlineStr">
        <is>
          <t>Akumulasi Penyusutan Inventaris Ruangan</t>
        </is>
      </c>
      <c r="L37" s="5">
        <f>Penyusutan!M37</f>
        <v/>
      </c>
      <c r="M37" s="3">
        <f>IF(E37="","","Penyusutan "&amp;E37&amp;" periode "&amp;C37)</f>
        <v/>
      </c>
    </row>
    <row r="38">
      <c r="A38" s="3">
        <f>IF(Penyusutan!D38="","","JRN-"&amp;TEXT(ROW()-1,"0000"))</f>
        <v/>
      </c>
      <c r="B38" s="4" t="n">
        <v>46022</v>
      </c>
      <c r="C38" s="3">
        <f>Penyusutan!B38</f>
        <v/>
      </c>
      <c r="D38" s="3">
        <f>Penyusutan!C38</f>
        <v/>
      </c>
      <c r="E38" s="3">
        <f>Penyusutan!D38</f>
        <v/>
      </c>
      <c r="F38" s="3" t="inlineStr">
        <is>
          <t>Inventaris Ruangan</t>
        </is>
      </c>
      <c r="G38" s="3" t="inlineStr"/>
      <c r="H38" s="3" t="inlineStr">
        <is>
          <t>Beban Penyusutan Inventaris Ruangan</t>
        </is>
      </c>
      <c r="I38" s="5">
        <f>Penyusutan!M38</f>
        <v/>
      </c>
      <c r="J38" s="3" t="inlineStr"/>
      <c r="K38" s="3" t="inlineStr">
        <is>
          <t>Akumulasi Penyusutan Inventaris Ruangan</t>
        </is>
      </c>
      <c r="L38" s="5">
        <f>Penyusutan!M38</f>
        <v/>
      </c>
      <c r="M38" s="3">
        <f>IF(E38="","","Penyusutan "&amp;E38&amp;" periode "&amp;C38)</f>
        <v/>
      </c>
    </row>
    <row r="39">
      <c r="A39" s="3">
        <f>IF(Penyusutan!D39="","","JRN-"&amp;TEXT(ROW()-1,"0000"))</f>
        <v/>
      </c>
      <c r="B39" s="4" t="n">
        <v>46022</v>
      </c>
      <c r="C39" s="3">
        <f>Penyusutan!B39</f>
        <v/>
      </c>
      <c r="D39" s="3">
        <f>Penyusutan!C39</f>
        <v/>
      </c>
      <c r="E39" s="3">
        <f>Penyusutan!D39</f>
        <v/>
      </c>
      <c r="F39" s="3" t="inlineStr">
        <is>
          <t>Inventaris Ruangan</t>
        </is>
      </c>
      <c r="G39" s="3" t="inlineStr"/>
      <c r="H39" s="3" t="inlineStr">
        <is>
          <t>Beban Penyusutan Inventaris Ruangan</t>
        </is>
      </c>
      <c r="I39" s="5">
        <f>Penyusutan!M39</f>
        <v/>
      </c>
      <c r="J39" s="3" t="inlineStr"/>
      <c r="K39" s="3" t="inlineStr">
        <is>
          <t>Akumulasi Penyusutan Inventaris Ruangan</t>
        </is>
      </c>
      <c r="L39" s="5">
        <f>Penyusutan!M39</f>
        <v/>
      </c>
      <c r="M39" s="3">
        <f>IF(E39="","","Penyusutan "&amp;E39&amp;" periode "&amp;C39)</f>
        <v/>
      </c>
    </row>
    <row r="40">
      <c r="A40" s="3">
        <f>IF(Penyusutan!D40="","","JRN-"&amp;TEXT(ROW()-1,"0000"))</f>
        <v/>
      </c>
      <c r="B40" s="4" t="n">
        <v>46022</v>
      </c>
      <c r="C40" s="3">
        <f>Penyusutan!B40</f>
        <v/>
      </c>
      <c r="D40" s="3">
        <f>Penyusutan!C40</f>
        <v/>
      </c>
      <c r="E40" s="3">
        <f>Penyusutan!D40</f>
        <v/>
      </c>
      <c r="F40" s="3" t="inlineStr">
        <is>
          <t>Inventaris Ruangan</t>
        </is>
      </c>
      <c r="G40" s="3" t="inlineStr"/>
      <c r="H40" s="3" t="inlineStr">
        <is>
          <t>Beban Penyusutan Inventaris Ruangan</t>
        </is>
      </c>
      <c r="I40" s="5">
        <f>Penyusutan!M40</f>
        <v/>
      </c>
      <c r="J40" s="3" t="inlineStr"/>
      <c r="K40" s="3" t="inlineStr">
        <is>
          <t>Akumulasi Penyusutan Inventaris Ruangan</t>
        </is>
      </c>
      <c r="L40" s="5">
        <f>Penyusutan!M40</f>
        <v/>
      </c>
      <c r="M40" s="3">
        <f>IF(E40="","","Penyusutan "&amp;E40&amp;" periode "&amp;C40)</f>
        <v/>
      </c>
    </row>
    <row r="41">
      <c r="A41" s="3">
        <f>IF(Penyusutan!D41="","","JRN-"&amp;TEXT(ROW()-1,"0000"))</f>
        <v/>
      </c>
      <c r="B41" s="4" t="n">
        <v>46022</v>
      </c>
      <c r="C41" s="3">
        <f>Penyusutan!B41</f>
        <v/>
      </c>
      <c r="D41" s="3">
        <f>Penyusutan!C41</f>
        <v/>
      </c>
      <c r="E41" s="3">
        <f>Penyusutan!D41</f>
        <v/>
      </c>
      <c r="F41" s="3" t="inlineStr">
        <is>
          <t>Inventaris Ruangan</t>
        </is>
      </c>
      <c r="G41" s="3" t="inlineStr"/>
      <c r="H41" s="3" t="inlineStr">
        <is>
          <t>Beban Penyusutan Inventaris Ruangan</t>
        </is>
      </c>
      <c r="I41" s="5">
        <f>Penyusutan!M41</f>
        <v/>
      </c>
      <c r="J41" s="3" t="inlineStr"/>
      <c r="K41" s="3" t="inlineStr">
        <is>
          <t>Akumulasi Penyusutan Inventaris Ruangan</t>
        </is>
      </c>
      <c r="L41" s="5">
        <f>Penyusutan!M41</f>
        <v/>
      </c>
      <c r="M41" s="3">
        <f>IF(E41="","","Penyusutan "&amp;E41&amp;" periode "&amp;C41)</f>
        <v/>
      </c>
    </row>
    <row r="42">
      <c r="A42" s="3">
        <f>IF(Penyusutan!D42="","","JRN-"&amp;TEXT(ROW()-1,"0000"))</f>
        <v/>
      </c>
      <c r="B42" s="4" t="n">
        <v>46022</v>
      </c>
      <c r="C42" s="3">
        <f>Penyusutan!B42</f>
        <v/>
      </c>
      <c r="D42" s="3">
        <f>Penyusutan!C42</f>
        <v/>
      </c>
      <c r="E42" s="3">
        <f>Penyusutan!D42</f>
        <v/>
      </c>
      <c r="F42" s="3" t="inlineStr">
        <is>
          <t>Inventaris Ruangan</t>
        </is>
      </c>
      <c r="G42" s="3" t="inlineStr"/>
      <c r="H42" s="3" t="inlineStr">
        <is>
          <t>Beban Penyusutan Inventaris Ruangan</t>
        </is>
      </c>
      <c r="I42" s="5">
        <f>Penyusutan!M42</f>
        <v/>
      </c>
      <c r="J42" s="3" t="inlineStr"/>
      <c r="K42" s="3" t="inlineStr">
        <is>
          <t>Akumulasi Penyusutan Inventaris Ruangan</t>
        </is>
      </c>
      <c r="L42" s="5">
        <f>Penyusutan!M42</f>
        <v/>
      </c>
      <c r="M42" s="3">
        <f>IF(E42="","","Penyusutan "&amp;E42&amp;" periode "&amp;C42)</f>
        <v/>
      </c>
    </row>
    <row r="43">
      <c r="A43" s="3">
        <f>IF(Penyusutan!D43="","","JRN-"&amp;TEXT(ROW()-1,"0000"))</f>
        <v/>
      </c>
      <c r="B43" s="4" t="n">
        <v>46022</v>
      </c>
      <c r="C43" s="3">
        <f>Penyusutan!B43</f>
        <v/>
      </c>
      <c r="D43" s="3">
        <f>Penyusutan!C43</f>
        <v/>
      </c>
      <c r="E43" s="3">
        <f>Penyusutan!D43</f>
        <v/>
      </c>
      <c r="F43" s="3" t="inlineStr">
        <is>
          <t>Inventaris Ruangan</t>
        </is>
      </c>
      <c r="G43" s="3" t="inlineStr"/>
      <c r="H43" s="3" t="inlineStr">
        <is>
          <t>Beban Penyusutan Inventaris Ruangan</t>
        </is>
      </c>
      <c r="I43" s="5">
        <f>Penyusutan!M43</f>
        <v/>
      </c>
      <c r="J43" s="3" t="inlineStr"/>
      <c r="K43" s="3" t="inlineStr">
        <is>
          <t>Akumulasi Penyusutan Inventaris Ruangan</t>
        </is>
      </c>
      <c r="L43" s="5">
        <f>Penyusutan!M43</f>
        <v/>
      </c>
      <c r="M43" s="3">
        <f>IF(E43="","","Penyusutan "&amp;E43&amp;" periode "&amp;C43)</f>
        <v/>
      </c>
    </row>
    <row r="44">
      <c r="A44" s="3">
        <f>IF(Penyusutan!D44="","","JRN-"&amp;TEXT(ROW()-1,"0000"))</f>
        <v/>
      </c>
      <c r="B44" s="4" t="n">
        <v>46022</v>
      </c>
      <c r="C44" s="3">
        <f>Penyusutan!B44</f>
        <v/>
      </c>
      <c r="D44" s="3">
        <f>Penyusutan!C44</f>
        <v/>
      </c>
      <c r="E44" s="3">
        <f>Penyusutan!D44</f>
        <v/>
      </c>
      <c r="F44" s="3" t="inlineStr">
        <is>
          <t>Inventaris Ruangan</t>
        </is>
      </c>
      <c r="G44" s="3" t="inlineStr"/>
      <c r="H44" s="3" t="inlineStr">
        <is>
          <t>Beban Penyusutan Inventaris Ruangan</t>
        </is>
      </c>
      <c r="I44" s="5">
        <f>Penyusutan!M44</f>
        <v/>
      </c>
      <c r="J44" s="3" t="inlineStr"/>
      <c r="K44" s="3" t="inlineStr">
        <is>
          <t>Akumulasi Penyusutan Inventaris Ruangan</t>
        </is>
      </c>
      <c r="L44" s="5">
        <f>Penyusutan!M44</f>
        <v/>
      </c>
      <c r="M44" s="3">
        <f>IF(E44="","","Penyusutan "&amp;E44&amp;" periode "&amp;C44)</f>
        <v/>
      </c>
    </row>
    <row r="45">
      <c r="A45" s="3">
        <f>IF(Penyusutan!D45="","","JRN-"&amp;TEXT(ROW()-1,"0000"))</f>
        <v/>
      </c>
      <c r="B45" s="4" t="n">
        <v>46022</v>
      </c>
      <c r="C45" s="3">
        <f>Penyusutan!B45</f>
        <v/>
      </c>
      <c r="D45" s="3">
        <f>Penyusutan!C45</f>
        <v/>
      </c>
      <c r="E45" s="3">
        <f>Penyusutan!D45</f>
        <v/>
      </c>
      <c r="F45" s="3" t="inlineStr">
        <is>
          <t>Inventaris Ruangan</t>
        </is>
      </c>
      <c r="G45" s="3" t="inlineStr"/>
      <c r="H45" s="3" t="inlineStr">
        <is>
          <t>Beban Penyusutan Inventaris Ruangan</t>
        </is>
      </c>
      <c r="I45" s="5">
        <f>Penyusutan!M45</f>
        <v/>
      </c>
      <c r="J45" s="3" t="inlineStr"/>
      <c r="K45" s="3" t="inlineStr">
        <is>
          <t>Akumulasi Penyusutan Inventaris Ruangan</t>
        </is>
      </c>
      <c r="L45" s="5">
        <f>Penyusutan!M45</f>
        <v/>
      </c>
      <c r="M45" s="3">
        <f>IF(E45="","","Penyusutan "&amp;E45&amp;" periode "&amp;C45)</f>
        <v/>
      </c>
    </row>
    <row r="46">
      <c r="A46" s="3">
        <f>IF(Penyusutan!D46="","","JRN-"&amp;TEXT(ROW()-1,"0000"))</f>
        <v/>
      </c>
      <c r="B46" s="4" t="n">
        <v>46022</v>
      </c>
      <c r="C46" s="3">
        <f>Penyusutan!B46</f>
        <v/>
      </c>
      <c r="D46" s="3">
        <f>Penyusutan!C46</f>
        <v/>
      </c>
      <c r="E46" s="3">
        <f>Penyusutan!D46</f>
        <v/>
      </c>
      <c r="F46" s="3" t="inlineStr">
        <is>
          <t>Inventaris Ruangan</t>
        </is>
      </c>
      <c r="G46" s="3" t="inlineStr"/>
      <c r="H46" s="3" t="inlineStr">
        <is>
          <t>Beban Penyusutan Inventaris Ruangan</t>
        </is>
      </c>
      <c r="I46" s="5">
        <f>Penyusutan!M46</f>
        <v/>
      </c>
      <c r="J46" s="3" t="inlineStr"/>
      <c r="K46" s="3" t="inlineStr">
        <is>
          <t>Akumulasi Penyusutan Inventaris Ruangan</t>
        </is>
      </c>
      <c r="L46" s="5">
        <f>Penyusutan!M46</f>
        <v/>
      </c>
      <c r="M46" s="3">
        <f>IF(E46="","","Penyusutan "&amp;E46&amp;" periode "&amp;C46)</f>
        <v/>
      </c>
    </row>
    <row r="47">
      <c r="A47" s="3">
        <f>IF(Penyusutan!D47="","","JRN-"&amp;TEXT(ROW()-1,"0000"))</f>
        <v/>
      </c>
      <c r="B47" s="4" t="n">
        <v>46022</v>
      </c>
      <c r="C47" s="3">
        <f>Penyusutan!B47</f>
        <v/>
      </c>
      <c r="D47" s="3">
        <f>Penyusutan!C47</f>
        <v/>
      </c>
      <c r="E47" s="3">
        <f>Penyusutan!D47</f>
        <v/>
      </c>
      <c r="F47" s="3" t="inlineStr">
        <is>
          <t>Inventaris Ruangan</t>
        </is>
      </c>
      <c r="G47" s="3" t="inlineStr"/>
      <c r="H47" s="3" t="inlineStr">
        <is>
          <t>Beban Penyusutan Inventaris Ruangan</t>
        </is>
      </c>
      <c r="I47" s="5">
        <f>Penyusutan!M47</f>
        <v/>
      </c>
      <c r="J47" s="3" t="inlineStr"/>
      <c r="K47" s="3" t="inlineStr">
        <is>
          <t>Akumulasi Penyusutan Inventaris Ruangan</t>
        </is>
      </c>
      <c r="L47" s="5">
        <f>Penyusutan!M47</f>
        <v/>
      </c>
      <c r="M47" s="3">
        <f>IF(E47="","","Penyusutan "&amp;E47&amp;" periode "&amp;C47)</f>
        <v/>
      </c>
    </row>
    <row r="48">
      <c r="A48" s="3">
        <f>IF(Penyusutan!D48="","","JRN-"&amp;TEXT(ROW()-1,"0000"))</f>
        <v/>
      </c>
      <c r="B48" s="4" t="n">
        <v>46022</v>
      </c>
      <c r="C48" s="3">
        <f>Penyusutan!B48</f>
        <v/>
      </c>
      <c r="D48" s="3">
        <f>Penyusutan!C48</f>
        <v/>
      </c>
      <c r="E48" s="3">
        <f>Penyusutan!D48</f>
        <v/>
      </c>
      <c r="F48" s="3" t="inlineStr">
        <is>
          <t>Inventaris Ruangan</t>
        </is>
      </c>
      <c r="G48" s="3" t="inlineStr"/>
      <c r="H48" s="3" t="inlineStr">
        <is>
          <t>Beban Penyusutan Inventaris Ruangan</t>
        </is>
      </c>
      <c r="I48" s="5">
        <f>Penyusutan!M48</f>
        <v/>
      </c>
      <c r="J48" s="3" t="inlineStr"/>
      <c r="K48" s="3" t="inlineStr">
        <is>
          <t>Akumulasi Penyusutan Inventaris Ruangan</t>
        </is>
      </c>
      <c r="L48" s="5">
        <f>Penyusutan!M48</f>
        <v/>
      </c>
      <c r="M48" s="3">
        <f>IF(E48="","","Penyusutan "&amp;E48&amp;" periode "&amp;C48)</f>
        <v/>
      </c>
    </row>
    <row r="49">
      <c r="A49" s="3">
        <f>IF(Penyusutan!D49="","","JRN-"&amp;TEXT(ROW()-1,"0000"))</f>
        <v/>
      </c>
      <c r="B49" s="4" t="n">
        <v>46022</v>
      </c>
      <c r="C49" s="3">
        <f>Penyusutan!B49</f>
        <v/>
      </c>
      <c r="D49" s="3">
        <f>Penyusutan!C49</f>
        <v/>
      </c>
      <c r="E49" s="3">
        <f>Penyusutan!D49</f>
        <v/>
      </c>
      <c r="F49" s="3" t="inlineStr">
        <is>
          <t>Inventaris Ruangan</t>
        </is>
      </c>
      <c r="G49" s="3" t="inlineStr"/>
      <c r="H49" s="3" t="inlineStr">
        <is>
          <t>Beban Penyusutan Inventaris Ruangan</t>
        </is>
      </c>
      <c r="I49" s="5">
        <f>Penyusutan!M49</f>
        <v/>
      </c>
      <c r="J49" s="3" t="inlineStr"/>
      <c r="K49" s="3" t="inlineStr">
        <is>
          <t>Akumulasi Penyusutan Inventaris Ruangan</t>
        </is>
      </c>
      <c r="L49" s="5">
        <f>Penyusutan!M49</f>
        <v/>
      </c>
      <c r="M49" s="3">
        <f>IF(E49="","","Penyusutan "&amp;E49&amp;" periode "&amp;C49)</f>
        <v/>
      </c>
    </row>
    <row r="50">
      <c r="A50" s="3">
        <f>IF(Penyusutan!D50="","","JRN-"&amp;TEXT(ROW()-1,"0000"))</f>
        <v/>
      </c>
      <c r="B50" s="4" t="n">
        <v>46022</v>
      </c>
      <c r="C50" s="3">
        <f>Penyusutan!B50</f>
        <v/>
      </c>
      <c r="D50" s="3">
        <f>Penyusutan!C50</f>
        <v/>
      </c>
      <c r="E50" s="3">
        <f>Penyusutan!D50</f>
        <v/>
      </c>
      <c r="F50" s="3" t="inlineStr">
        <is>
          <t>Inventaris Ruangan</t>
        </is>
      </c>
      <c r="G50" s="3" t="inlineStr"/>
      <c r="H50" s="3" t="inlineStr">
        <is>
          <t>Beban Penyusutan Inventaris Ruangan</t>
        </is>
      </c>
      <c r="I50" s="5">
        <f>Penyusutan!M50</f>
        <v/>
      </c>
      <c r="J50" s="3" t="inlineStr"/>
      <c r="K50" s="3" t="inlineStr">
        <is>
          <t>Akumulasi Penyusutan Inventaris Ruangan</t>
        </is>
      </c>
      <c r="L50" s="5">
        <f>Penyusutan!M50</f>
        <v/>
      </c>
      <c r="M50" s="3">
        <f>IF(E50="","","Penyusutan "&amp;E50&amp;" periode "&amp;C50)</f>
        <v/>
      </c>
    </row>
    <row r="51">
      <c r="A51" s="3">
        <f>IF(Penyusutan!D51="","","JRN-"&amp;TEXT(ROW()-1,"0000"))</f>
        <v/>
      </c>
      <c r="B51" s="4" t="n">
        <v>46022</v>
      </c>
      <c r="C51" s="3">
        <f>Penyusutan!B51</f>
        <v/>
      </c>
      <c r="D51" s="3">
        <f>Penyusutan!C51</f>
        <v/>
      </c>
      <c r="E51" s="3">
        <f>Penyusutan!D51</f>
        <v/>
      </c>
      <c r="F51" s="3" t="inlineStr">
        <is>
          <t>Inventaris Ruangan</t>
        </is>
      </c>
      <c r="G51" s="3" t="inlineStr"/>
      <c r="H51" s="3" t="inlineStr">
        <is>
          <t>Beban Penyusutan Inventaris Ruangan</t>
        </is>
      </c>
      <c r="I51" s="5">
        <f>Penyusutan!M51</f>
        <v/>
      </c>
      <c r="J51" s="3" t="inlineStr"/>
      <c r="K51" s="3" t="inlineStr">
        <is>
          <t>Akumulasi Penyusutan Inventaris Ruangan</t>
        </is>
      </c>
      <c r="L51" s="5">
        <f>Penyusutan!M51</f>
        <v/>
      </c>
      <c r="M51" s="3">
        <f>IF(E51="","","Penyusutan "&amp;E51&amp;" periode "&amp;C51)</f>
        <v/>
      </c>
    </row>
    <row r="52">
      <c r="A52" s="3">
        <f>IF(Penyusutan!D52="","","JRN-"&amp;TEXT(ROW()-1,"0000"))</f>
        <v/>
      </c>
      <c r="B52" s="4" t="n">
        <v>46022</v>
      </c>
      <c r="C52" s="3">
        <f>Penyusutan!B52</f>
        <v/>
      </c>
      <c r="D52" s="3">
        <f>Penyusutan!C52</f>
        <v/>
      </c>
      <c r="E52" s="3">
        <f>Penyusutan!D52</f>
        <v/>
      </c>
      <c r="F52" s="3" t="inlineStr">
        <is>
          <t>Inventaris Ruangan</t>
        </is>
      </c>
      <c r="G52" s="3" t="inlineStr"/>
      <c r="H52" s="3" t="inlineStr">
        <is>
          <t>Beban Penyusutan Inventaris Ruangan</t>
        </is>
      </c>
      <c r="I52" s="5">
        <f>Penyusutan!M52</f>
        <v/>
      </c>
      <c r="J52" s="3" t="inlineStr"/>
      <c r="K52" s="3" t="inlineStr">
        <is>
          <t>Akumulasi Penyusutan Inventaris Ruangan</t>
        </is>
      </c>
      <c r="L52" s="5">
        <f>Penyusutan!M52</f>
        <v/>
      </c>
      <c r="M52" s="3">
        <f>IF(E52="","","Penyusutan "&amp;E52&amp;" periode "&amp;C52)</f>
        <v/>
      </c>
    </row>
    <row r="53">
      <c r="A53" s="3">
        <f>IF(Penyusutan!D53="","","JRN-"&amp;TEXT(ROW()-1,"0000"))</f>
        <v/>
      </c>
      <c r="B53" s="4" t="n">
        <v>46022</v>
      </c>
      <c r="C53" s="3">
        <f>Penyusutan!B53</f>
        <v/>
      </c>
      <c r="D53" s="3">
        <f>Penyusutan!C53</f>
        <v/>
      </c>
      <c r="E53" s="3">
        <f>Penyusutan!D53</f>
        <v/>
      </c>
      <c r="F53" s="3" t="inlineStr">
        <is>
          <t>Inventaris Ruangan</t>
        </is>
      </c>
      <c r="G53" s="3" t="inlineStr"/>
      <c r="H53" s="3" t="inlineStr">
        <is>
          <t>Beban Penyusutan Inventaris Ruangan</t>
        </is>
      </c>
      <c r="I53" s="5">
        <f>Penyusutan!M53</f>
        <v/>
      </c>
      <c r="J53" s="3" t="inlineStr"/>
      <c r="K53" s="3" t="inlineStr">
        <is>
          <t>Akumulasi Penyusutan Inventaris Ruangan</t>
        </is>
      </c>
      <c r="L53" s="5">
        <f>Penyusutan!M53</f>
        <v/>
      </c>
      <c r="M53" s="3">
        <f>IF(E53="","","Penyusutan "&amp;E53&amp;" periode "&amp;C53)</f>
        <v/>
      </c>
    </row>
    <row r="54">
      <c r="A54" s="3">
        <f>IF(Penyusutan!D54="","","JRN-"&amp;TEXT(ROW()-1,"0000"))</f>
        <v/>
      </c>
      <c r="B54" s="4" t="n">
        <v>46022</v>
      </c>
      <c r="C54" s="3">
        <f>Penyusutan!B54</f>
        <v/>
      </c>
      <c r="D54" s="3">
        <f>Penyusutan!C54</f>
        <v/>
      </c>
      <c r="E54" s="3">
        <f>Penyusutan!D54</f>
        <v/>
      </c>
      <c r="F54" s="3" t="inlineStr">
        <is>
          <t>Inventaris Ruangan</t>
        </is>
      </c>
      <c r="G54" s="3" t="inlineStr"/>
      <c r="H54" s="3" t="inlineStr">
        <is>
          <t>Beban Penyusutan Inventaris Ruangan</t>
        </is>
      </c>
      <c r="I54" s="5">
        <f>Penyusutan!M54</f>
        <v/>
      </c>
      <c r="J54" s="3" t="inlineStr"/>
      <c r="K54" s="3" t="inlineStr">
        <is>
          <t>Akumulasi Penyusutan Inventaris Ruangan</t>
        </is>
      </c>
      <c r="L54" s="5">
        <f>Penyusutan!M54</f>
        <v/>
      </c>
      <c r="M54" s="3">
        <f>IF(E54="","","Penyusutan "&amp;E54&amp;" periode "&amp;C54)</f>
        <v/>
      </c>
    </row>
    <row r="55">
      <c r="A55" s="3">
        <f>IF(Penyusutan!D55="","","JRN-"&amp;TEXT(ROW()-1,"0000"))</f>
        <v/>
      </c>
      <c r="B55" s="4" t="n">
        <v>46022</v>
      </c>
      <c r="C55" s="3">
        <f>Penyusutan!B55</f>
        <v/>
      </c>
      <c r="D55" s="3">
        <f>Penyusutan!C55</f>
        <v/>
      </c>
      <c r="E55" s="3">
        <f>Penyusutan!D55</f>
        <v/>
      </c>
      <c r="F55" s="3" t="inlineStr">
        <is>
          <t>Inventaris Ruangan</t>
        </is>
      </c>
      <c r="G55" s="3" t="inlineStr"/>
      <c r="H55" s="3" t="inlineStr">
        <is>
          <t>Beban Penyusutan Inventaris Ruangan</t>
        </is>
      </c>
      <c r="I55" s="5">
        <f>Penyusutan!M55</f>
        <v/>
      </c>
      <c r="J55" s="3" t="inlineStr"/>
      <c r="K55" s="3" t="inlineStr">
        <is>
          <t>Akumulasi Penyusutan Inventaris Ruangan</t>
        </is>
      </c>
      <c r="L55" s="5">
        <f>Penyusutan!M55</f>
        <v/>
      </c>
      <c r="M55" s="3">
        <f>IF(E55="","","Penyusutan "&amp;E55&amp;" periode "&amp;C55)</f>
        <v/>
      </c>
    </row>
    <row r="56">
      <c r="A56" s="3">
        <f>IF(Penyusutan!D56="","","JRN-"&amp;TEXT(ROW()-1,"0000"))</f>
        <v/>
      </c>
      <c r="B56" s="4" t="n">
        <v>46022</v>
      </c>
      <c r="C56" s="3">
        <f>Penyusutan!B56</f>
        <v/>
      </c>
      <c r="D56" s="3">
        <f>Penyusutan!C56</f>
        <v/>
      </c>
      <c r="E56" s="3">
        <f>Penyusutan!D56</f>
        <v/>
      </c>
      <c r="F56" s="3" t="inlineStr">
        <is>
          <t>Inventaris Ruangan</t>
        </is>
      </c>
      <c r="G56" s="3" t="inlineStr"/>
      <c r="H56" s="3" t="inlineStr">
        <is>
          <t>Beban Penyusutan Inventaris Ruangan</t>
        </is>
      </c>
      <c r="I56" s="5">
        <f>Penyusutan!M56</f>
        <v/>
      </c>
      <c r="J56" s="3" t="inlineStr"/>
      <c r="K56" s="3" t="inlineStr">
        <is>
          <t>Akumulasi Penyusutan Inventaris Ruangan</t>
        </is>
      </c>
      <c r="L56" s="5">
        <f>Penyusutan!M56</f>
        <v/>
      </c>
      <c r="M56" s="3">
        <f>IF(E56="","","Penyusutan "&amp;E56&amp;" periode "&amp;C56)</f>
        <v/>
      </c>
    </row>
    <row r="57">
      <c r="A57" s="3">
        <f>IF(Penyusutan!D57="","","JRN-"&amp;TEXT(ROW()-1,"0000"))</f>
        <v/>
      </c>
      <c r="B57" s="4" t="n">
        <v>46022</v>
      </c>
      <c r="C57" s="3">
        <f>Penyusutan!B57</f>
        <v/>
      </c>
      <c r="D57" s="3">
        <f>Penyusutan!C57</f>
        <v/>
      </c>
      <c r="E57" s="3">
        <f>Penyusutan!D57</f>
        <v/>
      </c>
      <c r="F57" s="3" t="inlineStr">
        <is>
          <t>Inventaris Ruangan</t>
        </is>
      </c>
      <c r="G57" s="3" t="inlineStr"/>
      <c r="H57" s="3" t="inlineStr">
        <is>
          <t>Beban Penyusutan Inventaris Ruangan</t>
        </is>
      </c>
      <c r="I57" s="5">
        <f>Penyusutan!M57</f>
        <v/>
      </c>
      <c r="J57" s="3" t="inlineStr"/>
      <c r="K57" s="3" t="inlineStr">
        <is>
          <t>Akumulasi Penyusutan Inventaris Ruangan</t>
        </is>
      </c>
      <c r="L57" s="5">
        <f>Penyusutan!M57</f>
        <v/>
      </c>
      <c r="M57" s="3">
        <f>IF(E57="","","Penyusutan "&amp;E57&amp;" periode "&amp;C57)</f>
        <v/>
      </c>
    </row>
    <row r="58">
      <c r="A58" s="3">
        <f>IF(Penyusutan!D58="","","JRN-"&amp;TEXT(ROW()-1,"0000"))</f>
        <v/>
      </c>
      <c r="B58" s="4" t="n">
        <v>46022</v>
      </c>
      <c r="C58" s="3">
        <f>Penyusutan!B58</f>
        <v/>
      </c>
      <c r="D58" s="3">
        <f>Penyusutan!C58</f>
        <v/>
      </c>
      <c r="E58" s="3">
        <f>Penyusutan!D58</f>
        <v/>
      </c>
      <c r="F58" s="3" t="inlineStr">
        <is>
          <t>Inventaris Ruangan</t>
        </is>
      </c>
      <c r="G58" s="3" t="inlineStr"/>
      <c r="H58" s="3" t="inlineStr">
        <is>
          <t>Beban Penyusutan Inventaris Ruangan</t>
        </is>
      </c>
      <c r="I58" s="5">
        <f>Penyusutan!M58</f>
        <v/>
      </c>
      <c r="J58" s="3" t="inlineStr"/>
      <c r="K58" s="3" t="inlineStr">
        <is>
          <t>Akumulasi Penyusutan Inventaris Ruangan</t>
        </is>
      </c>
      <c r="L58" s="5">
        <f>Penyusutan!M58</f>
        <v/>
      </c>
      <c r="M58" s="3">
        <f>IF(E58="","","Penyusutan "&amp;E58&amp;" periode "&amp;C58)</f>
        <v/>
      </c>
    </row>
    <row r="59">
      <c r="A59" s="3">
        <f>IF(Penyusutan!D59="","","JRN-"&amp;TEXT(ROW()-1,"0000"))</f>
        <v/>
      </c>
      <c r="B59" s="4" t="n">
        <v>46022</v>
      </c>
      <c r="C59" s="3">
        <f>Penyusutan!B59</f>
        <v/>
      </c>
      <c r="D59" s="3">
        <f>Penyusutan!C59</f>
        <v/>
      </c>
      <c r="E59" s="3">
        <f>Penyusutan!D59</f>
        <v/>
      </c>
      <c r="F59" s="3" t="inlineStr">
        <is>
          <t>Inventaris Ruangan</t>
        </is>
      </c>
      <c r="G59" s="3" t="inlineStr"/>
      <c r="H59" s="3" t="inlineStr">
        <is>
          <t>Beban Penyusutan Inventaris Ruangan</t>
        </is>
      </c>
      <c r="I59" s="5">
        <f>Penyusutan!M59</f>
        <v/>
      </c>
      <c r="J59" s="3" t="inlineStr"/>
      <c r="K59" s="3" t="inlineStr">
        <is>
          <t>Akumulasi Penyusutan Inventaris Ruangan</t>
        </is>
      </c>
      <c r="L59" s="5">
        <f>Penyusutan!M59</f>
        <v/>
      </c>
      <c r="M59" s="3">
        <f>IF(E59="","","Penyusutan "&amp;E59&amp;" periode "&amp;C59)</f>
        <v/>
      </c>
    </row>
    <row r="60">
      <c r="A60" s="3">
        <f>IF(Penyusutan!D60="","","JRN-"&amp;TEXT(ROW()-1,"0000"))</f>
        <v/>
      </c>
      <c r="B60" s="4" t="n">
        <v>46022</v>
      </c>
      <c r="C60" s="3">
        <f>Penyusutan!B60</f>
        <v/>
      </c>
      <c r="D60" s="3">
        <f>Penyusutan!C60</f>
        <v/>
      </c>
      <c r="E60" s="3">
        <f>Penyusutan!D60</f>
        <v/>
      </c>
      <c r="F60" s="3" t="inlineStr">
        <is>
          <t>Inventaris Ruangan</t>
        </is>
      </c>
      <c r="G60" s="3" t="inlineStr"/>
      <c r="H60" s="3" t="inlineStr">
        <is>
          <t>Beban Penyusutan Inventaris Ruangan</t>
        </is>
      </c>
      <c r="I60" s="5">
        <f>Penyusutan!M60</f>
        <v/>
      </c>
      <c r="J60" s="3" t="inlineStr"/>
      <c r="K60" s="3" t="inlineStr">
        <is>
          <t>Akumulasi Penyusutan Inventaris Ruangan</t>
        </is>
      </c>
      <c r="L60" s="5">
        <f>Penyusutan!M60</f>
        <v/>
      </c>
      <c r="M60" s="3">
        <f>IF(E60="","","Penyusutan "&amp;E60&amp;" periode "&amp;C60)</f>
        <v/>
      </c>
    </row>
    <row r="61">
      <c r="A61" s="3">
        <f>IF(Penyusutan!D61="","","JRN-"&amp;TEXT(ROW()-1,"0000"))</f>
        <v/>
      </c>
      <c r="B61" s="4" t="n">
        <v>46022</v>
      </c>
      <c r="C61" s="3">
        <f>Penyusutan!B61</f>
        <v/>
      </c>
      <c r="D61" s="3">
        <f>Penyusutan!C61</f>
        <v/>
      </c>
      <c r="E61" s="3">
        <f>Penyusutan!D61</f>
        <v/>
      </c>
      <c r="F61" s="3" t="inlineStr">
        <is>
          <t>Inventaris Ruangan</t>
        </is>
      </c>
      <c r="G61" s="3" t="inlineStr"/>
      <c r="H61" s="3" t="inlineStr">
        <is>
          <t>Beban Penyusutan Inventaris Ruangan</t>
        </is>
      </c>
      <c r="I61" s="5">
        <f>Penyusutan!M61</f>
        <v/>
      </c>
      <c r="J61" s="3" t="inlineStr"/>
      <c r="K61" s="3" t="inlineStr">
        <is>
          <t>Akumulasi Penyusutan Inventaris Ruangan</t>
        </is>
      </c>
      <c r="L61" s="5">
        <f>Penyusutan!M61</f>
        <v/>
      </c>
      <c r="M61" s="3">
        <f>IF(E61="","","Penyusutan "&amp;E61&amp;" periode "&amp;C61)</f>
        <v/>
      </c>
    </row>
    <row r="62">
      <c r="A62" s="3">
        <f>IF(Penyusutan!D62="","","JRN-"&amp;TEXT(ROW()-1,"0000"))</f>
        <v/>
      </c>
      <c r="B62" s="4" t="n">
        <v>46022</v>
      </c>
      <c r="C62" s="3">
        <f>Penyusutan!B62</f>
        <v/>
      </c>
      <c r="D62" s="3">
        <f>Penyusutan!C62</f>
        <v/>
      </c>
      <c r="E62" s="3">
        <f>Penyusutan!D62</f>
        <v/>
      </c>
      <c r="F62" s="3" t="inlineStr">
        <is>
          <t>Inventaris Ruangan</t>
        </is>
      </c>
      <c r="G62" s="3" t="inlineStr"/>
      <c r="H62" s="3" t="inlineStr">
        <is>
          <t>Beban Penyusutan Inventaris Ruangan</t>
        </is>
      </c>
      <c r="I62" s="5">
        <f>Penyusutan!M62</f>
        <v/>
      </c>
      <c r="J62" s="3" t="inlineStr"/>
      <c r="K62" s="3" t="inlineStr">
        <is>
          <t>Akumulasi Penyusutan Inventaris Ruangan</t>
        </is>
      </c>
      <c r="L62" s="5">
        <f>Penyusutan!M62</f>
        <v/>
      </c>
      <c r="M62" s="3">
        <f>IF(E62="","","Penyusutan "&amp;E62&amp;" periode "&amp;C62)</f>
        <v/>
      </c>
    </row>
    <row r="63">
      <c r="A63" s="3">
        <f>IF(Penyusutan!D63="","","JRN-"&amp;TEXT(ROW()-1,"0000"))</f>
        <v/>
      </c>
      <c r="B63" s="4" t="n">
        <v>46022</v>
      </c>
      <c r="C63" s="3">
        <f>Penyusutan!B63</f>
        <v/>
      </c>
      <c r="D63" s="3">
        <f>Penyusutan!C63</f>
        <v/>
      </c>
      <c r="E63" s="3">
        <f>Penyusutan!D63</f>
        <v/>
      </c>
      <c r="F63" s="3" t="inlineStr">
        <is>
          <t>Inventaris Ruangan</t>
        </is>
      </c>
      <c r="G63" s="3" t="inlineStr"/>
      <c r="H63" s="3" t="inlineStr">
        <is>
          <t>Beban Penyusutan Inventaris Ruangan</t>
        </is>
      </c>
      <c r="I63" s="5">
        <f>Penyusutan!M63</f>
        <v/>
      </c>
      <c r="J63" s="3" t="inlineStr"/>
      <c r="K63" s="3" t="inlineStr">
        <is>
          <t>Akumulasi Penyusutan Inventaris Ruangan</t>
        </is>
      </c>
      <c r="L63" s="5">
        <f>Penyusutan!M63</f>
        <v/>
      </c>
      <c r="M63" s="3">
        <f>IF(E63="","","Penyusutan "&amp;E63&amp;" periode "&amp;C63)</f>
        <v/>
      </c>
    </row>
    <row r="64">
      <c r="A64" s="3">
        <f>IF(Penyusutan!D64="","","JRN-"&amp;TEXT(ROW()-1,"0000"))</f>
        <v/>
      </c>
      <c r="B64" s="4" t="n">
        <v>46022</v>
      </c>
      <c r="C64" s="3">
        <f>Penyusutan!B64</f>
        <v/>
      </c>
      <c r="D64" s="3">
        <f>Penyusutan!C64</f>
        <v/>
      </c>
      <c r="E64" s="3">
        <f>Penyusutan!D64</f>
        <v/>
      </c>
      <c r="F64" s="3" t="inlineStr">
        <is>
          <t>Inventaris Ruangan</t>
        </is>
      </c>
      <c r="G64" s="3" t="inlineStr"/>
      <c r="H64" s="3" t="inlineStr">
        <is>
          <t>Beban Penyusutan Inventaris Ruangan</t>
        </is>
      </c>
      <c r="I64" s="5">
        <f>Penyusutan!M64</f>
        <v/>
      </c>
      <c r="J64" s="3" t="inlineStr"/>
      <c r="K64" s="3" t="inlineStr">
        <is>
          <t>Akumulasi Penyusutan Inventaris Ruangan</t>
        </is>
      </c>
      <c r="L64" s="5">
        <f>Penyusutan!M64</f>
        <v/>
      </c>
      <c r="M64" s="3">
        <f>IF(E64="","","Penyusutan "&amp;E64&amp;" periode "&amp;C64)</f>
        <v/>
      </c>
    </row>
    <row r="65">
      <c r="A65" s="3">
        <f>IF(Penyusutan!D65="","","JRN-"&amp;TEXT(ROW()-1,"0000"))</f>
        <v/>
      </c>
      <c r="B65" s="4" t="n">
        <v>46022</v>
      </c>
      <c r="C65" s="3">
        <f>Penyusutan!B65</f>
        <v/>
      </c>
      <c r="D65" s="3">
        <f>Penyusutan!C65</f>
        <v/>
      </c>
      <c r="E65" s="3">
        <f>Penyusutan!D65</f>
        <v/>
      </c>
      <c r="F65" s="3" t="inlineStr">
        <is>
          <t>Inventaris Ruangan</t>
        </is>
      </c>
      <c r="G65" s="3" t="inlineStr"/>
      <c r="H65" s="3" t="inlineStr">
        <is>
          <t>Beban Penyusutan Inventaris Ruangan</t>
        </is>
      </c>
      <c r="I65" s="5">
        <f>Penyusutan!M65</f>
        <v/>
      </c>
      <c r="J65" s="3" t="inlineStr"/>
      <c r="K65" s="3" t="inlineStr">
        <is>
          <t>Akumulasi Penyusutan Inventaris Ruangan</t>
        </is>
      </c>
      <c r="L65" s="5">
        <f>Penyusutan!M65</f>
        <v/>
      </c>
      <c r="M65" s="3">
        <f>IF(E65="","","Penyusutan "&amp;E65&amp;" periode "&amp;C65)</f>
        <v/>
      </c>
    </row>
    <row r="66">
      <c r="A66" s="3">
        <f>IF(Penyusutan!D66="","","JRN-"&amp;TEXT(ROW()-1,"0000"))</f>
        <v/>
      </c>
      <c r="B66" s="4" t="n">
        <v>46022</v>
      </c>
      <c r="C66" s="3">
        <f>Penyusutan!B66</f>
        <v/>
      </c>
      <c r="D66" s="3">
        <f>Penyusutan!C66</f>
        <v/>
      </c>
      <c r="E66" s="3">
        <f>Penyusutan!D66</f>
        <v/>
      </c>
      <c r="F66" s="3" t="inlineStr">
        <is>
          <t>Inventaris Ruangan</t>
        </is>
      </c>
      <c r="G66" s="3" t="inlineStr"/>
      <c r="H66" s="3" t="inlineStr">
        <is>
          <t>Beban Penyusutan Inventaris Ruangan</t>
        </is>
      </c>
      <c r="I66" s="5">
        <f>Penyusutan!M66</f>
        <v/>
      </c>
      <c r="J66" s="3" t="inlineStr"/>
      <c r="K66" s="3" t="inlineStr">
        <is>
          <t>Akumulasi Penyusutan Inventaris Ruangan</t>
        </is>
      </c>
      <c r="L66" s="5">
        <f>Penyusutan!M66</f>
        <v/>
      </c>
      <c r="M66" s="3">
        <f>IF(E66="","","Penyusutan "&amp;E66&amp;" periode "&amp;C66)</f>
        <v/>
      </c>
    </row>
    <row r="67">
      <c r="A67" s="3">
        <f>IF(Penyusutan!D67="","","JRN-"&amp;TEXT(ROW()-1,"0000"))</f>
        <v/>
      </c>
      <c r="B67" s="4" t="n">
        <v>46022</v>
      </c>
      <c r="C67" s="3">
        <f>Penyusutan!B67</f>
        <v/>
      </c>
      <c r="D67" s="3">
        <f>Penyusutan!C67</f>
        <v/>
      </c>
      <c r="E67" s="3">
        <f>Penyusutan!D67</f>
        <v/>
      </c>
      <c r="F67" s="3" t="inlineStr">
        <is>
          <t>Inventaris Ruangan</t>
        </is>
      </c>
      <c r="G67" s="3" t="inlineStr"/>
      <c r="H67" s="3" t="inlineStr">
        <is>
          <t>Beban Penyusutan Inventaris Ruangan</t>
        </is>
      </c>
      <c r="I67" s="5">
        <f>Penyusutan!M67</f>
        <v/>
      </c>
      <c r="J67" s="3" t="inlineStr"/>
      <c r="K67" s="3" t="inlineStr">
        <is>
          <t>Akumulasi Penyusutan Inventaris Ruangan</t>
        </is>
      </c>
      <c r="L67" s="5">
        <f>Penyusutan!M67</f>
        <v/>
      </c>
      <c r="M67" s="3">
        <f>IF(E67="","","Penyusutan "&amp;E67&amp;" periode "&amp;C67)</f>
        <v/>
      </c>
    </row>
    <row r="68">
      <c r="A68" s="3">
        <f>IF(Penyusutan!D68="","","JRN-"&amp;TEXT(ROW()-1,"0000"))</f>
        <v/>
      </c>
      <c r="B68" s="4" t="n">
        <v>46022</v>
      </c>
      <c r="C68" s="3">
        <f>Penyusutan!B68</f>
        <v/>
      </c>
      <c r="D68" s="3">
        <f>Penyusutan!C68</f>
        <v/>
      </c>
      <c r="E68" s="3">
        <f>Penyusutan!D68</f>
        <v/>
      </c>
      <c r="F68" s="3" t="inlineStr">
        <is>
          <t>Inventaris Ruangan</t>
        </is>
      </c>
      <c r="G68" s="3" t="inlineStr"/>
      <c r="H68" s="3" t="inlineStr">
        <is>
          <t>Beban Penyusutan Inventaris Ruangan</t>
        </is>
      </c>
      <c r="I68" s="5">
        <f>Penyusutan!M68</f>
        <v/>
      </c>
      <c r="J68" s="3" t="inlineStr"/>
      <c r="K68" s="3" t="inlineStr">
        <is>
          <t>Akumulasi Penyusutan Inventaris Ruangan</t>
        </is>
      </c>
      <c r="L68" s="5">
        <f>Penyusutan!M68</f>
        <v/>
      </c>
      <c r="M68" s="3">
        <f>IF(E68="","","Penyusutan "&amp;E68&amp;" periode "&amp;C68)</f>
        <v/>
      </c>
    </row>
    <row r="69">
      <c r="A69" s="3">
        <f>IF(Penyusutan!D69="","","JRN-"&amp;TEXT(ROW()-1,"0000"))</f>
        <v/>
      </c>
      <c r="B69" s="4" t="n">
        <v>46022</v>
      </c>
      <c r="C69" s="3">
        <f>Penyusutan!B69</f>
        <v/>
      </c>
      <c r="D69" s="3">
        <f>Penyusutan!C69</f>
        <v/>
      </c>
      <c r="E69" s="3">
        <f>Penyusutan!D69</f>
        <v/>
      </c>
      <c r="F69" s="3" t="inlineStr">
        <is>
          <t>Inventaris Ruangan</t>
        </is>
      </c>
      <c r="G69" s="3" t="inlineStr"/>
      <c r="H69" s="3" t="inlineStr">
        <is>
          <t>Beban Penyusutan Inventaris Ruangan</t>
        </is>
      </c>
      <c r="I69" s="5">
        <f>Penyusutan!M69</f>
        <v/>
      </c>
      <c r="J69" s="3" t="inlineStr"/>
      <c r="K69" s="3" t="inlineStr">
        <is>
          <t>Akumulasi Penyusutan Inventaris Ruangan</t>
        </is>
      </c>
      <c r="L69" s="5">
        <f>Penyusutan!M69</f>
        <v/>
      </c>
      <c r="M69" s="3">
        <f>IF(E69="","","Penyusutan "&amp;E69&amp;" periode "&amp;C69)</f>
        <v/>
      </c>
    </row>
    <row r="70">
      <c r="A70" s="3">
        <f>IF(Penyusutan!D70="","","JRN-"&amp;TEXT(ROW()-1,"0000"))</f>
        <v/>
      </c>
      <c r="B70" s="4" t="n">
        <v>46022</v>
      </c>
      <c r="C70" s="3">
        <f>Penyusutan!B70</f>
        <v/>
      </c>
      <c r="D70" s="3">
        <f>Penyusutan!C70</f>
        <v/>
      </c>
      <c r="E70" s="3">
        <f>Penyusutan!D70</f>
        <v/>
      </c>
      <c r="F70" s="3" t="inlineStr">
        <is>
          <t>Inventaris Ruangan</t>
        </is>
      </c>
      <c r="G70" s="3" t="inlineStr"/>
      <c r="H70" s="3" t="inlineStr">
        <is>
          <t>Beban Penyusutan Inventaris Ruangan</t>
        </is>
      </c>
      <c r="I70" s="5">
        <f>Penyusutan!M70</f>
        <v/>
      </c>
      <c r="J70" s="3" t="inlineStr"/>
      <c r="K70" s="3" t="inlineStr">
        <is>
          <t>Akumulasi Penyusutan Inventaris Ruangan</t>
        </is>
      </c>
      <c r="L70" s="5">
        <f>Penyusutan!M70</f>
        <v/>
      </c>
      <c r="M70" s="3">
        <f>IF(E70="","","Penyusutan "&amp;E70&amp;" periode "&amp;C70)</f>
        <v/>
      </c>
    </row>
    <row r="71">
      <c r="A71" s="3">
        <f>IF(Penyusutan!D71="","","JRN-"&amp;TEXT(ROW()-1,"0000"))</f>
        <v/>
      </c>
      <c r="B71" s="4" t="n">
        <v>46022</v>
      </c>
      <c r="C71" s="3">
        <f>Penyusutan!B71</f>
        <v/>
      </c>
      <c r="D71" s="3">
        <f>Penyusutan!C71</f>
        <v/>
      </c>
      <c r="E71" s="3">
        <f>Penyusutan!D71</f>
        <v/>
      </c>
      <c r="F71" s="3" t="inlineStr">
        <is>
          <t>Inventaris Ruangan</t>
        </is>
      </c>
      <c r="G71" s="3" t="inlineStr"/>
      <c r="H71" s="3" t="inlineStr">
        <is>
          <t>Beban Penyusutan Inventaris Ruangan</t>
        </is>
      </c>
      <c r="I71" s="5">
        <f>Penyusutan!M71</f>
        <v/>
      </c>
      <c r="J71" s="3" t="inlineStr"/>
      <c r="K71" s="3" t="inlineStr">
        <is>
          <t>Akumulasi Penyusutan Inventaris Ruangan</t>
        </is>
      </c>
      <c r="L71" s="5">
        <f>Penyusutan!M71</f>
        <v/>
      </c>
      <c r="M71" s="3">
        <f>IF(E71="","","Penyusutan "&amp;E71&amp;" periode "&amp;C71)</f>
        <v/>
      </c>
    </row>
    <row r="72">
      <c r="A72" s="3">
        <f>IF(Penyusutan!D72="","","JRN-"&amp;TEXT(ROW()-1,"0000"))</f>
        <v/>
      </c>
      <c r="B72" s="4" t="n">
        <v>46022</v>
      </c>
      <c r="C72" s="3">
        <f>Penyusutan!B72</f>
        <v/>
      </c>
      <c r="D72" s="3">
        <f>Penyusutan!C72</f>
        <v/>
      </c>
      <c r="E72" s="3">
        <f>Penyusutan!D72</f>
        <v/>
      </c>
      <c r="F72" s="3" t="inlineStr">
        <is>
          <t>Inventaris Ruangan</t>
        </is>
      </c>
      <c r="G72" s="3" t="inlineStr"/>
      <c r="H72" s="3" t="inlineStr">
        <is>
          <t>Beban Penyusutan Inventaris Ruangan</t>
        </is>
      </c>
      <c r="I72" s="5">
        <f>Penyusutan!M72</f>
        <v/>
      </c>
      <c r="J72" s="3" t="inlineStr"/>
      <c r="K72" s="3" t="inlineStr">
        <is>
          <t>Akumulasi Penyusutan Inventaris Ruangan</t>
        </is>
      </c>
      <c r="L72" s="5">
        <f>Penyusutan!M72</f>
        <v/>
      </c>
      <c r="M72" s="3">
        <f>IF(E72="","","Penyusutan "&amp;E72&amp;" periode "&amp;C72)</f>
        <v/>
      </c>
    </row>
    <row r="73">
      <c r="A73" s="3">
        <f>IF(Penyusutan!D73="","","JRN-"&amp;TEXT(ROW()-1,"0000"))</f>
        <v/>
      </c>
      <c r="B73" s="4" t="n">
        <v>46022</v>
      </c>
      <c r="C73" s="3">
        <f>Penyusutan!B73</f>
        <v/>
      </c>
      <c r="D73" s="3">
        <f>Penyusutan!C73</f>
        <v/>
      </c>
      <c r="E73" s="3">
        <f>Penyusutan!D73</f>
        <v/>
      </c>
      <c r="F73" s="3" t="inlineStr">
        <is>
          <t>Inventaris Ruangan</t>
        </is>
      </c>
      <c r="G73" s="3" t="inlineStr"/>
      <c r="H73" s="3" t="inlineStr">
        <is>
          <t>Beban Penyusutan Inventaris Ruangan</t>
        </is>
      </c>
      <c r="I73" s="5">
        <f>Penyusutan!M73</f>
        <v/>
      </c>
      <c r="J73" s="3" t="inlineStr"/>
      <c r="K73" s="3" t="inlineStr">
        <is>
          <t>Akumulasi Penyusutan Inventaris Ruangan</t>
        </is>
      </c>
      <c r="L73" s="5">
        <f>Penyusutan!M73</f>
        <v/>
      </c>
      <c r="M73" s="3">
        <f>IF(E73="","","Penyusutan "&amp;E73&amp;" periode "&amp;C73)</f>
        <v/>
      </c>
    </row>
    <row r="74">
      <c r="A74" s="3">
        <f>IF(Penyusutan!D74="","","JRN-"&amp;TEXT(ROW()-1,"0000"))</f>
        <v/>
      </c>
      <c r="B74" s="4" t="n">
        <v>46022</v>
      </c>
      <c r="C74" s="3">
        <f>Penyusutan!B74</f>
        <v/>
      </c>
      <c r="D74" s="3">
        <f>Penyusutan!C74</f>
        <v/>
      </c>
      <c r="E74" s="3">
        <f>Penyusutan!D74</f>
        <v/>
      </c>
      <c r="F74" s="3" t="inlineStr">
        <is>
          <t>Inventaris Ruangan</t>
        </is>
      </c>
      <c r="G74" s="3" t="inlineStr"/>
      <c r="H74" s="3" t="inlineStr">
        <is>
          <t>Beban Penyusutan Inventaris Ruangan</t>
        </is>
      </c>
      <c r="I74" s="5">
        <f>Penyusutan!M74</f>
        <v/>
      </c>
      <c r="J74" s="3" t="inlineStr"/>
      <c r="K74" s="3" t="inlineStr">
        <is>
          <t>Akumulasi Penyusutan Inventaris Ruangan</t>
        </is>
      </c>
      <c r="L74" s="5">
        <f>Penyusutan!M74</f>
        <v/>
      </c>
      <c r="M74" s="3">
        <f>IF(E74="","","Penyusutan "&amp;E74&amp;" periode "&amp;C74)</f>
        <v/>
      </c>
    </row>
    <row r="75">
      <c r="A75" s="3">
        <f>IF(Penyusutan!D75="","","JRN-"&amp;TEXT(ROW()-1,"0000"))</f>
        <v/>
      </c>
      <c r="B75" s="4" t="n">
        <v>46022</v>
      </c>
      <c r="C75" s="3">
        <f>Penyusutan!B75</f>
        <v/>
      </c>
      <c r="D75" s="3">
        <f>Penyusutan!C75</f>
        <v/>
      </c>
      <c r="E75" s="3">
        <f>Penyusutan!D75</f>
        <v/>
      </c>
      <c r="F75" s="3" t="inlineStr">
        <is>
          <t>Inventaris Ruangan</t>
        </is>
      </c>
      <c r="G75" s="3" t="inlineStr"/>
      <c r="H75" s="3" t="inlineStr">
        <is>
          <t>Beban Penyusutan Inventaris Ruangan</t>
        </is>
      </c>
      <c r="I75" s="5">
        <f>Penyusutan!M75</f>
        <v/>
      </c>
      <c r="J75" s="3" t="inlineStr"/>
      <c r="K75" s="3" t="inlineStr">
        <is>
          <t>Akumulasi Penyusutan Inventaris Ruangan</t>
        </is>
      </c>
      <c r="L75" s="5">
        <f>Penyusutan!M75</f>
        <v/>
      </c>
      <c r="M75" s="3">
        <f>IF(E75="","","Penyusutan "&amp;E75&amp;" periode "&amp;C75)</f>
        <v/>
      </c>
    </row>
    <row r="76">
      <c r="A76" s="3">
        <f>IF(Penyusutan!D76="","","JRN-"&amp;TEXT(ROW()-1,"0000"))</f>
        <v/>
      </c>
      <c r="B76" s="4" t="n">
        <v>46022</v>
      </c>
      <c r="C76" s="3">
        <f>Penyusutan!B76</f>
        <v/>
      </c>
      <c r="D76" s="3">
        <f>Penyusutan!C76</f>
        <v/>
      </c>
      <c r="E76" s="3">
        <f>Penyusutan!D76</f>
        <v/>
      </c>
      <c r="F76" s="3" t="inlineStr">
        <is>
          <t>Inventaris Ruangan</t>
        </is>
      </c>
      <c r="G76" s="3" t="inlineStr"/>
      <c r="H76" s="3" t="inlineStr">
        <is>
          <t>Beban Penyusutan Inventaris Ruangan</t>
        </is>
      </c>
      <c r="I76" s="5">
        <f>Penyusutan!M76</f>
        <v/>
      </c>
      <c r="J76" s="3" t="inlineStr"/>
      <c r="K76" s="3" t="inlineStr">
        <is>
          <t>Akumulasi Penyusutan Inventaris Ruangan</t>
        </is>
      </c>
      <c r="L76" s="5">
        <f>Penyusutan!M76</f>
        <v/>
      </c>
      <c r="M76" s="3">
        <f>IF(E76="","","Penyusutan "&amp;E76&amp;" periode "&amp;C76)</f>
        <v/>
      </c>
    </row>
    <row r="77">
      <c r="A77" s="3">
        <f>IF(Penyusutan!D77="","","JRN-"&amp;TEXT(ROW()-1,"0000"))</f>
        <v/>
      </c>
      <c r="B77" s="4" t="n">
        <v>46022</v>
      </c>
      <c r="C77" s="3">
        <f>Penyusutan!B77</f>
        <v/>
      </c>
      <c r="D77" s="3">
        <f>Penyusutan!C77</f>
        <v/>
      </c>
      <c r="E77" s="3">
        <f>Penyusutan!D77</f>
        <v/>
      </c>
      <c r="F77" s="3" t="inlineStr">
        <is>
          <t>Inventaris Ruangan</t>
        </is>
      </c>
      <c r="G77" s="3" t="inlineStr"/>
      <c r="H77" s="3" t="inlineStr">
        <is>
          <t>Beban Penyusutan Inventaris Ruangan</t>
        </is>
      </c>
      <c r="I77" s="5">
        <f>Penyusutan!M77</f>
        <v/>
      </c>
      <c r="J77" s="3" t="inlineStr"/>
      <c r="K77" s="3" t="inlineStr">
        <is>
          <t>Akumulasi Penyusutan Inventaris Ruangan</t>
        </is>
      </c>
      <c r="L77" s="5">
        <f>Penyusutan!M77</f>
        <v/>
      </c>
      <c r="M77" s="3">
        <f>IF(E77="","","Penyusutan "&amp;E77&amp;" periode "&amp;C77)</f>
        <v/>
      </c>
    </row>
    <row r="78">
      <c r="A78" s="3">
        <f>IF(Penyusutan!D78="","","JRN-"&amp;TEXT(ROW()-1,"0000"))</f>
        <v/>
      </c>
      <c r="B78" s="4" t="n">
        <v>46022</v>
      </c>
      <c r="C78" s="3">
        <f>Penyusutan!B78</f>
        <v/>
      </c>
      <c r="D78" s="3">
        <f>Penyusutan!C78</f>
        <v/>
      </c>
      <c r="E78" s="3">
        <f>Penyusutan!D78</f>
        <v/>
      </c>
      <c r="F78" s="3" t="inlineStr">
        <is>
          <t>Inventaris Ruangan</t>
        </is>
      </c>
      <c r="G78" s="3" t="inlineStr"/>
      <c r="H78" s="3" t="inlineStr">
        <is>
          <t>Beban Penyusutan Inventaris Ruangan</t>
        </is>
      </c>
      <c r="I78" s="5">
        <f>Penyusutan!M78</f>
        <v/>
      </c>
      <c r="J78" s="3" t="inlineStr"/>
      <c r="K78" s="3" t="inlineStr">
        <is>
          <t>Akumulasi Penyusutan Inventaris Ruangan</t>
        </is>
      </c>
      <c r="L78" s="5">
        <f>Penyusutan!M78</f>
        <v/>
      </c>
      <c r="M78" s="3">
        <f>IF(E78="","","Penyusutan "&amp;E78&amp;" periode "&amp;C78)</f>
        <v/>
      </c>
    </row>
    <row r="79">
      <c r="A79" s="3">
        <f>IF(Penyusutan!D79="","","JRN-"&amp;TEXT(ROW()-1,"0000"))</f>
        <v/>
      </c>
      <c r="B79" s="4" t="n">
        <v>46022</v>
      </c>
      <c r="C79" s="3">
        <f>Penyusutan!B79</f>
        <v/>
      </c>
      <c r="D79" s="3">
        <f>Penyusutan!C79</f>
        <v/>
      </c>
      <c r="E79" s="3">
        <f>Penyusutan!D79</f>
        <v/>
      </c>
      <c r="F79" s="3" t="inlineStr">
        <is>
          <t>Inventaris Ruangan</t>
        </is>
      </c>
      <c r="G79" s="3" t="inlineStr"/>
      <c r="H79" s="3" t="inlineStr">
        <is>
          <t>Beban Penyusutan Inventaris Ruangan</t>
        </is>
      </c>
      <c r="I79" s="5">
        <f>Penyusutan!M79</f>
        <v/>
      </c>
      <c r="J79" s="3" t="inlineStr"/>
      <c r="K79" s="3" t="inlineStr">
        <is>
          <t>Akumulasi Penyusutan Inventaris Ruangan</t>
        </is>
      </c>
      <c r="L79" s="5">
        <f>Penyusutan!M79</f>
        <v/>
      </c>
      <c r="M79" s="3">
        <f>IF(E79="","","Penyusutan "&amp;E79&amp;" periode "&amp;C79)</f>
        <v/>
      </c>
    </row>
    <row r="80">
      <c r="A80" s="3">
        <f>IF(Penyusutan!D80="","","JRN-"&amp;TEXT(ROW()-1,"0000"))</f>
        <v/>
      </c>
      <c r="B80" s="4" t="n">
        <v>46022</v>
      </c>
      <c r="C80" s="3">
        <f>Penyusutan!B80</f>
        <v/>
      </c>
      <c r="D80" s="3">
        <f>Penyusutan!C80</f>
        <v/>
      </c>
      <c r="E80" s="3">
        <f>Penyusutan!D80</f>
        <v/>
      </c>
      <c r="F80" s="3" t="inlineStr">
        <is>
          <t>Inventaris Ruangan</t>
        </is>
      </c>
      <c r="G80" s="3" t="inlineStr"/>
      <c r="H80" s="3" t="inlineStr">
        <is>
          <t>Beban Penyusutan Inventaris Ruangan</t>
        </is>
      </c>
      <c r="I80" s="5">
        <f>Penyusutan!M80</f>
        <v/>
      </c>
      <c r="J80" s="3" t="inlineStr"/>
      <c r="K80" s="3" t="inlineStr">
        <is>
          <t>Akumulasi Penyusutan Inventaris Ruangan</t>
        </is>
      </c>
      <c r="L80" s="5">
        <f>Penyusutan!M80</f>
        <v/>
      </c>
      <c r="M80" s="3">
        <f>IF(E80="","","Penyusutan "&amp;E80&amp;" periode "&amp;C80)</f>
        <v/>
      </c>
    </row>
    <row r="81">
      <c r="A81" s="3">
        <f>IF(Penyusutan!D81="","","JRN-"&amp;TEXT(ROW()-1,"0000"))</f>
        <v/>
      </c>
      <c r="B81" s="4" t="n">
        <v>46022</v>
      </c>
      <c r="C81" s="3">
        <f>Penyusutan!B81</f>
        <v/>
      </c>
      <c r="D81" s="3">
        <f>Penyusutan!C81</f>
        <v/>
      </c>
      <c r="E81" s="3">
        <f>Penyusutan!D81</f>
        <v/>
      </c>
      <c r="F81" s="3" t="inlineStr">
        <is>
          <t>Inventaris Ruangan</t>
        </is>
      </c>
      <c r="G81" s="3" t="inlineStr"/>
      <c r="H81" s="3" t="inlineStr">
        <is>
          <t>Beban Penyusutan Inventaris Ruangan</t>
        </is>
      </c>
      <c r="I81" s="5">
        <f>Penyusutan!M81</f>
        <v/>
      </c>
      <c r="J81" s="3" t="inlineStr"/>
      <c r="K81" s="3" t="inlineStr">
        <is>
          <t>Akumulasi Penyusutan Inventaris Ruangan</t>
        </is>
      </c>
      <c r="L81" s="5">
        <f>Penyusutan!M81</f>
        <v/>
      </c>
      <c r="M81" s="3">
        <f>IF(E81="","","Penyusutan "&amp;E81&amp;" periode "&amp;C81)</f>
        <v/>
      </c>
    </row>
    <row r="82">
      <c r="A82" s="3">
        <f>IF(Penyusutan!D82="","","JRN-"&amp;TEXT(ROW()-1,"0000"))</f>
        <v/>
      </c>
      <c r="B82" s="4" t="n">
        <v>46022</v>
      </c>
      <c r="C82" s="3">
        <f>Penyusutan!B82</f>
        <v/>
      </c>
      <c r="D82" s="3">
        <f>Penyusutan!C82</f>
        <v/>
      </c>
      <c r="E82" s="3">
        <f>Penyusutan!D82</f>
        <v/>
      </c>
      <c r="F82" s="3" t="inlineStr">
        <is>
          <t>Inventaris Ruangan</t>
        </is>
      </c>
      <c r="G82" s="3" t="inlineStr"/>
      <c r="H82" s="3" t="inlineStr">
        <is>
          <t>Beban Penyusutan Inventaris Ruangan</t>
        </is>
      </c>
      <c r="I82" s="5">
        <f>Penyusutan!M82</f>
        <v/>
      </c>
      <c r="J82" s="3" t="inlineStr"/>
      <c r="K82" s="3" t="inlineStr">
        <is>
          <t>Akumulasi Penyusutan Inventaris Ruangan</t>
        </is>
      </c>
      <c r="L82" s="5">
        <f>Penyusutan!M82</f>
        <v/>
      </c>
      <c r="M82" s="3">
        <f>IF(E82="","","Penyusutan "&amp;E82&amp;" periode "&amp;C82)</f>
        <v/>
      </c>
    </row>
    <row r="83">
      <c r="A83" s="3">
        <f>IF(Penyusutan!D83="","","JRN-"&amp;TEXT(ROW()-1,"0000"))</f>
        <v/>
      </c>
      <c r="B83" s="4" t="n">
        <v>46022</v>
      </c>
      <c r="C83" s="3">
        <f>Penyusutan!B83</f>
        <v/>
      </c>
      <c r="D83" s="3">
        <f>Penyusutan!C83</f>
        <v/>
      </c>
      <c r="E83" s="3">
        <f>Penyusutan!D83</f>
        <v/>
      </c>
      <c r="F83" s="3" t="inlineStr">
        <is>
          <t>Inventaris Ruangan</t>
        </is>
      </c>
      <c r="G83" s="3" t="inlineStr"/>
      <c r="H83" s="3" t="inlineStr">
        <is>
          <t>Beban Penyusutan Inventaris Ruangan</t>
        </is>
      </c>
      <c r="I83" s="5">
        <f>Penyusutan!M83</f>
        <v/>
      </c>
      <c r="J83" s="3" t="inlineStr"/>
      <c r="K83" s="3" t="inlineStr">
        <is>
          <t>Akumulasi Penyusutan Inventaris Ruangan</t>
        </is>
      </c>
      <c r="L83" s="5">
        <f>Penyusutan!M83</f>
        <v/>
      </c>
      <c r="M83" s="3">
        <f>IF(E83="","","Penyusutan "&amp;E83&amp;" periode "&amp;C83)</f>
        <v/>
      </c>
    </row>
    <row r="84">
      <c r="A84" s="3">
        <f>IF(Penyusutan!D84="","","JRN-"&amp;TEXT(ROW()-1,"0000"))</f>
        <v/>
      </c>
      <c r="B84" s="4" t="n">
        <v>46022</v>
      </c>
      <c r="C84" s="3">
        <f>Penyusutan!B84</f>
        <v/>
      </c>
      <c r="D84" s="3">
        <f>Penyusutan!C84</f>
        <v/>
      </c>
      <c r="E84" s="3">
        <f>Penyusutan!D84</f>
        <v/>
      </c>
      <c r="F84" s="3" t="inlineStr">
        <is>
          <t>Inventaris Ruangan</t>
        </is>
      </c>
      <c r="G84" s="3" t="inlineStr"/>
      <c r="H84" s="3" t="inlineStr">
        <is>
          <t>Beban Penyusutan Inventaris Ruangan</t>
        </is>
      </c>
      <c r="I84" s="5">
        <f>Penyusutan!M84</f>
        <v/>
      </c>
      <c r="J84" s="3" t="inlineStr"/>
      <c r="K84" s="3" t="inlineStr">
        <is>
          <t>Akumulasi Penyusutan Inventaris Ruangan</t>
        </is>
      </c>
      <c r="L84" s="5">
        <f>Penyusutan!M84</f>
        <v/>
      </c>
      <c r="M84" s="3">
        <f>IF(E84="","","Penyusutan "&amp;E84&amp;" periode "&amp;C84)</f>
        <v/>
      </c>
    </row>
    <row r="85">
      <c r="A85" s="3">
        <f>IF(Penyusutan!D85="","","JRN-"&amp;TEXT(ROW()-1,"0000"))</f>
        <v/>
      </c>
      <c r="B85" s="4" t="n">
        <v>46022</v>
      </c>
      <c r="C85" s="3">
        <f>Penyusutan!B85</f>
        <v/>
      </c>
      <c r="D85" s="3">
        <f>Penyusutan!C85</f>
        <v/>
      </c>
      <c r="E85" s="3">
        <f>Penyusutan!D85</f>
        <v/>
      </c>
      <c r="F85" s="3" t="inlineStr">
        <is>
          <t>Inventaris Ruangan</t>
        </is>
      </c>
      <c r="G85" s="3" t="inlineStr"/>
      <c r="H85" s="3" t="inlineStr">
        <is>
          <t>Beban Penyusutan Inventaris Ruangan</t>
        </is>
      </c>
      <c r="I85" s="5">
        <f>Penyusutan!M85</f>
        <v/>
      </c>
      <c r="J85" s="3" t="inlineStr"/>
      <c r="K85" s="3" t="inlineStr">
        <is>
          <t>Akumulasi Penyusutan Inventaris Ruangan</t>
        </is>
      </c>
      <c r="L85" s="5">
        <f>Penyusutan!M85</f>
        <v/>
      </c>
      <c r="M85" s="3">
        <f>IF(E85="","","Penyusutan "&amp;E85&amp;" periode "&amp;C85)</f>
        <v/>
      </c>
    </row>
    <row r="86">
      <c r="A86" s="3">
        <f>IF(Penyusutan!D86="","","JRN-"&amp;TEXT(ROW()-1,"0000"))</f>
        <v/>
      </c>
      <c r="B86" s="4" t="n">
        <v>46022</v>
      </c>
      <c r="C86" s="3">
        <f>Penyusutan!B86</f>
        <v/>
      </c>
      <c r="D86" s="3">
        <f>Penyusutan!C86</f>
        <v/>
      </c>
      <c r="E86" s="3">
        <f>Penyusutan!D86</f>
        <v/>
      </c>
      <c r="F86" s="3" t="inlineStr">
        <is>
          <t>Inventaris Ruangan</t>
        </is>
      </c>
      <c r="G86" s="3" t="inlineStr"/>
      <c r="H86" s="3" t="inlineStr">
        <is>
          <t>Beban Penyusutan Inventaris Ruangan</t>
        </is>
      </c>
      <c r="I86" s="5">
        <f>Penyusutan!M86</f>
        <v/>
      </c>
      <c r="J86" s="3" t="inlineStr"/>
      <c r="K86" s="3" t="inlineStr">
        <is>
          <t>Akumulasi Penyusutan Inventaris Ruangan</t>
        </is>
      </c>
      <c r="L86" s="5">
        <f>Penyusutan!M86</f>
        <v/>
      </c>
      <c r="M86" s="3">
        <f>IF(E86="","","Penyusutan "&amp;E86&amp;" periode "&amp;C86)</f>
        <v/>
      </c>
    </row>
    <row r="87">
      <c r="A87" s="3">
        <f>IF(Penyusutan!D87="","","JRN-"&amp;TEXT(ROW()-1,"0000"))</f>
        <v/>
      </c>
      <c r="B87" s="4" t="n">
        <v>46022</v>
      </c>
      <c r="C87" s="3">
        <f>Penyusutan!B87</f>
        <v/>
      </c>
      <c r="D87" s="3">
        <f>Penyusutan!C87</f>
        <v/>
      </c>
      <c r="E87" s="3">
        <f>Penyusutan!D87</f>
        <v/>
      </c>
      <c r="F87" s="3" t="inlineStr">
        <is>
          <t>Inventaris Ruangan</t>
        </is>
      </c>
      <c r="G87" s="3" t="inlineStr"/>
      <c r="H87" s="3" t="inlineStr">
        <is>
          <t>Beban Penyusutan Inventaris Ruangan</t>
        </is>
      </c>
      <c r="I87" s="5">
        <f>Penyusutan!M87</f>
        <v/>
      </c>
      <c r="J87" s="3" t="inlineStr"/>
      <c r="K87" s="3" t="inlineStr">
        <is>
          <t>Akumulasi Penyusutan Inventaris Ruangan</t>
        </is>
      </c>
      <c r="L87" s="5">
        <f>Penyusutan!M87</f>
        <v/>
      </c>
      <c r="M87" s="3">
        <f>IF(E87="","","Penyusutan "&amp;E87&amp;" periode "&amp;C87)</f>
        <v/>
      </c>
    </row>
    <row r="88">
      <c r="A88" s="3">
        <f>IF(Penyusutan!D88="","","JRN-"&amp;TEXT(ROW()-1,"0000"))</f>
        <v/>
      </c>
      <c r="B88" s="4" t="n">
        <v>46022</v>
      </c>
      <c r="C88" s="3">
        <f>Penyusutan!B88</f>
        <v/>
      </c>
      <c r="D88" s="3">
        <f>Penyusutan!C88</f>
        <v/>
      </c>
      <c r="E88" s="3">
        <f>Penyusutan!D88</f>
        <v/>
      </c>
      <c r="F88" s="3" t="inlineStr">
        <is>
          <t>Inventaris Ruangan</t>
        </is>
      </c>
      <c r="G88" s="3" t="inlineStr"/>
      <c r="H88" s="3" t="inlineStr">
        <is>
          <t>Beban Penyusutan Inventaris Ruangan</t>
        </is>
      </c>
      <c r="I88" s="5">
        <f>Penyusutan!M88</f>
        <v/>
      </c>
      <c r="J88" s="3" t="inlineStr"/>
      <c r="K88" s="3" t="inlineStr">
        <is>
          <t>Akumulasi Penyusutan Inventaris Ruangan</t>
        </is>
      </c>
      <c r="L88" s="5">
        <f>Penyusutan!M88</f>
        <v/>
      </c>
      <c r="M88" s="3">
        <f>IF(E88="","","Penyusutan "&amp;E88&amp;" periode "&amp;C88)</f>
        <v/>
      </c>
    </row>
    <row r="89">
      <c r="A89" s="3">
        <f>IF(Penyusutan!D89="","","JRN-"&amp;TEXT(ROW()-1,"0000"))</f>
        <v/>
      </c>
      <c r="B89" s="4" t="n">
        <v>46022</v>
      </c>
      <c r="C89" s="3">
        <f>Penyusutan!B89</f>
        <v/>
      </c>
      <c r="D89" s="3">
        <f>Penyusutan!C89</f>
        <v/>
      </c>
      <c r="E89" s="3">
        <f>Penyusutan!D89</f>
        <v/>
      </c>
      <c r="F89" s="3" t="inlineStr">
        <is>
          <t>Inventaris Ruangan</t>
        </is>
      </c>
      <c r="G89" s="3" t="inlineStr"/>
      <c r="H89" s="3" t="inlineStr">
        <is>
          <t>Beban Penyusutan Inventaris Ruangan</t>
        </is>
      </c>
      <c r="I89" s="5">
        <f>Penyusutan!M89</f>
        <v/>
      </c>
      <c r="J89" s="3" t="inlineStr"/>
      <c r="K89" s="3" t="inlineStr">
        <is>
          <t>Akumulasi Penyusutan Inventaris Ruangan</t>
        </is>
      </c>
      <c r="L89" s="5">
        <f>Penyusutan!M89</f>
        <v/>
      </c>
      <c r="M89" s="3">
        <f>IF(E89="","","Penyusutan "&amp;E89&amp;" periode "&amp;C89)</f>
        <v/>
      </c>
    </row>
    <row r="90">
      <c r="A90" s="3">
        <f>IF(Penyusutan!D90="","","JRN-"&amp;TEXT(ROW()-1,"0000"))</f>
        <v/>
      </c>
      <c r="B90" s="4" t="n">
        <v>46022</v>
      </c>
      <c r="C90" s="3">
        <f>Penyusutan!B90</f>
        <v/>
      </c>
      <c r="D90" s="3">
        <f>Penyusutan!C90</f>
        <v/>
      </c>
      <c r="E90" s="3">
        <f>Penyusutan!D90</f>
        <v/>
      </c>
      <c r="F90" s="3" t="inlineStr">
        <is>
          <t>Inventaris Ruangan</t>
        </is>
      </c>
      <c r="G90" s="3" t="inlineStr"/>
      <c r="H90" s="3" t="inlineStr">
        <is>
          <t>Beban Penyusutan Inventaris Ruangan</t>
        </is>
      </c>
      <c r="I90" s="5">
        <f>Penyusutan!M90</f>
        <v/>
      </c>
      <c r="J90" s="3" t="inlineStr"/>
      <c r="K90" s="3" t="inlineStr">
        <is>
          <t>Akumulasi Penyusutan Inventaris Ruangan</t>
        </is>
      </c>
      <c r="L90" s="5">
        <f>Penyusutan!M90</f>
        <v/>
      </c>
      <c r="M90" s="3">
        <f>IF(E90="","","Penyusutan "&amp;E90&amp;" periode "&amp;C90)</f>
        <v/>
      </c>
    </row>
    <row r="91">
      <c r="A91" s="3">
        <f>IF(Penyusutan!D91="","","JRN-"&amp;TEXT(ROW()-1,"0000"))</f>
        <v/>
      </c>
      <c r="B91" s="4" t="n">
        <v>46022</v>
      </c>
      <c r="C91" s="3">
        <f>Penyusutan!B91</f>
        <v/>
      </c>
      <c r="D91" s="3">
        <f>Penyusutan!C91</f>
        <v/>
      </c>
      <c r="E91" s="3">
        <f>Penyusutan!D91</f>
        <v/>
      </c>
      <c r="F91" s="3" t="inlineStr">
        <is>
          <t>Inventaris Ruangan</t>
        </is>
      </c>
      <c r="G91" s="3" t="inlineStr"/>
      <c r="H91" s="3" t="inlineStr">
        <is>
          <t>Beban Penyusutan Inventaris Ruangan</t>
        </is>
      </c>
      <c r="I91" s="5">
        <f>Penyusutan!M91</f>
        <v/>
      </c>
      <c r="J91" s="3" t="inlineStr"/>
      <c r="K91" s="3" t="inlineStr">
        <is>
          <t>Akumulasi Penyusutan Inventaris Ruangan</t>
        </is>
      </c>
      <c r="L91" s="5">
        <f>Penyusutan!M91</f>
        <v/>
      </c>
      <c r="M91" s="3">
        <f>IF(E91="","","Penyusutan "&amp;E91&amp;" periode "&amp;C91)</f>
        <v/>
      </c>
    </row>
    <row r="92">
      <c r="A92" s="3">
        <f>IF(Penyusutan!D92="","","JRN-"&amp;TEXT(ROW()-1,"0000"))</f>
        <v/>
      </c>
      <c r="B92" s="4" t="n">
        <v>46022</v>
      </c>
      <c r="C92" s="3">
        <f>Penyusutan!B92</f>
        <v/>
      </c>
      <c r="D92" s="3">
        <f>Penyusutan!C92</f>
        <v/>
      </c>
      <c r="E92" s="3">
        <f>Penyusutan!D92</f>
        <v/>
      </c>
      <c r="F92" s="3" t="inlineStr">
        <is>
          <t>Inventaris Ruangan</t>
        </is>
      </c>
      <c r="G92" s="3" t="inlineStr"/>
      <c r="H92" s="3" t="inlineStr">
        <is>
          <t>Beban Penyusutan Inventaris Ruangan</t>
        </is>
      </c>
      <c r="I92" s="5">
        <f>Penyusutan!M92</f>
        <v/>
      </c>
      <c r="J92" s="3" t="inlineStr"/>
      <c r="K92" s="3" t="inlineStr">
        <is>
          <t>Akumulasi Penyusutan Inventaris Ruangan</t>
        </is>
      </c>
      <c r="L92" s="5">
        <f>Penyusutan!M92</f>
        <v/>
      </c>
      <c r="M92" s="3">
        <f>IF(E92="","","Penyusutan "&amp;E92&amp;" periode "&amp;C92)</f>
        <v/>
      </c>
    </row>
    <row r="93">
      <c r="A93" s="3">
        <f>IF(Penyusutan!D93="","","JRN-"&amp;TEXT(ROW()-1,"0000"))</f>
        <v/>
      </c>
      <c r="B93" s="4" t="n">
        <v>46022</v>
      </c>
      <c r="C93" s="3">
        <f>Penyusutan!B93</f>
        <v/>
      </c>
      <c r="D93" s="3">
        <f>Penyusutan!C93</f>
        <v/>
      </c>
      <c r="E93" s="3">
        <f>Penyusutan!D93</f>
        <v/>
      </c>
      <c r="F93" s="3" t="inlineStr">
        <is>
          <t>Inventaris Ruangan</t>
        </is>
      </c>
      <c r="G93" s="3" t="inlineStr"/>
      <c r="H93" s="3" t="inlineStr">
        <is>
          <t>Beban Penyusutan Inventaris Ruangan</t>
        </is>
      </c>
      <c r="I93" s="5">
        <f>Penyusutan!M93</f>
        <v/>
      </c>
      <c r="J93" s="3" t="inlineStr"/>
      <c r="K93" s="3" t="inlineStr">
        <is>
          <t>Akumulasi Penyusutan Inventaris Ruangan</t>
        </is>
      </c>
      <c r="L93" s="5">
        <f>Penyusutan!M93</f>
        <v/>
      </c>
      <c r="M93" s="3">
        <f>IF(E93="","","Penyusutan "&amp;E93&amp;" periode "&amp;C93)</f>
        <v/>
      </c>
    </row>
    <row r="94">
      <c r="A94" s="3">
        <f>IF(Penyusutan!D94="","","JRN-"&amp;TEXT(ROW()-1,"0000"))</f>
        <v/>
      </c>
      <c r="B94" s="4" t="n">
        <v>46022</v>
      </c>
      <c r="C94" s="3">
        <f>Penyusutan!B94</f>
        <v/>
      </c>
      <c r="D94" s="3">
        <f>Penyusutan!C94</f>
        <v/>
      </c>
      <c r="E94" s="3">
        <f>Penyusutan!D94</f>
        <v/>
      </c>
      <c r="F94" s="3" t="inlineStr">
        <is>
          <t>Inventaris Ruangan</t>
        </is>
      </c>
      <c r="G94" s="3" t="inlineStr"/>
      <c r="H94" s="3" t="inlineStr">
        <is>
          <t>Beban Penyusutan Inventaris Ruangan</t>
        </is>
      </c>
      <c r="I94" s="5">
        <f>Penyusutan!M94</f>
        <v/>
      </c>
      <c r="J94" s="3" t="inlineStr"/>
      <c r="K94" s="3" t="inlineStr">
        <is>
          <t>Akumulasi Penyusutan Inventaris Ruangan</t>
        </is>
      </c>
      <c r="L94" s="5">
        <f>Penyusutan!M94</f>
        <v/>
      </c>
      <c r="M94" s="3">
        <f>IF(E94="","","Penyusutan "&amp;E94&amp;" periode "&amp;C94)</f>
        <v/>
      </c>
    </row>
    <row r="95">
      <c r="A95" s="3">
        <f>IF(Penyusutan!D95="","","JRN-"&amp;TEXT(ROW()-1,"0000"))</f>
        <v/>
      </c>
      <c r="B95" s="4" t="n">
        <v>46022</v>
      </c>
      <c r="C95" s="3">
        <f>Penyusutan!B95</f>
        <v/>
      </c>
      <c r="D95" s="3">
        <f>Penyusutan!C95</f>
        <v/>
      </c>
      <c r="E95" s="3">
        <f>Penyusutan!D95</f>
        <v/>
      </c>
      <c r="F95" s="3" t="inlineStr">
        <is>
          <t>Inventaris Ruangan</t>
        </is>
      </c>
      <c r="G95" s="3" t="inlineStr"/>
      <c r="H95" s="3" t="inlineStr">
        <is>
          <t>Beban Penyusutan Inventaris Ruangan</t>
        </is>
      </c>
      <c r="I95" s="5">
        <f>Penyusutan!M95</f>
        <v/>
      </c>
      <c r="J95" s="3" t="inlineStr"/>
      <c r="K95" s="3" t="inlineStr">
        <is>
          <t>Akumulasi Penyusutan Inventaris Ruangan</t>
        </is>
      </c>
      <c r="L95" s="5">
        <f>Penyusutan!M95</f>
        <v/>
      </c>
      <c r="M95" s="3">
        <f>IF(E95="","","Penyusutan "&amp;E95&amp;" periode "&amp;C95)</f>
        <v/>
      </c>
    </row>
    <row r="96">
      <c r="A96" s="3">
        <f>IF(Penyusutan!D96="","","JRN-"&amp;TEXT(ROW()-1,"0000"))</f>
        <v/>
      </c>
      <c r="B96" s="4" t="n">
        <v>46022</v>
      </c>
      <c r="C96" s="3">
        <f>Penyusutan!B96</f>
        <v/>
      </c>
      <c r="D96" s="3">
        <f>Penyusutan!C96</f>
        <v/>
      </c>
      <c r="E96" s="3">
        <f>Penyusutan!D96</f>
        <v/>
      </c>
      <c r="F96" s="3" t="inlineStr">
        <is>
          <t>Inventaris Ruangan</t>
        </is>
      </c>
      <c r="G96" s="3" t="inlineStr"/>
      <c r="H96" s="3" t="inlineStr">
        <is>
          <t>Beban Penyusutan Inventaris Ruangan</t>
        </is>
      </c>
      <c r="I96" s="5">
        <f>Penyusutan!M96</f>
        <v/>
      </c>
      <c r="J96" s="3" t="inlineStr"/>
      <c r="K96" s="3" t="inlineStr">
        <is>
          <t>Akumulasi Penyusutan Inventaris Ruangan</t>
        </is>
      </c>
      <c r="L96" s="5">
        <f>Penyusutan!M96</f>
        <v/>
      </c>
      <c r="M96" s="3">
        <f>IF(E96="","","Penyusutan "&amp;E96&amp;" periode "&amp;C96)</f>
        <v/>
      </c>
    </row>
    <row r="97">
      <c r="A97" s="3">
        <f>IF(Penyusutan!D97="","","JRN-"&amp;TEXT(ROW()-1,"0000"))</f>
        <v/>
      </c>
      <c r="B97" s="4" t="n">
        <v>46022</v>
      </c>
      <c r="C97" s="3">
        <f>Penyusutan!B97</f>
        <v/>
      </c>
      <c r="D97" s="3">
        <f>Penyusutan!C97</f>
        <v/>
      </c>
      <c r="E97" s="3">
        <f>Penyusutan!D97</f>
        <v/>
      </c>
      <c r="F97" s="3" t="inlineStr">
        <is>
          <t>Inventaris Ruangan</t>
        </is>
      </c>
      <c r="G97" s="3" t="inlineStr"/>
      <c r="H97" s="3" t="inlineStr">
        <is>
          <t>Beban Penyusutan Inventaris Ruangan</t>
        </is>
      </c>
      <c r="I97" s="5">
        <f>Penyusutan!M97</f>
        <v/>
      </c>
      <c r="J97" s="3" t="inlineStr"/>
      <c r="K97" s="3" t="inlineStr">
        <is>
          <t>Akumulasi Penyusutan Inventaris Ruangan</t>
        </is>
      </c>
      <c r="L97" s="5">
        <f>Penyusutan!M97</f>
        <v/>
      </c>
      <c r="M97" s="3">
        <f>IF(E97="","","Penyusutan "&amp;E97&amp;" periode "&amp;C97)</f>
        <v/>
      </c>
    </row>
    <row r="98">
      <c r="A98" s="3">
        <f>IF(Penyusutan!D98="","","JRN-"&amp;TEXT(ROW()-1,"0000"))</f>
        <v/>
      </c>
      <c r="B98" s="4" t="n">
        <v>46022</v>
      </c>
      <c r="C98" s="3">
        <f>Penyusutan!B98</f>
        <v/>
      </c>
      <c r="D98" s="3">
        <f>Penyusutan!C98</f>
        <v/>
      </c>
      <c r="E98" s="3">
        <f>Penyusutan!D98</f>
        <v/>
      </c>
      <c r="F98" s="3" t="inlineStr">
        <is>
          <t>Inventaris Ruangan</t>
        </is>
      </c>
      <c r="G98" s="3" t="inlineStr"/>
      <c r="H98" s="3" t="inlineStr">
        <is>
          <t>Beban Penyusutan Inventaris Ruangan</t>
        </is>
      </c>
      <c r="I98" s="5">
        <f>Penyusutan!M98</f>
        <v/>
      </c>
      <c r="J98" s="3" t="inlineStr"/>
      <c r="K98" s="3" t="inlineStr">
        <is>
          <t>Akumulasi Penyusutan Inventaris Ruangan</t>
        </is>
      </c>
      <c r="L98" s="5">
        <f>Penyusutan!M98</f>
        <v/>
      </c>
      <c r="M98" s="3">
        <f>IF(E98="","","Penyusutan "&amp;E98&amp;" periode "&amp;C98)</f>
        <v/>
      </c>
    </row>
    <row r="99">
      <c r="A99" s="3">
        <f>IF(Penyusutan!D99="","","JRN-"&amp;TEXT(ROW()-1,"0000"))</f>
        <v/>
      </c>
      <c r="B99" s="4" t="n">
        <v>46022</v>
      </c>
      <c r="C99" s="3">
        <f>Penyusutan!B99</f>
        <v/>
      </c>
      <c r="D99" s="3">
        <f>Penyusutan!C99</f>
        <v/>
      </c>
      <c r="E99" s="3">
        <f>Penyusutan!D99</f>
        <v/>
      </c>
      <c r="F99" s="3" t="inlineStr">
        <is>
          <t>Inventaris Ruangan</t>
        </is>
      </c>
      <c r="G99" s="3" t="inlineStr"/>
      <c r="H99" s="3" t="inlineStr">
        <is>
          <t>Beban Penyusutan Inventaris Ruangan</t>
        </is>
      </c>
      <c r="I99" s="5">
        <f>Penyusutan!M99</f>
        <v/>
      </c>
      <c r="J99" s="3" t="inlineStr"/>
      <c r="K99" s="3" t="inlineStr">
        <is>
          <t>Akumulasi Penyusutan Inventaris Ruangan</t>
        </is>
      </c>
      <c r="L99" s="5">
        <f>Penyusutan!M99</f>
        <v/>
      </c>
      <c r="M99" s="3">
        <f>IF(E99="","","Penyusutan "&amp;E99&amp;" periode "&amp;C99)</f>
        <v/>
      </c>
    </row>
    <row r="100">
      <c r="A100" s="3">
        <f>IF(Penyusutan!D100="","","JRN-"&amp;TEXT(ROW()-1,"0000"))</f>
        <v/>
      </c>
      <c r="B100" s="4" t="n">
        <v>46022</v>
      </c>
      <c r="C100" s="3">
        <f>Penyusutan!B100</f>
        <v/>
      </c>
      <c r="D100" s="3">
        <f>Penyusutan!C100</f>
        <v/>
      </c>
      <c r="E100" s="3">
        <f>Penyusutan!D100</f>
        <v/>
      </c>
      <c r="F100" s="3" t="inlineStr">
        <is>
          <t>Inventaris Ruangan</t>
        </is>
      </c>
      <c r="G100" s="3" t="inlineStr"/>
      <c r="H100" s="3" t="inlineStr">
        <is>
          <t>Beban Penyusutan Inventaris Ruangan</t>
        </is>
      </c>
      <c r="I100" s="5">
        <f>Penyusutan!M100</f>
        <v/>
      </c>
      <c r="J100" s="3" t="inlineStr"/>
      <c r="K100" s="3" t="inlineStr">
        <is>
          <t>Akumulasi Penyusutan Inventaris Ruangan</t>
        </is>
      </c>
      <c r="L100" s="5">
        <f>Penyusutan!M100</f>
        <v/>
      </c>
      <c r="M100" s="3">
        <f>IF(E100="","","Penyusutan "&amp;E100&amp;" periode "&amp;C100)</f>
        <v/>
      </c>
    </row>
    <row r="101">
      <c r="A101" s="3">
        <f>IF(Penyusutan!D101="","","JRN-"&amp;TEXT(ROW()-1,"0000"))</f>
        <v/>
      </c>
      <c r="B101" s="4" t="n">
        <v>46022</v>
      </c>
      <c r="C101" s="3">
        <f>Penyusutan!B101</f>
        <v/>
      </c>
      <c r="D101" s="3">
        <f>Penyusutan!C101</f>
        <v/>
      </c>
      <c r="E101" s="3">
        <f>Penyusutan!D101</f>
        <v/>
      </c>
      <c r="F101" s="3" t="inlineStr">
        <is>
          <t>Inventaris Ruangan</t>
        </is>
      </c>
      <c r="G101" s="3" t="inlineStr"/>
      <c r="H101" s="3" t="inlineStr">
        <is>
          <t>Beban Penyusutan Inventaris Ruangan</t>
        </is>
      </c>
      <c r="I101" s="5">
        <f>Penyusutan!M101</f>
        <v/>
      </c>
      <c r="J101" s="3" t="inlineStr"/>
      <c r="K101" s="3" t="inlineStr">
        <is>
          <t>Akumulasi Penyusutan Inventaris Ruangan</t>
        </is>
      </c>
      <c r="L101" s="5">
        <f>Penyusutan!M101</f>
        <v/>
      </c>
      <c r="M101" s="3">
        <f>IF(E101="","","Penyusutan "&amp;E101&amp;" periode "&amp;C101)</f>
        <v/>
      </c>
    </row>
    <row r="102">
      <c r="A102" s="3">
        <f>IF(Penyusutan!D102="","","JRN-"&amp;TEXT(ROW()-1,"0000"))</f>
        <v/>
      </c>
      <c r="B102" s="4" t="n">
        <v>46022</v>
      </c>
      <c r="C102" s="3">
        <f>Penyusutan!B102</f>
        <v/>
      </c>
      <c r="D102" s="3">
        <f>Penyusutan!C102</f>
        <v/>
      </c>
      <c r="E102" s="3">
        <f>Penyusutan!D102</f>
        <v/>
      </c>
      <c r="F102" s="3" t="inlineStr">
        <is>
          <t>Inventaris Ruangan</t>
        </is>
      </c>
      <c r="G102" s="3" t="inlineStr"/>
      <c r="H102" s="3" t="inlineStr">
        <is>
          <t>Beban Penyusutan Inventaris Ruangan</t>
        </is>
      </c>
      <c r="I102" s="5">
        <f>Penyusutan!M102</f>
        <v/>
      </c>
      <c r="J102" s="3" t="inlineStr"/>
      <c r="K102" s="3" t="inlineStr">
        <is>
          <t>Akumulasi Penyusutan Inventaris Ruangan</t>
        </is>
      </c>
      <c r="L102" s="5">
        <f>Penyusutan!M102</f>
        <v/>
      </c>
      <c r="M102" s="3">
        <f>IF(E102="","","Penyusutan "&amp;E102&amp;" periode "&amp;C102)</f>
        <v/>
      </c>
    </row>
    <row r="103">
      <c r="A103" s="3">
        <f>IF(Penyusutan!D103="","","JRN-"&amp;TEXT(ROW()-1,"0000"))</f>
        <v/>
      </c>
      <c r="B103" s="4" t="n">
        <v>46022</v>
      </c>
      <c r="C103" s="3">
        <f>Penyusutan!B103</f>
        <v/>
      </c>
      <c r="D103" s="3">
        <f>Penyusutan!C103</f>
        <v/>
      </c>
      <c r="E103" s="3">
        <f>Penyusutan!D103</f>
        <v/>
      </c>
      <c r="F103" s="3" t="inlineStr">
        <is>
          <t>Inventaris Ruangan</t>
        </is>
      </c>
      <c r="G103" s="3" t="inlineStr"/>
      <c r="H103" s="3" t="inlineStr">
        <is>
          <t>Beban Penyusutan Inventaris Ruangan</t>
        </is>
      </c>
      <c r="I103" s="5">
        <f>Penyusutan!M103</f>
        <v/>
      </c>
      <c r="J103" s="3" t="inlineStr"/>
      <c r="K103" s="3" t="inlineStr">
        <is>
          <t>Akumulasi Penyusutan Inventaris Ruangan</t>
        </is>
      </c>
      <c r="L103" s="5">
        <f>Penyusutan!M103</f>
        <v/>
      </c>
      <c r="M103" s="3">
        <f>IF(E103="","","Penyusutan "&amp;E103&amp;" periode "&amp;C103)</f>
        <v/>
      </c>
    </row>
    <row r="104">
      <c r="A104" s="3">
        <f>IF(Penyusutan!D104="","","JRN-"&amp;TEXT(ROW()-1,"0000"))</f>
        <v/>
      </c>
      <c r="B104" s="4" t="n">
        <v>46022</v>
      </c>
      <c r="C104" s="3">
        <f>Penyusutan!B104</f>
        <v/>
      </c>
      <c r="D104" s="3">
        <f>Penyusutan!C104</f>
        <v/>
      </c>
      <c r="E104" s="3">
        <f>Penyusutan!D104</f>
        <v/>
      </c>
      <c r="F104" s="3" t="inlineStr">
        <is>
          <t>Inventaris Ruangan</t>
        </is>
      </c>
      <c r="G104" s="3" t="inlineStr"/>
      <c r="H104" s="3" t="inlineStr">
        <is>
          <t>Beban Penyusutan Inventaris Ruangan</t>
        </is>
      </c>
      <c r="I104" s="5">
        <f>Penyusutan!M104</f>
        <v/>
      </c>
      <c r="J104" s="3" t="inlineStr"/>
      <c r="K104" s="3" t="inlineStr">
        <is>
          <t>Akumulasi Penyusutan Inventaris Ruangan</t>
        </is>
      </c>
      <c r="L104" s="5">
        <f>Penyusutan!M104</f>
        <v/>
      </c>
      <c r="M104" s="3">
        <f>IF(E104="","","Penyusutan "&amp;E104&amp;" periode "&amp;C104)</f>
        <v/>
      </c>
    </row>
    <row r="105">
      <c r="A105" s="3">
        <f>IF(Penyusutan!D105="","","JRN-"&amp;TEXT(ROW()-1,"0000"))</f>
        <v/>
      </c>
      <c r="B105" s="4" t="n">
        <v>46022</v>
      </c>
      <c r="C105" s="3">
        <f>Penyusutan!B105</f>
        <v/>
      </c>
      <c r="D105" s="3">
        <f>Penyusutan!C105</f>
        <v/>
      </c>
      <c r="E105" s="3">
        <f>Penyusutan!D105</f>
        <v/>
      </c>
      <c r="F105" s="3" t="inlineStr">
        <is>
          <t>Inventaris Ruangan</t>
        </is>
      </c>
      <c r="G105" s="3" t="inlineStr"/>
      <c r="H105" s="3" t="inlineStr">
        <is>
          <t>Beban Penyusutan Inventaris Ruangan</t>
        </is>
      </c>
      <c r="I105" s="5">
        <f>Penyusutan!M105</f>
        <v/>
      </c>
      <c r="J105" s="3" t="inlineStr"/>
      <c r="K105" s="3" t="inlineStr">
        <is>
          <t>Akumulasi Penyusutan Inventaris Ruangan</t>
        </is>
      </c>
      <c r="L105" s="5">
        <f>Penyusutan!M105</f>
        <v/>
      </c>
      <c r="M105" s="3">
        <f>IF(E105="","","Penyusutan "&amp;E105&amp;" periode "&amp;C105)</f>
        <v/>
      </c>
    </row>
    <row r="106">
      <c r="A106" s="3">
        <f>IF(Penyusutan!D106="","","JRN-"&amp;TEXT(ROW()-1,"0000"))</f>
        <v/>
      </c>
      <c r="B106" s="4" t="n">
        <v>46022</v>
      </c>
      <c r="C106" s="3">
        <f>Penyusutan!B106</f>
        <v/>
      </c>
      <c r="D106" s="3">
        <f>Penyusutan!C106</f>
        <v/>
      </c>
      <c r="E106" s="3">
        <f>Penyusutan!D106</f>
        <v/>
      </c>
      <c r="F106" s="3" t="inlineStr">
        <is>
          <t>Inventaris Ruangan</t>
        </is>
      </c>
      <c r="G106" s="3" t="inlineStr"/>
      <c r="H106" s="3" t="inlineStr">
        <is>
          <t>Beban Penyusutan Inventaris Ruangan</t>
        </is>
      </c>
      <c r="I106" s="5">
        <f>Penyusutan!M106</f>
        <v/>
      </c>
      <c r="J106" s="3" t="inlineStr"/>
      <c r="K106" s="3" t="inlineStr">
        <is>
          <t>Akumulasi Penyusutan Inventaris Ruangan</t>
        </is>
      </c>
      <c r="L106" s="5">
        <f>Penyusutan!M106</f>
        <v/>
      </c>
      <c r="M106" s="3">
        <f>IF(E106="","","Penyusutan "&amp;E106&amp;" periode "&amp;C106)</f>
        <v/>
      </c>
    </row>
    <row r="107">
      <c r="A107" s="3">
        <f>IF(Penyusutan!D107="","","JRN-"&amp;TEXT(ROW()-1,"0000"))</f>
        <v/>
      </c>
      <c r="B107" s="4" t="n">
        <v>46022</v>
      </c>
      <c r="C107" s="3">
        <f>Penyusutan!B107</f>
        <v/>
      </c>
      <c r="D107" s="3">
        <f>Penyusutan!C107</f>
        <v/>
      </c>
      <c r="E107" s="3">
        <f>Penyusutan!D107</f>
        <v/>
      </c>
      <c r="F107" s="3" t="inlineStr">
        <is>
          <t>Inventaris Ruangan</t>
        </is>
      </c>
      <c r="G107" s="3" t="inlineStr"/>
      <c r="H107" s="3" t="inlineStr">
        <is>
          <t>Beban Penyusutan Inventaris Ruangan</t>
        </is>
      </c>
      <c r="I107" s="5">
        <f>Penyusutan!M107</f>
        <v/>
      </c>
      <c r="J107" s="3" t="inlineStr"/>
      <c r="K107" s="3" t="inlineStr">
        <is>
          <t>Akumulasi Penyusutan Inventaris Ruangan</t>
        </is>
      </c>
      <c r="L107" s="5">
        <f>Penyusutan!M107</f>
        <v/>
      </c>
      <c r="M107" s="3">
        <f>IF(E107="","","Penyusutan "&amp;E107&amp;" periode "&amp;C107)</f>
        <v/>
      </c>
    </row>
    <row r="108">
      <c r="A108" s="3">
        <f>IF(Penyusutan!D108="","","JRN-"&amp;TEXT(ROW()-1,"0000"))</f>
        <v/>
      </c>
      <c r="B108" s="4" t="n">
        <v>46022</v>
      </c>
      <c r="C108" s="3">
        <f>Penyusutan!B108</f>
        <v/>
      </c>
      <c r="D108" s="3">
        <f>Penyusutan!C108</f>
        <v/>
      </c>
      <c r="E108" s="3">
        <f>Penyusutan!D108</f>
        <v/>
      </c>
      <c r="F108" s="3" t="inlineStr">
        <is>
          <t>Inventaris Ruangan</t>
        </is>
      </c>
      <c r="G108" s="3" t="inlineStr"/>
      <c r="H108" s="3" t="inlineStr">
        <is>
          <t>Beban Penyusutan Inventaris Ruangan</t>
        </is>
      </c>
      <c r="I108" s="5">
        <f>Penyusutan!M108</f>
        <v/>
      </c>
      <c r="J108" s="3" t="inlineStr"/>
      <c r="K108" s="3" t="inlineStr">
        <is>
          <t>Akumulasi Penyusutan Inventaris Ruangan</t>
        </is>
      </c>
      <c r="L108" s="5">
        <f>Penyusutan!M108</f>
        <v/>
      </c>
      <c r="M108" s="3">
        <f>IF(E108="","","Penyusutan "&amp;E108&amp;" periode "&amp;C108)</f>
        <v/>
      </c>
    </row>
    <row r="109">
      <c r="A109" s="3">
        <f>IF(Penyusutan!D109="","","JRN-"&amp;TEXT(ROW()-1,"0000"))</f>
        <v/>
      </c>
      <c r="B109" s="4" t="n">
        <v>46022</v>
      </c>
      <c r="C109" s="3">
        <f>Penyusutan!B109</f>
        <v/>
      </c>
      <c r="D109" s="3">
        <f>Penyusutan!C109</f>
        <v/>
      </c>
      <c r="E109" s="3">
        <f>Penyusutan!D109</f>
        <v/>
      </c>
      <c r="F109" s="3" t="inlineStr">
        <is>
          <t>Inventaris Ruangan</t>
        </is>
      </c>
      <c r="G109" s="3" t="inlineStr"/>
      <c r="H109" s="3" t="inlineStr">
        <is>
          <t>Beban Penyusutan Inventaris Ruangan</t>
        </is>
      </c>
      <c r="I109" s="5">
        <f>Penyusutan!M109</f>
        <v/>
      </c>
      <c r="J109" s="3" t="inlineStr"/>
      <c r="K109" s="3" t="inlineStr">
        <is>
          <t>Akumulasi Penyusutan Inventaris Ruangan</t>
        </is>
      </c>
      <c r="L109" s="5">
        <f>Penyusutan!M109</f>
        <v/>
      </c>
      <c r="M109" s="3">
        <f>IF(E109="","","Penyusutan "&amp;E109&amp;" periode "&amp;C109)</f>
        <v/>
      </c>
    </row>
    <row r="110">
      <c r="A110" s="3">
        <f>IF(Penyusutan!D110="","","JRN-"&amp;TEXT(ROW()-1,"0000"))</f>
        <v/>
      </c>
      <c r="B110" s="4" t="n">
        <v>46022</v>
      </c>
      <c r="C110" s="3">
        <f>Penyusutan!B110</f>
        <v/>
      </c>
      <c r="D110" s="3">
        <f>Penyusutan!C110</f>
        <v/>
      </c>
      <c r="E110" s="3">
        <f>Penyusutan!D110</f>
        <v/>
      </c>
      <c r="F110" s="3" t="inlineStr">
        <is>
          <t>Inventaris Ruangan</t>
        </is>
      </c>
      <c r="G110" s="3" t="inlineStr"/>
      <c r="H110" s="3" t="inlineStr">
        <is>
          <t>Beban Penyusutan Inventaris Ruangan</t>
        </is>
      </c>
      <c r="I110" s="5">
        <f>Penyusutan!M110</f>
        <v/>
      </c>
      <c r="J110" s="3" t="inlineStr"/>
      <c r="K110" s="3" t="inlineStr">
        <is>
          <t>Akumulasi Penyusutan Inventaris Ruangan</t>
        </is>
      </c>
      <c r="L110" s="5">
        <f>Penyusutan!M110</f>
        <v/>
      </c>
      <c r="M110" s="3">
        <f>IF(E110="","","Penyusutan "&amp;E110&amp;" periode "&amp;C110)</f>
        <v/>
      </c>
    </row>
    <row r="111">
      <c r="A111" s="3">
        <f>IF(Penyusutan!D111="","","JRN-"&amp;TEXT(ROW()-1,"0000"))</f>
        <v/>
      </c>
      <c r="B111" s="4" t="n">
        <v>46022</v>
      </c>
      <c r="C111" s="3">
        <f>Penyusutan!B111</f>
        <v/>
      </c>
      <c r="D111" s="3">
        <f>Penyusutan!C111</f>
        <v/>
      </c>
      <c r="E111" s="3">
        <f>Penyusutan!D111</f>
        <v/>
      </c>
      <c r="F111" s="3" t="inlineStr">
        <is>
          <t>Inventaris Ruangan</t>
        </is>
      </c>
      <c r="G111" s="3" t="inlineStr"/>
      <c r="H111" s="3" t="inlineStr">
        <is>
          <t>Beban Penyusutan Inventaris Ruangan</t>
        </is>
      </c>
      <c r="I111" s="5">
        <f>Penyusutan!M111</f>
        <v/>
      </c>
      <c r="J111" s="3" t="inlineStr"/>
      <c r="K111" s="3" t="inlineStr">
        <is>
          <t>Akumulasi Penyusutan Inventaris Ruangan</t>
        </is>
      </c>
      <c r="L111" s="5">
        <f>Penyusutan!M111</f>
        <v/>
      </c>
      <c r="M111" s="3">
        <f>IF(E111="","","Penyusutan "&amp;E111&amp;" periode "&amp;C111)</f>
        <v/>
      </c>
    </row>
    <row r="112">
      <c r="A112" s="3">
        <f>IF(Penyusutan!D112="","","JRN-"&amp;TEXT(ROW()-1,"0000"))</f>
        <v/>
      </c>
      <c r="B112" s="4" t="n">
        <v>46022</v>
      </c>
      <c r="C112" s="3">
        <f>Penyusutan!B112</f>
        <v/>
      </c>
      <c r="D112" s="3">
        <f>Penyusutan!C112</f>
        <v/>
      </c>
      <c r="E112" s="3">
        <f>Penyusutan!D112</f>
        <v/>
      </c>
      <c r="F112" s="3" t="inlineStr">
        <is>
          <t>Inventaris Ruangan</t>
        </is>
      </c>
      <c r="G112" s="3" t="inlineStr"/>
      <c r="H112" s="3" t="inlineStr">
        <is>
          <t>Beban Penyusutan Inventaris Ruangan</t>
        </is>
      </c>
      <c r="I112" s="5">
        <f>Penyusutan!M112</f>
        <v/>
      </c>
      <c r="J112" s="3" t="inlineStr"/>
      <c r="K112" s="3" t="inlineStr">
        <is>
          <t>Akumulasi Penyusutan Inventaris Ruangan</t>
        </is>
      </c>
      <c r="L112" s="5">
        <f>Penyusutan!M112</f>
        <v/>
      </c>
      <c r="M112" s="3">
        <f>IF(E112="","","Penyusutan "&amp;E112&amp;" periode "&amp;C112)</f>
        <v/>
      </c>
    </row>
    <row r="113">
      <c r="A113" s="3">
        <f>IF(Penyusutan!D113="","","JRN-"&amp;TEXT(ROW()-1,"0000"))</f>
        <v/>
      </c>
      <c r="B113" s="4" t="n">
        <v>46022</v>
      </c>
      <c r="C113" s="3">
        <f>Penyusutan!B113</f>
        <v/>
      </c>
      <c r="D113" s="3">
        <f>Penyusutan!C113</f>
        <v/>
      </c>
      <c r="E113" s="3">
        <f>Penyusutan!D113</f>
        <v/>
      </c>
      <c r="F113" s="3" t="inlineStr">
        <is>
          <t>Inventaris Ruangan</t>
        </is>
      </c>
      <c r="G113" s="3" t="inlineStr"/>
      <c r="H113" s="3" t="inlineStr">
        <is>
          <t>Beban Penyusutan Inventaris Ruangan</t>
        </is>
      </c>
      <c r="I113" s="5">
        <f>Penyusutan!M113</f>
        <v/>
      </c>
      <c r="J113" s="3" t="inlineStr"/>
      <c r="K113" s="3" t="inlineStr">
        <is>
          <t>Akumulasi Penyusutan Inventaris Ruangan</t>
        </is>
      </c>
      <c r="L113" s="5">
        <f>Penyusutan!M113</f>
        <v/>
      </c>
      <c r="M113" s="3">
        <f>IF(E113="","","Penyusutan "&amp;E113&amp;" periode "&amp;C113)</f>
        <v/>
      </c>
    </row>
    <row r="114">
      <c r="A114" s="3">
        <f>IF(Penyusutan!D114="","","JRN-"&amp;TEXT(ROW()-1,"0000"))</f>
        <v/>
      </c>
      <c r="B114" s="4" t="n">
        <v>46022</v>
      </c>
      <c r="C114" s="3">
        <f>Penyusutan!B114</f>
        <v/>
      </c>
      <c r="D114" s="3">
        <f>Penyusutan!C114</f>
        <v/>
      </c>
      <c r="E114" s="3">
        <f>Penyusutan!D114</f>
        <v/>
      </c>
      <c r="F114" s="3" t="inlineStr">
        <is>
          <t>Inventaris Ruangan</t>
        </is>
      </c>
      <c r="G114" s="3" t="inlineStr"/>
      <c r="H114" s="3" t="inlineStr">
        <is>
          <t>Beban Penyusutan Inventaris Ruangan</t>
        </is>
      </c>
      <c r="I114" s="5">
        <f>Penyusutan!M114</f>
        <v/>
      </c>
      <c r="J114" s="3" t="inlineStr"/>
      <c r="K114" s="3" t="inlineStr">
        <is>
          <t>Akumulasi Penyusutan Inventaris Ruangan</t>
        </is>
      </c>
      <c r="L114" s="5">
        <f>Penyusutan!M114</f>
        <v/>
      </c>
      <c r="M114" s="3">
        <f>IF(E114="","","Penyusutan "&amp;E114&amp;" periode "&amp;C114)</f>
        <v/>
      </c>
    </row>
    <row r="115">
      <c r="A115" s="3">
        <f>IF(Penyusutan!D115="","","JRN-"&amp;TEXT(ROW()-1,"0000"))</f>
        <v/>
      </c>
      <c r="B115" s="4" t="n">
        <v>46022</v>
      </c>
      <c r="C115" s="3">
        <f>Penyusutan!B115</f>
        <v/>
      </c>
      <c r="D115" s="3">
        <f>Penyusutan!C115</f>
        <v/>
      </c>
      <c r="E115" s="3">
        <f>Penyusutan!D115</f>
        <v/>
      </c>
      <c r="F115" s="3" t="inlineStr">
        <is>
          <t>Inventaris Ruangan</t>
        </is>
      </c>
      <c r="G115" s="3" t="inlineStr"/>
      <c r="H115" s="3" t="inlineStr">
        <is>
          <t>Beban Penyusutan Inventaris Ruangan</t>
        </is>
      </c>
      <c r="I115" s="5">
        <f>Penyusutan!M115</f>
        <v/>
      </c>
      <c r="J115" s="3" t="inlineStr"/>
      <c r="K115" s="3" t="inlineStr">
        <is>
          <t>Akumulasi Penyusutan Inventaris Ruangan</t>
        </is>
      </c>
      <c r="L115" s="5">
        <f>Penyusutan!M115</f>
        <v/>
      </c>
      <c r="M115" s="3">
        <f>IF(E115="","","Penyusutan "&amp;E115&amp;" periode "&amp;C115)</f>
        <v/>
      </c>
    </row>
    <row r="116">
      <c r="A116" s="3">
        <f>IF(Penyusutan!D116="","","JRN-"&amp;TEXT(ROW()-1,"0000"))</f>
        <v/>
      </c>
      <c r="B116" s="4" t="n">
        <v>46022</v>
      </c>
      <c r="C116" s="3">
        <f>Penyusutan!B116</f>
        <v/>
      </c>
      <c r="D116" s="3">
        <f>Penyusutan!C116</f>
        <v/>
      </c>
      <c r="E116" s="3">
        <f>Penyusutan!D116</f>
        <v/>
      </c>
      <c r="F116" s="3" t="inlineStr">
        <is>
          <t>Inventaris Ruangan</t>
        </is>
      </c>
      <c r="G116" s="3" t="inlineStr"/>
      <c r="H116" s="3" t="inlineStr">
        <is>
          <t>Beban Penyusutan Inventaris Ruangan</t>
        </is>
      </c>
      <c r="I116" s="5">
        <f>Penyusutan!M116</f>
        <v/>
      </c>
      <c r="J116" s="3" t="inlineStr"/>
      <c r="K116" s="3" t="inlineStr">
        <is>
          <t>Akumulasi Penyusutan Inventaris Ruangan</t>
        </is>
      </c>
      <c r="L116" s="5">
        <f>Penyusutan!M116</f>
        <v/>
      </c>
      <c r="M116" s="3">
        <f>IF(E116="","","Penyusutan "&amp;E116&amp;" periode "&amp;C116)</f>
        <v/>
      </c>
    </row>
    <row r="117">
      <c r="A117" s="3">
        <f>IF(Penyusutan!D117="","","JRN-"&amp;TEXT(ROW()-1,"0000"))</f>
        <v/>
      </c>
      <c r="B117" s="4" t="n">
        <v>46022</v>
      </c>
      <c r="C117" s="3">
        <f>Penyusutan!B117</f>
        <v/>
      </c>
      <c r="D117" s="3">
        <f>Penyusutan!C117</f>
        <v/>
      </c>
      <c r="E117" s="3">
        <f>Penyusutan!D117</f>
        <v/>
      </c>
      <c r="F117" s="3" t="inlineStr">
        <is>
          <t>Inventaris Ruangan</t>
        </is>
      </c>
      <c r="G117" s="3" t="inlineStr"/>
      <c r="H117" s="3" t="inlineStr">
        <is>
          <t>Beban Penyusutan Inventaris Ruangan</t>
        </is>
      </c>
      <c r="I117" s="5">
        <f>Penyusutan!M117</f>
        <v/>
      </c>
      <c r="J117" s="3" t="inlineStr"/>
      <c r="K117" s="3" t="inlineStr">
        <is>
          <t>Akumulasi Penyusutan Inventaris Ruangan</t>
        </is>
      </c>
      <c r="L117" s="5">
        <f>Penyusutan!M117</f>
        <v/>
      </c>
      <c r="M117" s="3">
        <f>IF(E117="","","Penyusutan "&amp;E117&amp;" periode "&amp;C117)</f>
        <v/>
      </c>
    </row>
    <row r="118">
      <c r="A118" s="3">
        <f>IF(Penyusutan!D118="","","JRN-"&amp;TEXT(ROW()-1,"0000"))</f>
        <v/>
      </c>
      <c r="B118" s="4" t="n">
        <v>46022</v>
      </c>
      <c r="C118" s="3">
        <f>Penyusutan!B118</f>
        <v/>
      </c>
      <c r="D118" s="3">
        <f>Penyusutan!C118</f>
        <v/>
      </c>
      <c r="E118" s="3">
        <f>Penyusutan!D118</f>
        <v/>
      </c>
      <c r="F118" s="3" t="inlineStr">
        <is>
          <t>Inventaris Ruangan</t>
        </is>
      </c>
      <c r="G118" s="3" t="inlineStr"/>
      <c r="H118" s="3" t="inlineStr">
        <is>
          <t>Beban Penyusutan Inventaris Ruangan</t>
        </is>
      </c>
      <c r="I118" s="5">
        <f>Penyusutan!M118</f>
        <v/>
      </c>
      <c r="J118" s="3" t="inlineStr"/>
      <c r="K118" s="3" t="inlineStr">
        <is>
          <t>Akumulasi Penyusutan Inventaris Ruangan</t>
        </is>
      </c>
      <c r="L118" s="5">
        <f>Penyusutan!M118</f>
        <v/>
      </c>
      <c r="M118" s="3">
        <f>IF(E118="","","Penyusutan "&amp;E118&amp;" periode "&amp;C118)</f>
        <v/>
      </c>
    </row>
    <row r="119">
      <c r="A119" s="3">
        <f>IF(Penyusutan!D119="","","JRN-"&amp;TEXT(ROW()-1,"0000"))</f>
        <v/>
      </c>
      <c r="B119" s="4" t="n">
        <v>46022</v>
      </c>
      <c r="C119" s="3">
        <f>Penyusutan!B119</f>
        <v/>
      </c>
      <c r="D119" s="3">
        <f>Penyusutan!C119</f>
        <v/>
      </c>
      <c r="E119" s="3">
        <f>Penyusutan!D119</f>
        <v/>
      </c>
      <c r="F119" s="3" t="inlineStr">
        <is>
          <t>Inventaris Ruangan</t>
        </is>
      </c>
      <c r="G119" s="3" t="inlineStr"/>
      <c r="H119" s="3" t="inlineStr">
        <is>
          <t>Beban Penyusutan Inventaris Ruangan</t>
        </is>
      </c>
      <c r="I119" s="5">
        <f>Penyusutan!M119</f>
        <v/>
      </c>
      <c r="J119" s="3" t="inlineStr"/>
      <c r="K119" s="3" t="inlineStr">
        <is>
          <t>Akumulasi Penyusutan Inventaris Ruangan</t>
        </is>
      </c>
      <c r="L119" s="5">
        <f>Penyusutan!M119</f>
        <v/>
      </c>
      <c r="M119" s="3">
        <f>IF(E119="","","Penyusutan "&amp;E119&amp;" periode "&amp;C119)</f>
        <v/>
      </c>
    </row>
    <row r="120">
      <c r="A120" s="3">
        <f>IF(Penyusutan!D120="","","JRN-"&amp;TEXT(ROW()-1,"0000"))</f>
        <v/>
      </c>
      <c r="B120" s="4" t="n">
        <v>46022</v>
      </c>
      <c r="C120" s="3">
        <f>Penyusutan!B120</f>
        <v/>
      </c>
      <c r="D120" s="3">
        <f>Penyusutan!C120</f>
        <v/>
      </c>
      <c r="E120" s="3">
        <f>Penyusutan!D120</f>
        <v/>
      </c>
      <c r="F120" s="3" t="inlineStr">
        <is>
          <t>Inventaris Ruangan</t>
        </is>
      </c>
      <c r="G120" s="3" t="inlineStr"/>
      <c r="H120" s="3" t="inlineStr">
        <is>
          <t>Beban Penyusutan Inventaris Ruangan</t>
        </is>
      </c>
      <c r="I120" s="5">
        <f>Penyusutan!M120</f>
        <v/>
      </c>
      <c r="J120" s="3" t="inlineStr"/>
      <c r="K120" s="3" t="inlineStr">
        <is>
          <t>Akumulasi Penyusutan Inventaris Ruangan</t>
        </is>
      </c>
      <c r="L120" s="5">
        <f>Penyusutan!M120</f>
        <v/>
      </c>
      <c r="M120" s="3">
        <f>IF(E120="","","Penyusutan "&amp;E120&amp;" periode "&amp;C120)</f>
        <v/>
      </c>
    </row>
    <row r="121">
      <c r="A121" s="3">
        <f>IF(Penyusutan!D121="","","JRN-"&amp;TEXT(ROW()-1,"0000"))</f>
        <v/>
      </c>
      <c r="B121" s="4" t="n">
        <v>46022</v>
      </c>
      <c r="C121" s="3">
        <f>Penyusutan!B121</f>
        <v/>
      </c>
      <c r="D121" s="3">
        <f>Penyusutan!C121</f>
        <v/>
      </c>
      <c r="E121" s="3">
        <f>Penyusutan!D121</f>
        <v/>
      </c>
      <c r="F121" s="3" t="inlineStr">
        <is>
          <t>Inventaris Ruangan</t>
        </is>
      </c>
      <c r="G121" s="3" t="inlineStr"/>
      <c r="H121" s="3" t="inlineStr">
        <is>
          <t>Beban Penyusutan Inventaris Ruangan</t>
        </is>
      </c>
      <c r="I121" s="5">
        <f>Penyusutan!M121</f>
        <v/>
      </c>
      <c r="J121" s="3" t="inlineStr"/>
      <c r="K121" s="3" t="inlineStr">
        <is>
          <t>Akumulasi Penyusutan Inventaris Ruangan</t>
        </is>
      </c>
      <c r="L121" s="5">
        <f>Penyusutan!M121</f>
        <v/>
      </c>
      <c r="M121" s="3">
        <f>IF(E121="","","Penyusutan "&amp;E121&amp;" periode "&amp;C121)</f>
        <v/>
      </c>
    </row>
    <row r="122">
      <c r="A122" s="3">
        <f>IF(Penyusutan!D122="","","JRN-"&amp;TEXT(ROW()-1,"0000"))</f>
        <v/>
      </c>
      <c r="B122" s="4" t="n">
        <v>46022</v>
      </c>
      <c r="C122" s="3">
        <f>Penyusutan!B122</f>
        <v/>
      </c>
      <c r="D122" s="3">
        <f>Penyusutan!C122</f>
        <v/>
      </c>
      <c r="E122" s="3">
        <f>Penyusutan!D122</f>
        <v/>
      </c>
      <c r="F122" s="3" t="inlineStr">
        <is>
          <t>Inventaris Ruangan</t>
        </is>
      </c>
      <c r="G122" s="3" t="inlineStr"/>
      <c r="H122" s="3" t="inlineStr">
        <is>
          <t>Beban Penyusutan Inventaris Ruangan</t>
        </is>
      </c>
      <c r="I122" s="5">
        <f>Penyusutan!M122</f>
        <v/>
      </c>
      <c r="J122" s="3" t="inlineStr"/>
      <c r="K122" s="3" t="inlineStr">
        <is>
          <t>Akumulasi Penyusutan Inventaris Ruangan</t>
        </is>
      </c>
      <c r="L122" s="5">
        <f>Penyusutan!M122</f>
        <v/>
      </c>
      <c r="M122" s="3">
        <f>IF(E122="","","Penyusutan "&amp;E122&amp;" periode "&amp;C122)</f>
        <v/>
      </c>
    </row>
    <row r="123">
      <c r="A123" s="3">
        <f>IF(Penyusutan!D123="","","JRN-"&amp;TEXT(ROW()-1,"0000"))</f>
        <v/>
      </c>
      <c r="B123" s="4" t="n">
        <v>46022</v>
      </c>
      <c r="C123" s="3">
        <f>Penyusutan!B123</f>
        <v/>
      </c>
      <c r="D123" s="3">
        <f>Penyusutan!C123</f>
        <v/>
      </c>
      <c r="E123" s="3">
        <f>Penyusutan!D123</f>
        <v/>
      </c>
      <c r="F123" s="3" t="inlineStr">
        <is>
          <t>Inventaris Ruangan</t>
        </is>
      </c>
      <c r="G123" s="3" t="inlineStr"/>
      <c r="H123" s="3" t="inlineStr">
        <is>
          <t>Beban Penyusutan Inventaris Ruangan</t>
        </is>
      </c>
      <c r="I123" s="5">
        <f>Penyusutan!M123</f>
        <v/>
      </c>
      <c r="J123" s="3" t="inlineStr"/>
      <c r="K123" s="3" t="inlineStr">
        <is>
          <t>Akumulasi Penyusutan Inventaris Ruangan</t>
        </is>
      </c>
      <c r="L123" s="5">
        <f>Penyusutan!M123</f>
        <v/>
      </c>
      <c r="M123" s="3">
        <f>IF(E123="","","Penyusutan "&amp;E123&amp;" periode "&amp;C123)</f>
        <v/>
      </c>
    </row>
    <row r="124">
      <c r="A124" s="3">
        <f>IF(Penyusutan!D124="","","JRN-"&amp;TEXT(ROW()-1,"0000"))</f>
        <v/>
      </c>
      <c r="B124" s="4" t="n">
        <v>46022</v>
      </c>
      <c r="C124" s="3">
        <f>Penyusutan!B124</f>
        <v/>
      </c>
      <c r="D124" s="3">
        <f>Penyusutan!C124</f>
        <v/>
      </c>
      <c r="E124" s="3">
        <f>Penyusutan!D124</f>
        <v/>
      </c>
      <c r="F124" s="3" t="inlineStr">
        <is>
          <t>Inventaris Ruangan</t>
        </is>
      </c>
      <c r="G124" s="3" t="inlineStr"/>
      <c r="H124" s="3" t="inlineStr">
        <is>
          <t>Beban Penyusutan Inventaris Ruangan</t>
        </is>
      </c>
      <c r="I124" s="5">
        <f>Penyusutan!M124</f>
        <v/>
      </c>
      <c r="J124" s="3" t="inlineStr"/>
      <c r="K124" s="3" t="inlineStr">
        <is>
          <t>Akumulasi Penyusutan Inventaris Ruangan</t>
        </is>
      </c>
      <c r="L124" s="5">
        <f>Penyusutan!M124</f>
        <v/>
      </c>
      <c r="M124" s="3">
        <f>IF(E124="","","Penyusutan "&amp;E124&amp;" periode "&amp;C124)</f>
        <v/>
      </c>
    </row>
    <row r="125">
      <c r="A125" s="3">
        <f>IF(Penyusutan!D125="","","JRN-"&amp;TEXT(ROW()-1,"0000"))</f>
        <v/>
      </c>
      <c r="B125" s="4" t="n">
        <v>46022</v>
      </c>
      <c r="C125" s="3">
        <f>Penyusutan!B125</f>
        <v/>
      </c>
      <c r="D125" s="3">
        <f>Penyusutan!C125</f>
        <v/>
      </c>
      <c r="E125" s="3">
        <f>Penyusutan!D125</f>
        <v/>
      </c>
      <c r="F125" s="3" t="inlineStr">
        <is>
          <t>Inventaris Ruangan</t>
        </is>
      </c>
      <c r="G125" s="3" t="inlineStr"/>
      <c r="H125" s="3" t="inlineStr">
        <is>
          <t>Beban Penyusutan Inventaris Ruangan</t>
        </is>
      </c>
      <c r="I125" s="5">
        <f>Penyusutan!M125</f>
        <v/>
      </c>
      <c r="J125" s="3" t="inlineStr"/>
      <c r="K125" s="3" t="inlineStr">
        <is>
          <t>Akumulasi Penyusutan Inventaris Ruangan</t>
        </is>
      </c>
      <c r="L125" s="5">
        <f>Penyusutan!M125</f>
        <v/>
      </c>
      <c r="M125" s="3">
        <f>IF(E125="","","Penyusutan "&amp;E125&amp;" periode "&amp;C125)</f>
        <v/>
      </c>
    </row>
    <row r="126">
      <c r="A126" s="3">
        <f>IF(Penyusutan!D126="","","JRN-"&amp;TEXT(ROW()-1,"0000"))</f>
        <v/>
      </c>
      <c r="B126" s="4" t="n">
        <v>46022</v>
      </c>
      <c r="C126" s="3">
        <f>Penyusutan!B126</f>
        <v/>
      </c>
      <c r="D126" s="3">
        <f>Penyusutan!C126</f>
        <v/>
      </c>
      <c r="E126" s="3">
        <f>Penyusutan!D126</f>
        <v/>
      </c>
      <c r="F126" s="3" t="inlineStr">
        <is>
          <t>Inventaris Ruangan</t>
        </is>
      </c>
      <c r="G126" s="3" t="inlineStr"/>
      <c r="H126" s="3" t="inlineStr">
        <is>
          <t>Beban Penyusutan Inventaris Ruangan</t>
        </is>
      </c>
      <c r="I126" s="5">
        <f>Penyusutan!M126</f>
        <v/>
      </c>
      <c r="J126" s="3" t="inlineStr"/>
      <c r="K126" s="3" t="inlineStr">
        <is>
          <t>Akumulasi Penyusutan Inventaris Ruangan</t>
        </is>
      </c>
      <c r="L126" s="5">
        <f>Penyusutan!M126</f>
        <v/>
      </c>
      <c r="M126" s="3">
        <f>IF(E126="","","Penyusutan "&amp;E126&amp;" periode "&amp;C126)</f>
        <v/>
      </c>
    </row>
    <row r="127">
      <c r="A127" s="3">
        <f>IF(Penyusutan!D127="","","JRN-"&amp;TEXT(ROW()-1,"0000"))</f>
        <v/>
      </c>
      <c r="B127" s="4" t="n">
        <v>46022</v>
      </c>
      <c r="C127" s="3">
        <f>Penyusutan!B127</f>
        <v/>
      </c>
      <c r="D127" s="3">
        <f>Penyusutan!C127</f>
        <v/>
      </c>
      <c r="E127" s="3">
        <f>Penyusutan!D127</f>
        <v/>
      </c>
      <c r="F127" s="3" t="inlineStr">
        <is>
          <t>Inventaris Ruangan</t>
        </is>
      </c>
      <c r="G127" s="3" t="inlineStr"/>
      <c r="H127" s="3" t="inlineStr">
        <is>
          <t>Beban Penyusutan Inventaris Ruangan</t>
        </is>
      </c>
      <c r="I127" s="5">
        <f>Penyusutan!M127</f>
        <v/>
      </c>
      <c r="J127" s="3" t="inlineStr"/>
      <c r="K127" s="3" t="inlineStr">
        <is>
          <t>Akumulasi Penyusutan Inventaris Ruangan</t>
        </is>
      </c>
      <c r="L127" s="5">
        <f>Penyusutan!M127</f>
        <v/>
      </c>
      <c r="M127" s="3">
        <f>IF(E127="","","Penyusutan "&amp;E127&amp;" periode "&amp;C127)</f>
        <v/>
      </c>
    </row>
    <row r="128">
      <c r="A128" s="3">
        <f>IF(Penyusutan!D128="","","JRN-"&amp;TEXT(ROW()-1,"0000"))</f>
        <v/>
      </c>
      <c r="B128" s="4" t="n">
        <v>46022</v>
      </c>
      <c r="C128" s="3">
        <f>Penyusutan!B128</f>
        <v/>
      </c>
      <c r="D128" s="3">
        <f>Penyusutan!C128</f>
        <v/>
      </c>
      <c r="E128" s="3">
        <f>Penyusutan!D128</f>
        <v/>
      </c>
      <c r="F128" s="3" t="inlineStr">
        <is>
          <t>Inventaris Ruangan</t>
        </is>
      </c>
      <c r="G128" s="3" t="inlineStr"/>
      <c r="H128" s="3" t="inlineStr">
        <is>
          <t>Beban Penyusutan Inventaris Ruangan</t>
        </is>
      </c>
      <c r="I128" s="5">
        <f>Penyusutan!M128</f>
        <v/>
      </c>
      <c r="J128" s="3" t="inlineStr"/>
      <c r="K128" s="3" t="inlineStr">
        <is>
          <t>Akumulasi Penyusutan Inventaris Ruangan</t>
        </is>
      </c>
      <c r="L128" s="5">
        <f>Penyusutan!M128</f>
        <v/>
      </c>
      <c r="M128" s="3">
        <f>IF(E128="","","Penyusutan "&amp;E128&amp;" periode "&amp;C128)</f>
        <v/>
      </c>
    </row>
    <row r="129">
      <c r="A129" s="3">
        <f>IF(Penyusutan!D129="","","JRN-"&amp;TEXT(ROW()-1,"0000"))</f>
        <v/>
      </c>
      <c r="B129" s="4" t="n">
        <v>46022</v>
      </c>
      <c r="C129" s="3">
        <f>Penyusutan!B129</f>
        <v/>
      </c>
      <c r="D129" s="3">
        <f>Penyusutan!C129</f>
        <v/>
      </c>
      <c r="E129" s="3">
        <f>Penyusutan!D129</f>
        <v/>
      </c>
      <c r="F129" s="3" t="inlineStr">
        <is>
          <t>Inventaris Ruangan</t>
        </is>
      </c>
      <c r="G129" s="3" t="inlineStr"/>
      <c r="H129" s="3" t="inlineStr">
        <is>
          <t>Beban Penyusutan Inventaris Ruangan</t>
        </is>
      </c>
      <c r="I129" s="5">
        <f>Penyusutan!M129</f>
        <v/>
      </c>
      <c r="J129" s="3" t="inlineStr"/>
      <c r="K129" s="3" t="inlineStr">
        <is>
          <t>Akumulasi Penyusutan Inventaris Ruangan</t>
        </is>
      </c>
      <c r="L129" s="5">
        <f>Penyusutan!M129</f>
        <v/>
      </c>
      <c r="M129" s="3">
        <f>IF(E129="","","Penyusutan "&amp;E129&amp;" periode "&amp;C129)</f>
        <v/>
      </c>
    </row>
    <row r="130">
      <c r="A130" s="3">
        <f>IF(Penyusutan!D130="","","JRN-"&amp;TEXT(ROW()-1,"0000"))</f>
        <v/>
      </c>
      <c r="B130" s="4" t="n">
        <v>46022</v>
      </c>
      <c r="C130" s="3">
        <f>Penyusutan!B130</f>
        <v/>
      </c>
      <c r="D130" s="3">
        <f>Penyusutan!C130</f>
        <v/>
      </c>
      <c r="E130" s="3">
        <f>Penyusutan!D130</f>
        <v/>
      </c>
      <c r="F130" s="3" t="inlineStr">
        <is>
          <t>Inventaris Ruangan</t>
        </is>
      </c>
      <c r="G130" s="3" t="inlineStr"/>
      <c r="H130" s="3" t="inlineStr">
        <is>
          <t>Beban Penyusutan Inventaris Ruangan</t>
        </is>
      </c>
      <c r="I130" s="5">
        <f>Penyusutan!M130</f>
        <v/>
      </c>
      <c r="J130" s="3" t="inlineStr"/>
      <c r="K130" s="3" t="inlineStr">
        <is>
          <t>Akumulasi Penyusutan Inventaris Ruangan</t>
        </is>
      </c>
      <c r="L130" s="5">
        <f>Penyusutan!M130</f>
        <v/>
      </c>
      <c r="M130" s="3">
        <f>IF(E130="","","Penyusutan "&amp;E130&amp;" periode "&amp;C130)</f>
        <v/>
      </c>
    </row>
    <row r="131">
      <c r="A131" s="3">
        <f>IF(Penyusutan!D131="","","JRN-"&amp;TEXT(ROW()-1,"0000"))</f>
        <v/>
      </c>
      <c r="B131" s="4" t="n">
        <v>46022</v>
      </c>
      <c r="C131" s="3">
        <f>Penyusutan!B131</f>
        <v/>
      </c>
      <c r="D131" s="3">
        <f>Penyusutan!C131</f>
        <v/>
      </c>
      <c r="E131" s="3">
        <f>Penyusutan!D131</f>
        <v/>
      </c>
      <c r="F131" s="3" t="inlineStr">
        <is>
          <t>Inventaris Ruangan</t>
        </is>
      </c>
      <c r="G131" s="3" t="inlineStr"/>
      <c r="H131" s="3" t="inlineStr">
        <is>
          <t>Beban Penyusutan Inventaris Ruangan</t>
        </is>
      </c>
      <c r="I131" s="5">
        <f>Penyusutan!M131</f>
        <v/>
      </c>
      <c r="J131" s="3" t="inlineStr"/>
      <c r="K131" s="3" t="inlineStr">
        <is>
          <t>Akumulasi Penyusutan Inventaris Ruangan</t>
        </is>
      </c>
      <c r="L131" s="5">
        <f>Penyusutan!M131</f>
        <v/>
      </c>
      <c r="M131" s="3">
        <f>IF(E131="","","Penyusutan "&amp;E131&amp;" periode "&amp;C131)</f>
        <v/>
      </c>
    </row>
    <row r="132">
      <c r="A132" s="3">
        <f>IF(Penyusutan!D132="","","JRN-"&amp;TEXT(ROW()-1,"0000"))</f>
        <v/>
      </c>
      <c r="B132" s="4" t="n">
        <v>46022</v>
      </c>
      <c r="C132" s="3">
        <f>Penyusutan!B132</f>
        <v/>
      </c>
      <c r="D132" s="3">
        <f>Penyusutan!C132</f>
        <v/>
      </c>
      <c r="E132" s="3">
        <f>Penyusutan!D132</f>
        <v/>
      </c>
      <c r="F132" s="3" t="inlineStr">
        <is>
          <t>Inventaris Ruangan</t>
        </is>
      </c>
      <c r="G132" s="3" t="inlineStr"/>
      <c r="H132" s="3" t="inlineStr">
        <is>
          <t>Beban Penyusutan Inventaris Ruangan</t>
        </is>
      </c>
      <c r="I132" s="5">
        <f>Penyusutan!M132</f>
        <v/>
      </c>
      <c r="J132" s="3" t="inlineStr"/>
      <c r="K132" s="3" t="inlineStr">
        <is>
          <t>Akumulasi Penyusutan Inventaris Ruangan</t>
        </is>
      </c>
      <c r="L132" s="5">
        <f>Penyusutan!M132</f>
        <v/>
      </c>
      <c r="M132" s="3">
        <f>IF(E132="","","Penyusutan "&amp;E132&amp;" periode "&amp;C132)</f>
        <v/>
      </c>
    </row>
    <row r="133">
      <c r="A133" s="3">
        <f>IF(Penyusutan!D133="","","JRN-"&amp;TEXT(ROW()-1,"0000"))</f>
        <v/>
      </c>
      <c r="B133" s="4" t="n">
        <v>46022</v>
      </c>
      <c r="C133" s="3">
        <f>Penyusutan!B133</f>
        <v/>
      </c>
      <c r="D133" s="3">
        <f>Penyusutan!C133</f>
        <v/>
      </c>
      <c r="E133" s="3">
        <f>Penyusutan!D133</f>
        <v/>
      </c>
      <c r="F133" s="3" t="inlineStr">
        <is>
          <t>Inventaris Ruangan</t>
        </is>
      </c>
      <c r="G133" s="3" t="inlineStr"/>
      <c r="H133" s="3" t="inlineStr">
        <is>
          <t>Beban Penyusutan Inventaris Ruangan</t>
        </is>
      </c>
      <c r="I133" s="5">
        <f>Penyusutan!M133</f>
        <v/>
      </c>
      <c r="J133" s="3" t="inlineStr"/>
      <c r="K133" s="3" t="inlineStr">
        <is>
          <t>Akumulasi Penyusutan Inventaris Ruangan</t>
        </is>
      </c>
      <c r="L133" s="5">
        <f>Penyusutan!M133</f>
        <v/>
      </c>
      <c r="M133" s="3">
        <f>IF(E133="","","Penyusutan "&amp;E133&amp;" periode "&amp;C133)</f>
        <v/>
      </c>
    </row>
    <row r="134">
      <c r="A134" s="3">
        <f>IF(Penyusutan!D134="","","JRN-"&amp;TEXT(ROW()-1,"0000"))</f>
        <v/>
      </c>
      <c r="B134" s="4" t="n">
        <v>46022</v>
      </c>
      <c r="C134" s="3">
        <f>Penyusutan!B134</f>
        <v/>
      </c>
      <c r="D134" s="3">
        <f>Penyusutan!C134</f>
        <v/>
      </c>
      <c r="E134" s="3">
        <f>Penyusutan!D134</f>
        <v/>
      </c>
      <c r="F134" s="3" t="inlineStr">
        <is>
          <t>Inventaris Ruangan</t>
        </is>
      </c>
      <c r="G134" s="3" t="inlineStr"/>
      <c r="H134" s="3" t="inlineStr">
        <is>
          <t>Beban Penyusutan Inventaris Ruangan</t>
        </is>
      </c>
      <c r="I134" s="5">
        <f>Penyusutan!M134</f>
        <v/>
      </c>
      <c r="J134" s="3" t="inlineStr"/>
      <c r="K134" s="3" t="inlineStr">
        <is>
          <t>Akumulasi Penyusutan Inventaris Ruangan</t>
        </is>
      </c>
      <c r="L134" s="5">
        <f>Penyusutan!M134</f>
        <v/>
      </c>
      <c r="M134" s="3">
        <f>IF(E134="","","Penyusutan "&amp;E134&amp;" periode "&amp;C134)</f>
        <v/>
      </c>
    </row>
    <row r="135">
      <c r="A135" s="3">
        <f>IF(Penyusutan!D135="","","JRN-"&amp;TEXT(ROW()-1,"0000"))</f>
        <v/>
      </c>
      <c r="B135" s="4" t="n">
        <v>46022</v>
      </c>
      <c r="C135" s="3">
        <f>Penyusutan!B135</f>
        <v/>
      </c>
      <c r="D135" s="3">
        <f>Penyusutan!C135</f>
        <v/>
      </c>
      <c r="E135" s="3">
        <f>Penyusutan!D135</f>
        <v/>
      </c>
      <c r="F135" s="3" t="inlineStr">
        <is>
          <t>Inventaris Ruangan</t>
        </is>
      </c>
      <c r="G135" s="3" t="inlineStr"/>
      <c r="H135" s="3" t="inlineStr">
        <is>
          <t>Beban Penyusutan Inventaris Ruangan</t>
        </is>
      </c>
      <c r="I135" s="5">
        <f>Penyusutan!M135</f>
        <v/>
      </c>
      <c r="J135" s="3" t="inlineStr"/>
      <c r="K135" s="3" t="inlineStr">
        <is>
          <t>Akumulasi Penyusutan Inventaris Ruangan</t>
        </is>
      </c>
      <c r="L135" s="5">
        <f>Penyusutan!M135</f>
        <v/>
      </c>
      <c r="M135" s="3">
        <f>IF(E135="","","Penyusutan "&amp;E135&amp;" periode "&amp;C135)</f>
        <v/>
      </c>
    </row>
    <row r="136">
      <c r="A136" s="3">
        <f>IF(Penyusutan!D136="","","JRN-"&amp;TEXT(ROW()-1,"0000"))</f>
        <v/>
      </c>
      <c r="B136" s="4" t="n">
        <v>46022</v>
      </c>
      <c r="C136" s="3">
        <f>Penyusutan!B136</f>
        <v/>
      </c>
      <c r="D136" s="3">
        <f>Penyusutan!C136</f>
        <v/>
      </c>
      <c r="E136" s="3">
        <f>Penyusutan!D136</f>
        <v/>
      </c>
      <c r="F136" s="3" t="inlineStr">
        <is>
          <t>Inventaris Ruangan</t>
        </is>
      </c>
      <c r="G136" s="3" t="inlineStr"/>
      <c r="H136" s="3" t="inlineStr">
        <is>
          <t>Beban Penyusutan Inventaris Ruangan</t>
        </is>
      </c>
      <c r="I136" s="5">
        <f>Penyusutan!M136</f>
        <v/>
      </c>
      <c r="J136" s="3" t="inlineStr"/>
      <c r="K136" s="3" t="inlineStr">
        <is>
          <t>Akumulasi Penyusutan Inventaris Ruangan</t>
        </is>
      </c>
      <c r="L136" s="5">
        <f>Penyusutan!M136</f>
        <v/>
      </c>
      <c r="M136" s="3">
        <f>IF(E136="","","Penyusutan "&amp;E136&amp;" periode "&amp;C136)</f>
        <v/>
      </c>
    </row>
    <row r="137">
      <c r="A137" s="3">
        <f>IF(Penyusutan!D137="","","JRN-"&amp;TEXT(ROW()-1,"0000"))</f>
        <v/>
      </c>
      <c r="B137" s="4" t="n">
        <v>46022</v>
      </c>
      <c r="C137" s="3">
        <f>Penyusutan!B137</f>
        <v/>
      </c>
      <c r="D137" s="3">
        <f>Penyusutan!C137</f>
        <v/>
      </c>
      <c r="E137" s="3">
        <f>Penyusutan!D137</f>
        <v/>
      </c>
      <c r="F137" s="3" t="inlineStr">
        <is>
          <t>Inventaris Ruangan</t>
        </is>
      </c>
      <c r="G137" s="3" t="inlineStr"/>
      <c r="H137" s="3" t="inlineStr">
        <is>
          <t>Beban Penyusutan Inventaris Ruangan</t>
        </is>
      </c>
      <c r="I137" s="5">
        <f>Penyusutan!M137</f>
        <v/>
      </c>
      <c r="J137" s="3" t="inlineStr"/>
      <c r="K137" s="3" t="inlineStr">
        <is>
          <t>Akumulasi Penyusutan Inventaris Ruangan</t>
        </is>
      </c>
      <c r="L137" s="5">
        <f>Penyusutan!M137</f>
        <v/>
      </c>
      <c r="M137" s="3">
        <f>IF(E137="","","Penyusutan "&amp;E137&amp;" periode "&amp;C137)</f>
        <v/>
      </c>
    </row>
    <row r="138">
      <c r="A138" s="3">
        <f>IF(Penyusutan!D138="","","JRN-"&amp;TEXT(ROW()-1,"0000"))</f>
        <v/>
      </c>
      <c r="B138" s="4" t="n">
        <v>46022</v>
      </c>
      <c r="C138" s="3">
        <f>Penyusutan!B138</f>
        <v/>
      </c>
      <c r="D138" s="3">
        <f>Penyusutan!C138</f>
        <v/>
      </c>
      <c r="E138" s="3">
        <f>Penyusutan!D138</f>
        <v/>
      </c>
      <c r="F138" s="3" t="inlineStr">
        <is>
          <t>Inventaris Ruangan</t>
        </is>
      </c>
      <c r="G138" s="3" t="inlineStr"/>
      <c r="H138" s="3" t="inlineStr">
        <is>
          <t>Beban Penyusutan Inventaris Ruangan</t>
        </is>
      </c>
      <c r="I138" s="5">
        <f>Penyusutan!M138</f>
        <v/>
      </c>
      <c r="J138" s="3" t="inlineStr"/>
      <c r="K138" s="3" t="inlineStr">
        <is>
          <t>Akumulasi Penyusutan Inventaris Ruangan</t>
        </is>
      </c>
      <c r="L138" s="5">
        <f>Penyusutan!M138</f>
        <v/>
      </c>
      <c r="M138" s="3">
        <f>IF(E138="","","Penyusutan "&amp;E138&amp;" periode "&amp;C138)</f>
        <v/>
      </c>
    </row>
    <row r="139">
      <c r="A139" s="3">
        <f>IF(Penyusutan!D139="","","JRN-"&amp;TEXT(ROW()-1,"0000"))</f>
        <v/>
      </c>
      <c r="B139" s="4" t="n">
        <v>46022</v>
      </c>
      <c r="C139" s="3">
        <f>Penyusutan!B139</f>
        <v/>
      </c>
      <c r="D139" s="3">
        <f>Penyusutan!C139</f>
        <v/>
      </c>
      <c r="E139" s="3">
        <f>Penyusutan!D139</f>
        <v/>
      </c>
      <c r="F139" s="3" t="inlineStr">
        <is>
          <t>Inventaris Ruangan</t>
        </is>
      </c>
      <c r="G139" s="3" t="inlineStr"/>
      <c r="H139" s="3" t="inlineStr">
        <is>
          <t>Beban Penyusutan Inventaris Ruangan</t>
        </is>
      </c>
      <c r="I139" s="5">
        <f>Penyusutan!M139</f>
        <v/>
      </c>
      <c r="J139" s="3" t="inlineStr"/>
      <c r="K139" s="3" t="inlineStr">
        <is>
          <t>Akumulasi Penyusutan Inventaris Ruangan</t>
        </is>
      </c>
      <c r="L139" s="5">
        <f>Penyusutan!M139</f>
        <v/>
      </c>
      <c r="M139" s="3">
        <f>IF(E139="","","Penyusutan "&amp;E139&amp;" periode "&amp;C139)</f>
        <v/>
      </c>
    </row>
    <row r="140">
      <c r="A140" s="3">
        <f>IF(Penyusutan!D140="","","JRN-"&amp;TEXT(ROW()-1,"0000"))</f>
        <v/>
      </c>
      <c r="B140" s="4" t="n">
        <v>46022</v>
      </c>
      <c r="C140" s="3">
        <f>Penyusutan!B140</f>
        <v/>
      </c>
      <c r="D140" s="3">
        <f>Penyusutan!C140</f>
        <v/>
      </c>
      <c r="E140" s="3">
        <f>Penyusutan!D140</f>
        <v/>
      </c>
      <c r="F140" s="3" t="inlineStr">
        <is>
          <t>Inventaris Ruangan</t>
        </is>
      </c>
      <c r="G140" s="3" t="inlineStr"/>
      <c r="H140" s="3" t="inlineStr">
        <is>
          <t>Beban Penyusutan Inventaris Ruangan</t>
        </is>
      </c>
      <c r="I140" s="5">
        <f>Penyusutan!M140</f>
        <v/>
      </c>
      <c r="J140" s="3" t="inlineStr"/>
      <c r="K140" s="3" t="inlineStr">
        <is>
          <t>Akumulasi Penyusutan Inventaris Ruangan</t>
        </is>
      </c>
      <c r="L140" s="5">
        <f>Penyusutan!M140</f>
        <v/>
      </c>
      <c r="M140" s="3">
        <f>IF(E140="","","Penyusutan "&amp;E140&amp;" periode "&amp;C140)</f>
        <v/>
      </c>
    </row>
    <row r="141">
      <c r="A141" s="3">
        <f>IF(Penyusutan!D141="","","JRN-"&amp;TEXT(ROW()-1,"0000"))</f>
        <v/>
      </c>
      <c r="B141" s="4" t="n">
        <v>46022</v>
      </c>
      <c r="C141" s="3">
        <f>Penyusutan!B141</f>
        <v/>
      </c>
      <c r="D141" s="3">
        <f>Penyusutan!C141</f>
        <v/>
      </c>
      <c r="E141" s="3">
        <f>Penyusutan!D141</f>
        <v/>
      </c>
      <c r="F141" s="3" t="inlineStr">
        <is>
          <t>Inventaris Ruangan</t>
        </is>
      </c>
      <c r="G141" s="3" t="inlineStr"/>
      <c r="H141" s="3" t="inlineStr">
        <is>
          <t>Beban Penyusutan Inventaris Ruangan</t>
        </is>
      </c>
      <c r="I141" s="5">
        <f>Penyusutan!M141</f>
        <v/>
      </c>
      <c r="J141" s="3" t="inlineStr"/>
      <c r="K141" s="3" t="inlineStr">
        <is>
          <t>Akumulasi Penyusutan Inventaris Ruangan</t>
        </is>
      </c>
      <c r="L141" s="5">
        <f>Penyusutan!M141</f>
        <v/>
      </c>
      <c r="M141" s="3">
        <f>IF(E141="","","Penyusutan "&amp;E141&amp;" periode "&amp;C141)</f>
        <v/>
      </c>
    </row>
    <row r="142">
      <c r="A142" s="3">
        <f>IF(Penyusutan!D142="","","JRN-"&amp;TEXT(ROW()-1,"0000"))</f>
        <v/>
      </c>
      <c r="B142" s="4" t="n">
        <v>46022</v>
      </c>
      <c r="C142" s="3">
        <f>Penyusutan!B142</f>
        <v/>
      </c>
      <c r="D142" s="3">
        <f>Penyusutan!C142</f>
        <v/>
      </c>
      <c r="E142" s="3">
        <f>Penyusutan!D142</f>
        <v/>
      </c>
      <c r="F142" s="3" t="inlineStr">
        <is>
          <t>Inventaris Ruangan</t>
        </is>
      </c>
      <c r="G142" s="3" t="inlineStr"/>
      <c r="H142" s="3" t="inlineStr">
        <is>
          <t>Beban Penyusutan Inventaris Ruangan</t>
        </is>
      </c>
      <c r="I142" s="5">
        <f>Penyusutan!M142</f>
        <v/>
      </c>
      <c r="J142" s="3" t="inlineStr"/>
      <c r="K142" s="3" t="inlineStr">
        <is>
          <t>Akumulasi Penyusutan Inventaris Ruangan</t>
        </is>
      </c>
      <c r="L142" s="5">
        <f>Penyusutan!M142</f>
        <v/>
      </c>
      <c r="M142" s="3">
        <f>IF(E142="","","Penyusutan "&amp;E142&amp;" periode "&amp;C142)</f>
        <v/>
      </c>
    </row>
    <row r="143">
      <c r="A143" s="3">
        <f>IF(Penyusutan!D143="","","JRN-"&amp;TEXT(ROW()-1,"0000"))</f>
        <v/>
      </c>
      <c r="B143" s="4" t="n">
        <v>46022</v>
      </c>
      <c r="C143" s="3">
        <f>Penyusutan!B143</f>
        <v/>
      </c>
      <c r="D143" s="3">
        <f>Penyusutan!C143</f>
        <v/>
      </c>
      <c r="E143" s="3">
        <f>Penyusutan!D143</f>
        <v/>
      </c>
      <c r="F143" s="3" t="inlineStr">
        <is>
          <t>Inventaris Ruangan</t>
        </is>
      </c>
      <c r="G143" s="3" t="inlineStr"/>
      <c r="H143" s="3" t="inlineStr">
        <is>
          <t>Beban Penyusutan Inventaris Ruangan</t>
        </is>
      </c>
      <c r="I143" s="5">
        <f>Penyusutan!M143</f>
        <v/>
      </c>
      <c r="J143" s="3" t="inlineStr"/>
      <c r="K143" s="3" t="inlineStr">
        <is>
          <t>Akumulasi Penyusutan Inventaris Ruangan</t>
        </is>
      </c>
      <c r="L143" s="5">
        <f>Penyusutan!M143</f>
        <v/>
      </c>
      <c r="M143" s="3">
        <f>IF(E143="","","Penyusutan "&amp;E143&amp;" periode "&amp;C143)</f>
        <v/>
      </c>
    </row>
    <row r="144">
      <c r="A144" s="3">
        <f>IF(Penyusutan!D144="","","JRN-"&amp;TEXT(ROW()-1,"0000"))</f>
        <v/>
      </c>
      <c r="B144" s="4" t="n">
        <v>46022</v>
      </c>
      <c r="C144" s="3">
        <f>Penyusutan!B144</f>
        <v/>
      </c>
      <c r="D144" s="3">
        <f>Penyusutan!C144</f>
        <v/>
      </c>
      <c r="E144" s="3">
        <f>Penyusutan!D144</f>
        <v/>
      </c>
      <c r="F144" s="3" t="inlineStr">
        <is>
          <t>Inventaris Ruangan</t>
        </is>
      </c>
      <c r="G144" s="3" t="inlineStr"/>
      <c r="H144" s="3" t="inlineStr">
        <is>
          <t>Beban Penyusutan Inventaris Ruangan</t>
        </is>
      </c>
      <c r="I144" s="5">
        <f>Penyusutan!M144</f>
        <v/>
      </c>
      <c r="J144" s="3" t="inlineStr"/>
      <c r="K144" s="3" t="inlineStr">
        <is>
          <t>Akumulasi Penyusutan Inventaris Ruangan</t>
        </is>
      </c>
      <c r="L144" s="5">
        <f>Penyusutan!M144</f>
        <v/>
      </c>
      <c r="M144" s="3">
        <f>IF(E144="","","Penyusutan "&amp;E144&amp;" periode "&amp;C144)</f>
        <v/>
      </c>
    </row>
    <row r="145">
      <c r="A145" s="3">
        <f>IF(Penyusutan!D145="","","JRN-"&amp;TEXT(ROW()-1,"0000"))</f>
        <v/>
      </c>
      <c r="B145" s="4" t="n">
        <v>46022</v>
      </c>
      <c r="C145" s="3">
        <f>Penyusutan!B145</f>
        <v/>
      </c>
      <c r="D145" s="3">
        <f>Penyusutan!C145</f>
        <v/>
      </c>
      <c r="E145" s="3">
        <f>Penyusutan!D145</f>
        <v/>
      </c>
      <c r="F145" s="3" t="inlineStr">
        <is>
          <t>Inventaris Ruangan</t>
        </is>
      </c>
      <c r="G145" s="3" t="inlineStr"/>
      <c r="H145" s="3" t="inlineStr">
        <is>
          <t>Beban Penyusutan Inventaris Ruangan</t>
        </is>
      </c>
      <c r="I145" s="5">
        <f>Penyusutan!M145</f>
        <v/>
      </c>
      <c r="J145" s="3" t="inlineStr"/>
      <c r="K145" s="3" t="inlineStr">
        <is>
          <t>Akumulasi Penyusutan Inventaris Ruangan</t>
        </is>
      </c>
      <c r="L145" s="5">
        <f>Penyusutan!M145</f>
        <v/>
      </c>
      <c r="M145" s="3">
        <f>IF(E145="","","Penyusutan "&amp;E145&amp;" periode "&amp;C145)</f>
        <v/>
      </c>
    </row>
    <row r="146">
      <c r="A146" s="3">
        <f>IF(Penyusutan!D146="","","JRN-"&amp;TEXT(ROW()-1,"0000"))</f>
        <v/>
      </c>
      <c r="B146" s="4" t="n">
        <v>46022</v>
      </c>
      <c r="C146" s="3">
        <f>Penyusutan!B146</f>
        <v/>
      </c>
      <c r="D146" s="3">
        <f>Penyusutan!C146</f>
        <v/>
      </c>
      <c r="E146" s="3">
        <f>Penyusutan!D146</f>
        <v/>
      </c>
      <c r="F146" s="3" t="inlineStr">
        <is>
          <t>Inventaris Ruangan</t>
        </is>
      </c>
      <c r="G146" s="3" t="inlineStr"/>
      <c r="H146" s="3" t="inlineStr">
        <is>
          <t>Beban Penyusutan Inventaris Ruangan</t>
        </is>
      </c>
      <c r="I146" s="5">
        <f>Penyusutan!M146</f>
        <v/>
      </c>
      <c r="J146" s="3" t="inlineStr"/>
      <c r="K146" s="3" t="inlineStr">
        <is>
          <t>Akumulasi Penyusutan Inventaris Ruangan</t>
        </is>
      </c>
      <c r="L146" s="5">
        <f>Penyusutan!M146</f>
        <v/>
      </c>
      <c r="M146" s="3">
        <f>IF(E146="","","Penyusutan "&amp;E146&amp;" periode "&amp;C146)</f>
        <v/>
      </c>
    </row>
    <row r="147">
      <c r="A147" s="3">
        <f>IF(Penyusutan!D147="","","JRN-"&amp;TEXT(ROW()-1,"0000"))</f>
        <v/>
      </c>
      <c r="B147" s="4" t="n">
        <v>46022</v>
      </c>
      <c r="C147" s="3">
        <f>Penyusutan!B147</f>
        <v/>
      </c>
      <c r="D147" s="3">
        <f>Penyusutan!C147</f>
        <v/>
      </c>
      <c r="E147" s="3">
        <f>Penyusutan!D147</f>
        <v/>
      </c>
      <c r="F147" s="3" t="inlineStr">
        <is>
          <t>Inventaris Ruangan</t>
        </is>
      </c>
      <c r="G147" s="3" t="inlineStr"/>
      <c r="H147" s="3" t="inlineStr">
        <is>
          <t>Beban Penyusutan Inventaris Ruangan</t>
        </is>
      </c>
      <c r="I147" s="5">
        <f>Penyusutan!M147</f>
        <v/>
      </c>
      <c r="J147" s="3" t="inlineStr"/>
      <c r="K147" s="3" t="inlineStr">
        <is>
          <t>Akumulasi Penyusutan Inventaris Ruangan</t>
        </is>
      </c>
      <c r="L147" s="5">
        <f>Penyusutan!M147</f>
        <v/>
      </c>
      <c r="M147" s="3">
        <f>IF(E147="","","Penyusutan "&amp;E147&amp;" periode "&amp;C147)</f>
        <v/>
      </c>
    </row>
    <row r="148">
      <c r="A148" s="3">
        <f>IF(Penyusutan!D148="","","JRN-"&amp;TEXT(ROW()-1,"0000"))</f>
        <v/>
      </c>
      <c r="B148" s="4" t="n">
        <v>46022</v>
      </c>
      <c r="C148" s="3">
        <f>Penyusutan!B148</f>
        <v/>
      </c>
      <c r="D148" s="3">
        <f>Penyusutan!C148</f>
        <v/>
      </c>
      <c r="E148" s="3">
        <f>Penyusutan!D148</f>
        <v/>
      </c>
      <c r="F148" s="3" t="inlineStr">
        <is>
          <t>Inventaris Ruangan</t>
        </is>
      </c>
      <c r="G148" s="3" t="inlineStr"/>
      <c r="H148" s="3" t="inlineStr">
        <is>
          <t>Beban Penyusutan Inventaris Ruangan</t>
        </is>
      </c>
      <c r="I148" s="5">
        <f>Penyusutan!M148</f>
        <v/>
      </c>
      <c r="J148" s="3" t="inlineStr"/>
      <c r="K148" s="3" t="inlineStr">
        <is>
          <t>Akumulasi Penyusutan Inventaris Ruangan</t>
        </is>
      </c>
      <c r="L148" s="5">
        <f>Penyusutan!M148</f>
        <v/>
      </c>
      <c r="M148" s="3">
        <f>IF(E148="","","Penyusutan "&amp;E148&amp;" periode "&amp;C148)</f>
        <v/>
      </c>
    </row>
    <row r="149">
      <c r="A149" s="3">
        <f>IF(Penyusutan!D149="","","JRN-"&amp;TEXT(ROW()-1,"0000"))</f>
        <v/>
      </c>
      <c r="B149" s="4" t="n">
        <v>46022</v>
      </c>
      <c r="C149" s="3">
        <f>Penyusutan!B149</f>
        <v/>
      </c>
      <c r="D149" s="3">
        <f>Penyusutan!C149</f>
        <v/>
      </c>
      <c r="E149" s="3">
        <f>Penyusutan!D149</f>
        <v/>
      </c>
      <c r="F149" s="3" t="inlineStr">
        <is>
          <t>Inventaris Ruangan</t>
        </is>
      </c>
      <c r="G149" s="3" t="inlineStr"/>
      <c r="H149" s="3" t="inlineStr">
        <is>
          <t>Beban Penyusutan Inventaris Ruangan</t>
        </is>
      </c>
      <c r="I149" s="5">
        <f>Penyusutan!M149</f>
        <v/>
      </c>
      <c r="J149" s="3" t="inlineStr"/>
      <c r="K149" s="3" t="inlineStr">
        <is>
          <t>Akumulasi Penyusutan Inventaris Ruangan</t>
        </is>
      </c>
      <c r="L149" s="5">
        <f>Penyusutan!M149</f>
        <v/>
      </c>
      <c r="M149" s="3">
        <f>IF(E149="","","Penyusutan "&amp;E149&amp;" periode "&amp;C149)</f>
        <v/>
      </c>
    </row>
    <row r="150">
      <c r="A150" s="3">
        <f>IF(Penyusutan!D150="","","JRN-"&amp;TEXT(ROW()-1,"0000"))</f>
        <v/>
      </c>
      <c r="B150" s="4" t="n">
        <v>46022</v>
      </c>
      <c r="C150" s="3">
        <f>Penyusutan!B150</f>
        <v/>
      </c>
      <c r="D150" s="3">
        <f>Penyusutan!C150</f>
        <v/>
      </c>
      <c r="E150" s="3">
        <f>Penyusutan!D150</f>
        <v/>
      </c>
      <c r="F150" s="3" t="inlineStr">
        <is>
          <t>Inventaris Ruangan</t>
        </is>
      </c>
      <c r="G150" s="3" t="inlineStr"/>
      <c r="H150" s="3" t="inlineStr">
        <is>
          <t>Beban Penyusutan Inventaris Ruangan</t>
        </is>
      </c>
      <c r="I150" s="5">
        <f>Penyusutan!M150</f>
        <v/>
      </c>
      <c r="J150" s="3" t="inlineStr"/>
      <c r="K150" s="3" t="inlineStr">
        <is>
          <t>Akumulasi Penyusutan Inventaris Ruangan</t>
        </is>
      </c>
      <c r="L150" s="5">
        <f>Penyusutan!M150</f>
        <v/>
      </c>
      <c r="M150" s="3">
        <f>IF(E150="","","Penyusutan "&amp;E150&amp;" periode "&amp;C150)</f>
        <v/>
      </c>
    </row>
    <row r="151">
      <c r="A151" s="3">
        <f>IF(Penyusutan!D151="","","JRN-"&amp;TEXT(ROW()-1,"0000"))</f>
        <v/>
      </c>
      <c r="B151" s="4" t="n">
        <v>46022</v>
      </c>
      <c r="C151" s="3">
        <f>Penyusutan!B151</f>
        <v/>
      </c>
      <c r="D151" s="3">
        <f>Penyusutan!C151</f>
        <v/>
      </c>
      <c r="E151" s="3">
        <f>Penyusutan!D151</f>
        <v/>
      </c>
      <c r="F151" s="3" t="inlineStr">
        <is>
          <t>Inventaris Ruangan</t>
        </is>
      </c>
      <c r="G151" s="3" t="inlineStr"/>
      <c r="H151" s="3" t="inlineStr">
        <is>
          <t>Beban Penyusutan Inventaris Ruangan</t>
        </is>
      </c>
      <c r="I151" s="5">
        <f>Penyusutan!M151</f>
        <v/>
      </c>
      <c r="J151" s="3" t="inlineStr"/>
      <c r="K151" s="3" t="inlineStr">
        <is>
          <t>Akumulasi Penyusutan Inventaris Ruangan</t>
        </is>
      </c>
      <c r="L151" s="5">
        <f>Penyusutan!M151</f>
        <v/>
      </c>
      <c r="M151" s="3">
        <f>IF(E151="","","Penyusutan "&amp;E151&amp;" periode "&amp;C151)</f>
        <v/>
      </c>
    </row>
    <row r="152">
      <c r="A152" s="3">
        <f>IF(Penyusutan!D152="","","JRN-"&amp;TEXT(ROW()-1,"0000"))</f>
        <v/>
      </c>
      <c r="B152" s="4" t="n">
        <v>46022</v>
      </c>
      <c r="C152" s="3">
        <f>Penyusutan!B152</f>
        <v/>
      </c>
      <c r="D152" s="3">
        <f>Penyusutan!C152</f>
        <v/>
      </c>
      <c r="E152" s="3">
        <f>Penyusutan!D152</f>
        <v/>
      </c>
      <c r="F152" s="3" t="inlineStr">
        <is>
          <t>Inventaris Ruangan</t>
        </is>
      </c>
      <c r="G152" s="3" t="inlineStr"/>
      <c r="H152" s="3" t="inlineStr">
        <is>
          <t>Beban Penyusutan Inventaris Ruangan</t>
        </is>
      </c>
      <c r="I152" s="5">
        <f>Penyusutan!M152</f>
        <v/>
      </c>
      <c r="J152" s="3" t="inlineStr"/>
      <c r="K152" s="3" t="inlineStr">
        <is>
          <t>Akumulasi Penyusutan Inventaris Ruangan</t>
        </is>
      </c>
      <c r="L152" s="5">
        <f>Penyusutan!M152</f>
        <v/>
      </c>
      <c r="M152" s="3">
        <f>IF(E152="","","Penyusutan "&amp;E152&amp;" periode "&amp;C152)</f>
        <v/>
      </c>
    </row>
    <row r="153">
      <c r="A153" s="3">
        <f>IF(Penyusutan!D153="","","JRN-"&amp;TEXT(ROW()-1,"0000"))</f>
        <v/>
      </c>
      <c r="B153" s="4" t="n">
        <v>46022</v>
      </c>
      <c r="C153" s="3">
        <f>Penyusutan!B153</f>
        <v/>
      </c>
      <c r="D153" s="3">
        <f>Penyusutan!C153</f>
        <v/>
      </c>
      <c r="E153" s="3">
        <f>Penyusutan!D153</f>
        <v/>
      </c>
      <c r="F153" s="3" t="inlineStr">
        <is>
          <t>Inventaris Ruangan</t>
        </is>
      </c>
      <c r="G153" s="3" t="inlineStr"/>
      <c r="H153" s="3" t="inlineStr">
        <is>
          <t>Beban Penyusutan Inventaris Ruangan</t>
        </is>
      </c>
      <c r="I153" s="5">
        <f>Penyusutan!M153</f>
        <v/>
      </c>
      <c r="J153" s="3" t="inlineStr"/>
      <c r="K153" s="3" t="inlineStr">
        <is>
          <t>Akumulasi Penyusutan Inventaris Ruangan</t>
        </is>
      </c>
      <c r="L153" s="5">
        <f>Penyusutan!M153</f>
        <v/>
      </c>
      <c r="M153" s="3">
        <f>IF(E153="","","Penyusutan "&amp;E153&amp;" periode "&amp;C153)</f>
        <v/>
      </c>
    </row>
    <row r="154">
      <c r="A154" s="3">
        <f>IF(Penyusutan!D154="","","JRN-"&amp;TEXT(ROW()-1,"0000"))</f>
        <v/>
      </c>
      <c r="B154" s="4" t="n">
        <v>46022</v>
      </c>
      <c r="C154" s="3">
        <f>Penyusutan!B154</f>
        <v/>
      </c>
      <c r="D154" s="3">
        <f>Penyusutan!C154</f>
        <v/>
      </c>
      <c r="E154" s="3">
        <f>Penyusutan!D154</f>
        <v/>
      </c>
      <c r="F154" s="3" t="inlineStr">
        <is>
          <t>Inventaris Ruangan</t>
        </is>
      </c>
      <c r="G154" s="3" t="inlineStr"/>
      <c r="H154" s="3" t="inlineStr">
        <is>
          <t>Beban Penyusutan Inventaris Ruangan</t>
        </is>
      </c>
      <c r="I154" s="5">
        <f>Penyusutan!M154</f>
        <v/>
      </c>
      <c r="J154" s="3" t="inlineStr"/>
      <c r="K154" s="3" t="inlineStr">
        <is>
          <t>Akumulasi Penyusutan Inventaris Ruangan</t>
        </is>
      </c>
      <c r="L154" s="5">
        <f>Penyusutan!M154</f>
        <v/>
      </c>
      <c r="M154" s="3">
        <f>IF(E154="","","Penyusutan "&amp;E154&amp;" periode "&amp;C154)</f>
        <v/>
      </c>
    </row>
    <row r="155">
      <c r="A155" s="3">
        <f>IF(Penyusutan!D155="","","JRN-"&amp;TEXT(ROW()-1,"0000"))</f>
        <v/>
      </c>
      <c r="B155" s="4" t="n">
        <v>46022</v>
      </c>
      <c r="C155" s="3">
        <f>Penyusutan!B155</f>
        <v/>
      </c>
      <c r="D155" s="3">
        <f>Penyusutan!C155</f>
        <v/>
      </c>
      <c r="E155" s="3">
        <f>Penyusutan!D155</f>
        <v/>
      </c>
      <c r="F155" s="3" t="inlineStr">
        <is>
          <t>Inventaris Ruangan</t>
        </is>
      </c>
      <c r="G155" s="3" t="inlineStr"/>
      <c r="H155" s="3" t="inlineStr">
        <is>
          <t>Beban Penyusutan Inventaris Ruangan</t>
        </is>
      </c>
      <c r="I155" s="5">
        <f>Penyusutan!M155</f>
        <v/>
      </c>
      <c r="J155" s="3" t="inlineStr"/>
      <c r="K155" s="3" t="inlineStr">
        <is>
          <t>Akumulasi Penyusutan Inventaris Ruangan</t>
        </is>
      </c>
      <c r="L155" s="5">
        <f>Penyusutan!M155</f>
        <v/>
      </c>
      <c r="M155" s="3">
        <f>IF(E155="","","Penyusutan "&amp;E155&amp;" periode "&amp;C155)</f>
        <v/>
      </c>
    </row>
    <row r="156">
      <c r="A156" s="3">
        <f>IF(Penyusutan!D156="","","JRN-"&amp;TEXT(ROW()-1,"0000"))</f>
        <v/>
      </c>
      <c r="B156" s="4" t="n">
        <v>46022</v>
      </c>
      <c r="C156" s="3">
        <f>Penyusutan!B156</f>
        <v/>
      </c>
      <c r="D156" s="3">
        <f>Penyusutan!C156</f>
        <v/>
      </c>
      <c r="E156" s="3">
        <f>Penyusutan!D156</f>
        <v/>
      </c>
      <c r="F156" s="3" t="inlineStr">
        <is>
          <t>Inventaris Ruangan</t>
        </is>
      </c>
      <c r="G156" s="3" t="inlineStr"/>
      <c r="H156" s="3" t="inlineStr">
        <is>
          <t>Beban Penyusutan Inventaris Ruangan</t>
        </is>
      </c>
      <c r="I156" s="5">
        <f>Penyusutan!M156</f>
        <v/>
      </c>
      <c r="J156" s="3" t="inlineStr"/>
      <c r="K156" s="3" t="inlineStr">
        <is>
          <t>Akumulasi Penyusutan Inventaris Ruangan</t>
        </is>
      </c>
      <c r="L156" s="5">
        <f>Penyusutan!M156</f>
        <v/>
      </c>
      <c r="M156" s="3">
        <f>IF(E156="","","Penyusutan "&amp;E156&amp;" periode "&amp;C156)</f>
        <v/>
      </c>
    </row>
    <row r="157">
      <c r="A157" s="3">
        <f>IF(Penyusutan!D157="","","JRN-"&amp;TEXT(ROW()-1,"0000"))</f>
        <v/>
      </c>
      <c r="B157" s="4" t="n">
        <v>46022</v>
      </c>
      <c r="C157" s="3">
        <f>Penyusutan!B157</f>
        <v/>
      </c>
      <c r="D157" s="3">
        <f>Penyusutan!C157</f>
        <v/>
      </c>
      <c r="E157" s="3">
        <f>Penyusutan!D157</f>
        <v/>
      </c>
      <c r="F157" s="3" t="inlineStr">
        <is>
          <t>Inventaris Ruangan</t>
        </is>
      </c>
      <c r="G157" s="3" t="inlineStr"/>
      <c r="H157" s="3" t="inlineStr">
        <is>
          <t>Beban Penyusutan Inventaris Ruangan</t>
        </is>
      </c>
      <c r="I157" s="5">
        <f>Penyusutan!M157</f>
        <v/>
      </c>
      <c r="J157" s="3" t="inlineStr"/>
      <c r="K157" s="3" t="inlineStr">
        <is>
          <t>Akumulasi Penyusutan Inventaris Ruangan</t>
        </is>
      </c>
      <c r="L157" s="5">
        <f>Penyusutan!M157</f>
        <v/>
      </c>
      <c r="M157" s="3">
        <f>IF(E157="","","Penyusutan "&amp;E157&amp;" periode "&amp;C157)</f>
        <v/>
      </c>
    </row>
    <row r="158">
      <c r="A158" s="3">
        <f>IF(Penyusutan!D158="","","JRN-"&amp;TEXT(ROW()-1,"0000"))</f>
        <v/>
      </c>
      <c r="B158" s="4" t="n">
        <v>46022</v>
      </c>
      <c r="C158" s="3">
        <f>Penyusutan!B158</f>
        <v/>
      </c>
      <c r="D158" s="3">
        <f>Penyusutan!C158</f>
        <v/>
      </c>
      <c r="E158" s="3">
        <f>Penyusutan!D158</f>
        <v/>
      </c>
      <c r="F158" s="3" t="inlineStr">
        <is>
          <t>Inventaris Ruangan</t>
        </is>
      </c>
      <c r="G158" s="3" t="inlineStr"/>
      <c r="H158" s="3" t="inlineStr">
        <is>
          <t>Beban Penyusutan Inventaris Ruangan</t>
        </is>
      </c>
      <c r="I158" s="5">
        <f>Penyusutan!M158</f>
        <v/>
      </c>
      <c r="J158" s="3" t="inlineStr"/>
      <c r="K158" s="3" t="inlineStr">
        <is>
          <t>Akumulasi Penyusutan Inventaris Ruangan</t>
        </is>
      </c>
      <c r="L158" s="5">
        <f>Penyusutan!M158</f>
        <v/>
      </c>
      <c r="M158" s="3">
        <f>IF(E158="","","Penyusutan "&amp;E158&amp;" periode "&amp;C158)</f>
        <v/>
      </c>
    </row>
    <row r="159">
      <c r="A159" s="3">
        <f>IF(Penyusutan!D159="","","JRN-"&amp;TEXT(ROW()-1,"0000"))</f>
        <v/>
      </c>
      <c r="B159" s="4" t="n">
        <v>46022</v>
      </c>
      <c r="C159" s="3">
        <f>Penyusutan!B159</f>
        <v/>
      </c>
      <c r="D159" s="3">
        <f>Penyusutan!C159</f>
        <v/>
      </c>
      <c r="E159" s="3">
        <f>Penyusutan!D159</f>
        <v/>
      </c>
      <c r="F159" s="3" t="inlineStr">
        <is>
          <t>Inventaris Ruangan</t>
        </is>
      </c>
      <c r="G159" s="3" t="inlineStr"/>
      <c r="H159" s="3" t="inlineStr">
        <is>
          <t>Beban Penyusutan Inventaris Ruangan</t>
        </is>
      </c>
      <c r="I159" s="5">
        <f>Penyusutan!M159</f>
        <v/>
      </c>
      <c r="J159" s="3" t="inlineStr"/>
      <c r="K159" s="3" t="inlineStr">
        <is>
          <t>Akumulasi Penyusutan Inventaris Ruangan</t>
        </is>
      </c>
      <c r="L159" s="5">
        <f>Penyusutan!M159</f>
        <v/>
      </c>
      <c r="M159" s="3">
        <f>IF(E159="","","Penyusutan "&amp;E159&amp;" periode "&amp;C159)</f>
        <v/>
      </c>
    </row>
    <row r="160">
      <c r="A160" s="3">
        <f>IF(Penyusutan!D160="","","JRN-"&amp;TEXT(ROW()-1,"0000"))</f>
        <v/>
      </c>
      <c r="B160" s="4" t="n">
        <v>46022</v>
      </c>
      <c r="C160" s="3">
        <f>Penyusutan!B160</f>
        <v/>
      </c>
      <c r="D160" s="3">
        <f>Penyusutan!C160</f>
        <v/>
      </c>
      <c r="E160" s="3">
        <f>Penyusutan!D160</f>
        <v/>
      </c>
      <c r="F160" s="3" t="inlineStr">
        <is>
          <t>Inventaris Ruangan</t>
        </is>
      </c>
      <c r="G160" s="3" t="inlineStr"/>
      <c r="H160" s="3" t="inlineStr">
        <is>
          <t>Beban Penyusutan Inventaris Ruangan</t>
        </is>
      </c>
      <c r="I160" s="5">
        <f>Penyusutan!M160</f>
        <v/>
      </c>
      <c r="J160" s="3" t="inlineStr"/>
      <c r="K160" s="3" t="inlineStr">
        <is>
          <t>Akumulasi Penyusutan Inventaris Ruangan</t>
        </is>
      </c>
      <c r="L160" s="5">
        <f>Penyusutan!M160</f>
        <v/>
      </c>
      <c r="M160" s="3">
        <f>IF(E160="","","Penyusutan "&amp;E160&amp;" periode "&amp;C160)</f>
        <v/>
      </c>
    </row>
    <row r="161">
      <c r="A161" s="3">
        <f>IF(Penyusutan!D161="","","JRN-"&amp;TEXT(ROW()-1,"0000"))</f>
        <v/>
      </c>
      <c r="B161" s="4" t="n">
        <v>46022</v>
      </c>
      <c r="C161" s="3">
        <f>Penyusutan!B161</f>
        <v/>
      </c>
      <c r="D161" s="3">
        <f>Penyusutan!C161</f>
        <v/>
      </c>
      <c r="E161" s="3">
        <f>Penyusutan!D161</f>
        <v/>
      </c>
      <c r="F161" s="3" t="inlineStr">
        <is>
          <t>Inventaris Ruangan</t>
        </is>
      </c>
      <c r="G161" s="3" t="inlineStr"/>
      <c r="H161" s="3" t="inlineStr">
        <is>
          <t>Beban Penyusutan Inventaris Ruangan</t>
        </is>
      </c>
      <c r="I161" s="5">
        <f>Penyusutan!M161</f>
        <v/>
      </c>
      <c r="J161" s="3" t="inlineStr"/>
      <c r="K161" s="3" t="inlineStr">
        <is>
          <t>Akumulasi Penyusutan Inventaris Ruangan</t>
        </is>
      </c>
      <c r="L161" s="5">
        <f>Penyusutan!M161</f>
        <v/>
      </c>
      <c r="M161" s="3">
        <f>IF(E161="","","Penyusutan "&amp;E161&amp;" periode "&amp;C161)</f>
        <v/>
      </c>
    </row>
    <row r="162">
      <c r="A162" s="3">
        <f>IF(Penyusutan!D162="","","JRN-"&amp;TEXT(ROW()-1,"0000"))</f>
        <v/>
      </c>
      <c r="B162" s="4" t="n">
        <v>46022</v>
      </c>
      <c r="C162" s="3">
        <f>Penyusutan!B162</f>
        <v/>
      </c>
      <c r="D162" s="3">
        <f>Penyusutan!C162</f>
        <v/>
      </c>
      <c r="E162" s="3">
        <f>Penyusutan!D162</f>
        <v/>
      </c>
      <c r="F162" s="3" t="inlineStr">
        <is>
          <t>Inventaris Ruangan</t>
        </is>
      </c>
      <c r="G162" s="3" t="inlineStr"/>
      <c r="H162" s="3" t="inlineStr">
        <is>
          <t>Beban Penyusutan Inventaris Ruangan</t>
        </is>
      </c>
      <c r="I162" s="5">
        <f>Penyusutan!M162</f>
        <v/>
      </c>
      <c r="J162" s="3" t="inlineStr"/>
      <c r="K162" s="3" t="inlineStr">
        <is>
          <t>Akumulasi Penyusutan Inventaris Ruangan</t>
        </is>
      </c>
      <c r="L162" s="5">
        <f>Penyusutan!M162</f>
        <v/>
      </c>
      <c r="M162" s="3">
        <f>IF(E162="","","Penyusutan "&amp;E162&amp;" periode "&amp;C162)</f>
        <v/>
      </c>
    </row>
    <row r="163">
      <c r="A163" s="3">
        <f>IF(Penyusutan!D163="","","JRN-"&amp;TEXT(ROW()-1,"0000"))</f>
        <v/>
      </c>
      <c r="B163" s="4" t="n">
        <v>46022</v>
      </c>
      <c r="C163" s="3">
        <f>Penyusutan!B163</f>
        <v/>
      </c>
      <c r="D163" s="3">
        <f>Penyusutan!C163</f>
        <v/>
      </c>
      <c r="E163" s="3">
        <f>Penyusutan!D163</f>
        <v/>
      </c>
      <c r="F163" s="3" t="inlineStr">
        <is>
          <t>Inventaris Ruangan</t>
        </is>
      </c>
      <c r="G163" s="3" t="inlineStr"/>
      <c r="H163" s="3" t="inlineStr">
        <is>
          <t>Beban Penyusutan Inventaris Ruangan</t>
        </is>
      </c>
      <c r="I163" s="5">
        <f>Penyusutan!M163</f>
        <v/>
      </c>
      <c r="J163" s="3" t="inlineStr"/>
      <c r="K163" s="3" t="inlineStr">
        <is>
          <t>Akumulasi Penyusutan Inventaris Ruangan</t>
        </is>
      </c>
      <c r="L163" s="5">
        <f>Penyusutan!M163</f>
        <v/>
      </c>
      <c r="M163" s="3">
        <f>IF(E163="","","Penyusutan "&amp;E163&amp;" periode "&amp;C163)</f>
        <v/>
      </c>
    </row>
    <row r="164">
      <c r="A164" s="3">
        <f>IF(Penyusutan!D164="","","JRN-"&amp;TEXT(ROW()-1,"0000"))</f>
        <v/>
      </c>
      <c r="B164" s="4" t="n">
        <v>46022</v>
      </c>
      <c r="C164" s="3">
        <f>Penyusutan!B164</f>
        <v/>
      </c>
      <c r="D164" s="3">
        <f>Penyusutan!C164</f>
        <v/>
      </c>
      <c r="E164" s="3">
        <f>Penyusutan!D164</f>
        <v/>
      </c>
      <c r="F164" s="3" t="inlineStr">
        <is>
          <t>Inventaris Ruangan</t>
        </is>
      </c>
      <c r="G164" s="3" t="inlineStr"/>
      <c r="H164" s="3" t="inlineStr">
        <is>
          <t>Beban Penyusutan Inventaris Ruangan</t>
        </is>
      </c>
      <c r="I164" s="5">
        <f>Penyusutan!M164</f>
        <v/>
      </c>
      <c r="J164" s="3" t="inlineStr"/>
      <c r="K164" s="3" t="inlineStr">
        <is>
          <t>Akumulasi Penyusutan Inventaris Ruangan</t>
        </is>
      </c>
      <c r="L164" s="5">
        <f>Penyusutan!M164</f>
        <v/>
      </c>
      <c r="M164" s="3">
        <f>IF(E164="","","Penyusutan "&amp;E164&amp;" periode "&amp;C164)</f>
        <v/>
      </c>
    </row>
    <row r="165">
      <c r="A165" s="3">
        <f>IF(Penyusutan!D165="","","JRN-"&amp;TEXT(ROW()-1,"0000"))</f>
        <v/>
      </c>
      <c r="B165" s="4" t="n">
        <v>46022</v>
      </c>
      <c r="C165" s="3">
        <f>Penyusutan!B165</f>
        <v/>
      </c>
      <c r="D165" s="3">
        <f>Penyusutan!C165</f>
        <v/>
      </c>
      <c r="E165" s="3">
        <f>Penyusutan!D165</f>
        <v/>
      </c>
      <c r="F165" s="3" t="inlineStr">
        <is>
          <t>Inventaris Ruangan</t>
        </is>
      </c>
      <c r="G165" s="3" t="inlineStr"/>
      <c r="H165" s="3" t="inlineStr">
        <is>
          <t>Beban Penyusutan Inventaris Ruangan</t>
        </is>
      </c>
      <c r="I165" s="5">
        <f>Penyusutan!M165</f>
        <v/>
      </c>
      <c r="J165" s="3" t="inlineStr"/>
      <c r="K165" s="3" t="inlineStr">
        <is>
          <t>Akumulasi Penyusutan Inventaris Ruangan</t>
        </is>
      </c>
      <c r="L165" s="5">
        <f>Penyusutan!M165</f>
        <v/>
      </c>
      <c r="M165" s="3">
        <f>IF(E165="","","Penyusutan "&amp;E165&amp;" periode "&amp;C165)</f>
        <v/>
      </c>
    </row>
    <row r="166">
      <c r="A166" s="3">
        <f>IF(Penyusutan!D166="","","JRN-"&amp;TEXT(ROW()-1,"0000"))</f>
        <v/>
      </c>
      <c r="B166" s="4" t="n">
        <v>46022</v>
      </c>
      <c r="C166" s="3">
        <f>Penyusutan!B166</f>
        <v/>
      </c>
      <c r="D166" s="3">
        <f>Penyusutan!C166</f>
        <v/>
      </c>
      <c r="E166" s="3">
        <f>Penyusutan!D166</f>
        <v/>
      </c>
      <c r="F166" s="3" t="inlineStr">
        <is>
          <t>Inventaris Ruangan</t>
        </is>
      </c>
      <c r="G166" s="3" t="inlineStr"/>
      <c r="H166" s="3" t="inlineStr">
        <is>
          <t>Beban Penyusutan Inventaris Ruangan</t>
        </is>
      </c>
      <c r="I166" s="5">
        <f>Penyusutan!M166</f>
        <v/>
      </c>
      <c r="J166" s="3" t="inlineStr"/>
      <c r="K166" s="3" t="inlineStr">
        <is>
          <t>Akumulasi Penyusutan Inventaris Ruangan</t>
        </is>
      </c>
      <c r="L166" s="5">
        <f>Penyusutan!M166</f>
        <v/>
      </c>
      <c r="M166" s="3">
        <f>IF(E166="","","Penyusutan "&amp;E166&amp;" periode "&amp;C166)</f>
        <v/>
      </c>
    </row>
    <row r="167">
      <c r="A167" s="3">
        <f>IF(Penyusutan!D167="","","JRN-"&amp;TEXT(ROW()-1,"0000"))</f>
        <v/>
      </c>
      <c r="B167" s="4" t="n">
        <v>46022</v>
      </c>
      <c r="C167" s="3">
        <f>Penyusutan!B167</f>
        <v/>
      </c>
      <c r="D167" s="3">
        <f>Penyusutan!C167</f>
        <v/>
      </c>
      <c r="E167" s="3">
        <f>Penyusutan!D167</f>
        <v/>
      </c>
      <c r="F167" s="3" t="inlineStr">
        <is>
          <t>Inventaris Ruangan</t>
        </is>
      </c>
      <c r="G167" s="3" t="inlineStr"/>
      <c r="H167" s="3" t="inlineStr">
        <is>
          <t>Beban Penyusutan Inventaris Ruangan</t>
        </is>
      </c>
      <c r="I167" s="5">
        <f>Penyusutan!M167</f>
        <v/>
      </c>
      <c r="J167" s="3" t="inlineStr"/>
      <c r="K167" s="3" t="inlineStr">
        <is>
          <t>Akumulasi Penyusutan Inventaris Ruangan</t>
        </is>
      </c>
      <c r="L167" s="5">
        <f>Penyusutan!M167</f>
        <v/>
      </c>
      <c r="M167" s="3">
        <f>IF(E167="","","Penyusutan "&amp;E167&amp;" periode "&amp;C167)</f>
        <v/>
      </c>
    </row>
    <row r="168">
      <c r="A168" s="3">
        <f>IF(Penyusutan!D168="","","JRN-"&amp;TEXT(ROW()-1,"0000"))</f>
        <v/>
      </c>
      <c r="B168" s="4" t="n">
        <v>46022</v>
      </c>
      <c r="C168" s="3">
        <f>Penyusutan!B168</f>
        <v/>
      </c>
      <c r="D168" s="3">
        <f>Penyusutan!C168</f>
        <v/>
      </c>
      <c r="E168" s="3">
        <f>Penyusutan!D168</f>
        <v/>
      </c>
      <c r="F168" s="3" t="inlineStr">
        <is>
          <t>Inventaris Ruangan</t>
        </is>
      </c>
      <c r="G168" s="3" t="inlineStr"/>
      <c r="H168" s="3" t="inlineStr">
        <is>
          <t>Beban Penyusutan Inventaris Ruangan</t>
        </is>
      </c>
      <c r="I168" s="5">
        <f>Penyusutan!M168</f>
        <v/>
      </c>
      <c r="J168" s="3" t="inlineStr"/>
      <c r="K168" s="3" t="inlineStr">
        <is>
          <t>Akumulasi Penyusutan Inventaris Ruangan</t>
        </is>
      </c>
      <c r="L168" s="5">
        <f>Penyusutan!M168</f>
        <v/>
      </c>
      <c r="M168" s="3">
        <f>IF(E168="","","Penyusutan "&amp;E168&amp;" periode "&amp;C168)</f>
        <v/>
      </c>
    </row>
    <row r="169">
      <c r="A169" s="3">
        <f>IF(Penyusutan!D169="","","JRN-"&amp;TEXT(ROW()-1,"0000"))</f>
        <v/>
      </c>
      <c r="B169" s="4" t="n">
        <v>46022</v>
      </c>
      <c r="C169" s="3">
        <f>Penyusutan!B169</f>
        <v/>
      </c>
      <c r="D169" s="3">
        <f>Penyusutan!C169</f>
        <v/>
      </c>
      <c r="E169" s="3">
        <f>Penyusutan!D169</f>
        <v/>
      </c>
      <c r="F169" s="3" t="inlineStr">
        <is>
          <t>Inventaris Ruangan</t>
        </is>
      </c>
      <c r="G169" s="3" t="inlineStr"/>
      <c r="H169" s="3" t="inlineStr">
        <is>
          <t>Beban Penyusutan Inventaris Ruangan</t>
        </is>
      </c>
      <c r="I169" s="5">
        <f>Penyusutan!M169</f>
        <v/>
      </c>
      <c r="J169" s="3" t="inlineStr"/>
      <c r="K169" s="3" t="inlineStr">
        <is>
          <t>Akumulasi Penyusutan Inventaris Ruangan</t>
        </is>
      </c>
      <c r="L169" s="5">
        <f>Penyusutan!M169</f>
        <v/>
      </c>
      <c r="M169" s="3">
        <f>IF(E169="","","Penyusutan "&amp;E169&amp;" periode "&amp;C169)</f>
        <v/>
      </c>
    </row>
    <row r="170">
      <c r="A170" s="3">
        <f>IF(Penyusutan!D170="","","JRN-"&amp;TEXT(ROW()-1,"0000"))</f>
        <v/>
      </c>
      <c r="B170" s="4" t="n">
        <v>46022</v>
      </c>
      <c r="C170" s="3">
        <f>Penyusutan!B170</f>
        <v/>
      </c>
      <c r="D170" s="3">
        <f>Penyusutan!C170</f>
        <v/>
      </c>
      <c r="E170" s="3">
        <f>Penyusutan!D170</f>
        <v/>
      </c>
      <c r="F170" s="3" t="inlineStr">
        <is>
          <t>Inventaris Ruangan</t>
        </is>
      </c>
      <c r="G170" s="3" t="inlineStr"/>
      <c r="H170" s="3" t="inlineStr">
        <is>
          <t>Beban Penyusutan Inventaris Ruangan</t>
        </is>
      </c>
      <c r="I170" s="5">
        <f>Penyusutan!M170</f>
        <v/>
      </c>
      <c r="J170" s="3" t="inlineStr"/>
      <c r="K170" s="3" t="inlineStr">
        <is>
          <t>Akumulasi Penyusutan Inventaris Ruangan</t>
        </is>
      </c>
      <c r="L170" s="5">
        <f>Penyusutan!M170</f>
        <v/>
      </c>
      <c r="M170" s="3">
        <f>IF(E170="","","Penyusutan "&amp;E170&amp;" periode "&amp;C170)</f>
        <v/>
      </c>
    </row>
    <row r="171">
      <c r="A171" s="3">
        <f>IF(Penyusutan!D171="","","JRN-"&amp;TEXT(ROW()-1,"0000"))</f>
        <v/>
      </c>
      <c r="B171" s="4" t="n">
        <v>46022</v>
      </c>
      <c r="C171" s="3">
        <f>Penyusutan!B171</f>
        <v/>
      </c>
      <c r="D171" s="3">
        <f>Penyusutan!C171</f>
        <v/>
      </c>
      <c r="E171" s="3">
        <f>Penyusutan!D171</f>
        <v/>
      </c>
      <c r="F171" s="3" t="inlineStr">
        <is>
          <t>Inventaris Ruangan</t>
        </is>
      </c>
      <c r="G171" s="3" t="inlineStr"/>
      <c r="H171" s="3" t="inlineStr">
        <is>
          <t>Beban Penyusutan Inventaris Ruangan</t>
        </is>
      </c>
      <c r="I171" s="5">
        <f>Penyusutan!M171</f>
        <v/>
      </c>
      <c r="J171" s="3" t="inlineStr"/>
      <c r="K171" s="3" t="inlineStr">
        <is>
          <t>Akumulasi Penyusutan Inventaris Ruangan</t>
        </is>
      </c>
      <c r="L171" s="5">
        <f>Penyusutan!M171</f>
        <v/>
      </c>
      <c r="M171" s="3">
        <f>IF(E171="","","Penyusutan "&amp;E171&amp;" periode "&amp;C171)</f>
        <v/>
      </c>
    </row>
    <row r="172">
      <c r="A172" s="3">
        <f>IF(Penyusutan!D172="","","JRN-"&amp;TEXT(ROW()-1,"0000"))</f>
        <v/>
      </c>
      <c r="B172" s="4" t="n">
        <v>46022</v>
      </c>
      <c r="C172" s="3">
        <f>Penyusutan!B172</f>
        <v/>
      </c>
      <c r="D172" s="3">
        <f>Penyusutan!C172</f>
        <v/>
      </c>
      <c r="E172" s="3">
        <f>Penyusutan!D172</f>
        <v/>
      </c>
      <c r="F172" s="3" t="inlineStr">
        <is>
          <t>Inventaris Ruangan</t>
        </is>
      </c>
      <c r="G172" s="3" t="inlineStr"/>
      <c r="H172" s="3" t="inlineStr">
        <is>
          <t>Beban Penyusutan Inventaris Ruangan</t>
        </is>
      </c>
      <c r="I172" s="5">
        <f>Penyusutan!M172</f>
        <v/>
      </c>
      <c r="J172" s="3" t="inlineStr"/>
      <c r="K172" s="3" t="inlineStr">
        <is>
          <t>Akumulasi Penyusutan Inventaris Ruangan</t>
        </is>
      </c>
      <c r="L172" s="5">
        <f>Penyusutan!M172</f>
        <v/>
      </c>
      <c r="M172" s="3">
        <f>IF(E172="","","Penyusutan "&amp;E172&amp;" periode "&amp;C172)</f>
        <v/>
      </c>
    </row>
    <row r="173">
      <c r="A173" s="3">
        <f>IF(Penyusutan!D173="","","JRN-"&amp;TEXT(ROW()-1,"0000"))</f>
        <v/>
      </c>
      <c r="B173" s="4" t="n">
        <v>46022</v>
      </c>
      <c r="C173" s="3">
        <f>Penyusutan!B173</f>
        <v/>
      </c>
      <c r="D173" s="3">
        <f>Penyusutan!C173</f>
        <v/>
      </c>
      <c r="E173" s="3">
        <f>Penyusutan!D173</f>
        <v/>
      </c>
      <c r="F173" s="3" t="inlineStr">
        <is>
          <t>Inventaris Ruangan</t>
        </is>
      </c>
      <c r="G173" s="3" t="inlineStr"/>
      <c r="H173" s="3" t="inlineStr">
        <is>
          <t>Beban Penyusutan Inventaris Ruangan</t>
        </is>
      </c>
      <c r="I173" s="5">
        <f>Penyusutan!M173</f>
        <v/>
      </c>
      <c r="J173" s="3" t="inlineStr"/>
      <c r="K173" s="3" t="inlineStr">
        <is>
          <t>Akumulasi Penyusutan Inventaris Ruangan</t>
        </is>
      </c>
      <c r="L173" s="5">
        <f>Penyusutan!M173</f>
        <v/>
      </c>
      <c r="M173" s="3">
        <f>IF(E173="","","Penyusutan "&amp;E173&amp;" periode "&amp;C173)</f>
        <v/>
      </c>
    </row>
    <row r="174">
      <c r="A174" s="3">
        <f>IF(Penyusutan!D174="","","JRN-"&amp;TEXT(ROW()-1,"0000"))</f>
        <v/>
      </c>
      <c r="B174" s="4" t="n">
        <v>46022</v>
      </c>
      <c r="C174" s="3">
        <f>Penyusutan!B174</f>
        <v/>
      </c>
      <c r="D174" s="3">
        <f>Penyusutan!C174</f>
        <v/>
      </c>
      <c r="E174" s="3">
        <f>Penyusutan!D174</f>
        <v/>
      </c>
      <c r="F174" s="3" t="inlineStr">
        <is>
          <t>Inventaris Ruangan</t>
        </is>
      </c>
      <c r="G174" s="3" t="inlineStr"/>
      <c r="H174" s="3" t="inlineStr">
        <is>
          <t>Beban Penyusutan Inventaris Ruangan</t>
        </is>
      </c>
      <c r="I174" s="5">
        <f>Penyusutan!M174</f>
        <v/>
      </c>
      <c r="J174" s="3" t="inlineStr"/>
      <c r="K174" s="3" t="inlineStr">
        <is>
          <t>Akumulasi Penyusutan Inventaris Ruangan</t>
        </is>
      </c>
      <c r="L174" s="5">
        <f>Penyusutan!M174</f>
        <v/>
      </c>
      <c r="M174" s="3">
        <f>IF(E174="","","Penyusutan "&amp;E174&amp;" periode "&amp;C174)</f>
        <v/>
      </c>
    </row>
    <row r="175">
      <c r="A175" s="3">
        <f>IF(Penyusutan!D175="","","JRN-"&amp;TEXT(ROW()-1,"0000"))</f>
        <v/>
      </c>
      <c r="B175" s="4" t="n">
        <v>46022</v>
      </c>
      <c r="C175" s="3">
        <f>Penyusutan!B175</f>
        <v/>
      </c>
      <c r="D175" s="3">
        <f>Penyusutan!C175</f>
        <v/>
      </c>
      <c r="E175" s="3">
        <f>Penyusutan!D175</f>
        <v/>
      </c>
      <c r="F175" s="3" t="inlineStr">
        <is>
          <t>Inventaris Ruangan</t>
        </is>
      </c>
      <c r="G175" s="3" t="inlineStr"/>
      <c r="H175" s="3" t="inlineStr">
        <is>
          <t>Beban Penyusutan Inventaris Ruangan</t>
        </is>
      </c>
      <c r="I175" s="5">
        <f>Penyusutan!M175</f>
        <v/>
      </c>
      <c r="J175" s="3" t="inlineStr"/>
      <c r="K175" s="3" t="inlineStr">
        <is>
          <t>Akumulasi Penyusutan Inventaris Ruangan</t>
        </is>
      </c>
      <c r="L175" s="5">
        <f>Penyusutan!M175</f>
        <v/>
      </c>
      <c r="M175" s="3">
        <f>IF(E175="","","Penyusutan "&amp;E175&amp;" periode "&amp;C175)</f>
        <v/>
      </c>
    </row>
    <row r="176">
      <c r="A176" s="3">
        <f>IF(Penyusutan!D176="","","JRN-"&amp;TEXT(ROW()-1,"0000"))</f>
        <v/>
      </c>
      <c r="B176" s="4" t="n">
        <v>46022</v>
      </c>
      <c r="C176" s="3">
        <f>Penyusutan!B176</f>
        <v/>
      </c>
      <c r="D176" s="3">
        <f>Penyusutan!C176</f>
        <v/>
      </c>
      <c r="E176" s="3">
        <f>Penyusutan!D176</f>
        <v/>
      </c>
      <c r="F176" s="3" t="inlineStr">
        <is>
          <t>Inventaris Ruangan</t>
        </is>
      </c>
      <c r="G176" s="3" t="inlineStr"/>
      <c r="H176" s="3" t="inlineStr">
        <is>
          <t>Beban Penyusutan Inventaris Ruangan</t>
        </is>
      </c>
      <c r="I176" s="5">
        <f>Penyusutan!M176</f>
        <v/>
      </c>
      <c r="J176" s="3" t="inlineStr"/>
      <c r="K176" s="3" t="inlineStr">
        <is>
          <t>Akumulasi Penyusutan Inventaris Ruangan</t>
        </is>
      </c>
      <c r="L176" s="5">
        <f>Penyusutan!M176</f>
        <v/>
      </c>
      <c r="M176" s="3">
        <f>IF(E176="","","Penyusutan "&amp;E176&amp;" periode "&amp;C176)</f>
        <v/>
      </c>
    </row>
    <row r="177">
      <c r="A177" s="3">
        <f>IF(Penyusutan!D177="","","JRN-"&amp;TEXT(ROW()-1,"0000"))</f>
        <v/>
      </c>
      <c r="B177" s="4" t="n">
        <v>46022</v>
      </c>
      <c r="C177" s="3">
        <f>Penyusutan!B177</f>
        <v/>
      </c>
      <c r="D177" s="3">
        <f>Penyusutan!C177</f>
        <v/>
      </c>
      <c r="E177" s="3">
        <f>Penyusutan!D177</f>
        <v/>
      </c>
      <c r="F177" s="3" t="inlineStr">
        <is>
          <t>Inventaris Ruangan</t>
        </is>
      </c>
      <c r="G177" s="3" t="inlineStr"/>
      <c r="H177" s="3" t="inlineStr">
        <is>
          <t>Beban Penyusutan Inventaris Ruangan</t>
        </is>
      </c>
      <c r="I177" s="5">
        <f>Penyusutan!M177</f>
        <v/>
      </c>
      <c r="J177" s="3" t="inlineStr"/>
      <c r="K177" s="3" t="inlineStr">
        <is>
          <t>Akumulasi Penyusutan Inventaris Ruangan</t>
        </is>
      </c>
      <c r="L177" s="5">
        <f>Penyusutan!M177</f>
        <v/>
      </c>
      <c r="M177" s="3">
        <f>IF(E177="","","Penyusutan "&amp;E177&amp;" periode "&amp;C177)</f>
        <v/>
      </c>
    </row>
    <row r="178">
      <c r="A178" s="3">
        <f>IF(Penyusutan!D178="","","JRN-"&amp;TEXT(ROW()-1,"0000"))</f>
        <v/>
      </c>
      <c r="B178" s="4" t="n">
        <v>46022</v>
      </c>
      <c r="C178" s="3">
        <f>Penyusutan!B178</f>
        <v/>
      </c>
      <c r="D178" s="3">
        <f>Penyusutan!C178</f>
        <v/>
      </c>
      <c r="E178" s="3">
        <f>Penyusutan!D178</f>
        <v/>
      </c>
      <c r="F178" s="3" t="inlineStr">
        <is>
          <t>Inventaris Ruangan</t>
        </is>
      </c>
      <c r="G178" s="3" t="inlineStr"/>
      <c r="H178" s="3" t="inlineStr">
        <is>
          <t>Beban Penyusutan Inventaris Ruangan</t>
        </is>
      </c>
      <c r="I178" s="5">
        <f>Penyusutan!M178</f>
        <v/>
      </c>
      <c r="J178" s="3" t="inlineStr"/>
      <c r="K178" s="3" t="inlineStr">
        <is>
          <t>Akumulasi Penyusutan Inventaris Ruangan</t>
        </is>
      </c>
      <c r="L178" s="5">
        <f>Penyusutan!M178</f>
        <v/>
      </c>
      <c r="M178" s="3">
        <f>IF(E178="","","Penyusutan "&amp;E178&amp;" periode "&amp;C178)</f>
        <v/>
      </c>
    </row>
    <row r="179">
      <c r="A179" s="3">
        <f>IF(Penyusutan!D179="","","JRN-"&amp;TEXT(ROW()-1,"0000"))</f>
        <v/>
      </c>
      <c r="B179" s="4" t="n">
        <v>46022</v>
      </c>
      <c r="C179" s="3">
        <f>Penyusutan!B179</f>
        <v/>
      </c>
      <c r="D179" s="3">
        <f>Penyusutan!C179</f>
        <v/>
      </c>
      <c r="E179" s="3">
        <f>Penyusutan!D179</f>
        <v/>
      </c>
      <c r="F179" s="3" t="inlineStr">
        <is>
          <t>Inventaris Ruangan</t>
        </is>
      </c>
      <c r="G179" s="3" t="inlineStr"/>
      <c r="H179" s="3" t="inlineStr">
        <is>
          <t>Beban Penyusutan Inventaris Ruangan</t>
        </is>
      </c>
      <c r="I179" s="5">
        <f>Penyusutan!M179</f>
        <v/>
      </c>
      <c r="J179" s="3" t="inlineStr"/>
      <c r="K179" s="3" t="inlineStr">
        <is>
          <t>Akumulasi Penyusutan Inventaris Ruangan</t>
        </is>
      </c>
      <c r="L179" s="5">
        <f>Penyusutan!M179</f>
        <v/>
      </c>
      <c r="M179" s="3">
        <f>IF(E179="","","Penyusutan "&amp;E179&amp;" periode "&amp;C179)</f>
        <v/>
      </c>
    </row>
    <row r="180">
      <c r="A180" s="3">
        <f>IF(Penyusutan!D180="","","JRN-"&amp;TEXT(ROW()-1,"0000"))</f>
        <v/>
      </c>
      <c r="B180" s="4" t="n">
        <v>46022</v>
      </c>
      <c r="C180" s="3">
        <f>Penyusutan!B180</f>
        <v/>
      </c>
      <c r="D180" s="3">
        <f>Penyusutan!C180</f>
        <v/>
      </c>
      <c r="E180" s="3">
        <f>Penyusutan!D180</f>
        <v/>
      </c>
      <c r="F180" s="3" t="inlineStr">
        <is>
          <t>Inventaris Ruangan</t>
        </is>
      </c>
      <c r="G180" s="3" t="inlineStr"/>
      <c r="H180" s="3" t="inlineStr">
        <is>
          <t>Beban Penyusutan Inventaris Ruangan</t>
        </is>
      </c>
      <c r="I180" s="5">
        <f>Penyusutan!M180</f>
        <v/>
      </c>
      <c r="J180" s="3" t="inlineStr"/>
      <c r="K180" s="3" t="inlineStr">
        <is>
          <t>Akumulasi Penyusutan Inventaris Ruangan</t>
        </is>
      </c>
      <c r="L180" s="5">
        <f>Penyusutan!M180</f>
        <v/>
      </c>
      <c r="M180" s="3">
        <f>IF(E180="","","Penyusutan "&amp;E180&amp;" periode "&amp;C180)</f>
        <v/>
      </c>
    </row>
    <row r="181">
      <c r="A181" s="3">
        <f>IF(Penyusutan!D181="","","JRN-"&amp;TEXT(ROW()-1,"0000"))</f>
        <v/>
      </c>
      <c r="B181" s="4" t="n">
        <v>46022</v>
      </c>
      <c r="C181" s="3">
        <f>Penyusutan!B181</f>
        <v/>
      </c>
      <c r="D181" s="3">
        <f>Penyusutan!C181</f>
        <v/>
      </c>
      <c r="E181" s="3">
        <f>Penyusutan!D181</f>
        <v/>
      </c>
      <c r="F181" s="3" t="inlineStr">
        <is>
          <t>Inventaris Ruangan</t>
        </is>
      </c>
      <c r="G181" s="3" t="inlineStr"/>
      <c r="H181" s="3" t="inlineStr">
        <is>
          <t>Beban Penyusutan Inventaris Ruangan</t>
        </is>
      </c>
      <c r="I181" s="5">
        <f>Penyusutan!M181</f>
        <v/>
      </c>
      <c r="J181" s="3" t="inlineStr"/>
      <c r="K181" s="3" t="inlineStr">
        <is>
          <t>Akumulasi Penyusutan Inventaris Ruangan</t>
        </is>
      </c>
      <c r="L181" s="5">
        <f>Penyusutan!M181</f>
        <v/>
      </c>
      <c r="M181" s="3">
        <f>IF(E181="","","Penyusutan "&amp;E181&amp;" periode "&amp;C181)</f>
        <v/>
      </c>
    </row>
    <row r="182">
      <c r="A182" s="3">
        <f>IF(Penyusutan!D182="","","JRN-"&amp;TEXT(ROW()-1,"0000"))</f>
        <v/>
      </c>
      <c r="B182" s="4" t="n">
        <v>46022</v>
      </c>
      <c r="C182" s="3">
        <f>Penyusutan!B182</f>
        <v/>
      </c>
      <c r="D182" s="3">
        <f>Penyusutan!C182</f>
        <v/>
      </c>
      <c r="E182" s="3">
        <f>Penyusutan!D182</f>
        <v/>
      </c>
      <c r="F182" s="3" t="inlineStr">
        <is>
          <t>Inventaris Ruangan</t>
        </is>
      </c>
      <c r="G182" s="3" t="inlineStr"/>
      <c r="H182" s="3" t="inlineStr">
        <is>
          <t>Beban Penyusutan Inventaris Ruangan</t>
        </is>
      </c>
      <c r="I182" s="5">
        <f>Penyusutan!M182</f>
        <v/>
      </c>
      <c r="J182" s="3" t="inlineStr"/>
      <c r="K182" s="3" t="inlineStr">
        <is>
          <t>Akumulasi Penyusutan Inventaris Ruangan</t>
        </is>
      </c>
      <c r="L182" s="5">
        <f>Penyusutan!M182</f>
        <v/>
      </c>
      <c r="M182" s="3">
        <f>IF(E182="","","Penyusutan "&amp;E182&amp;" periode "&amp;C182)</f>
        <v/>
      </c>
    </row>
    <row r="183">
      <c r="A183" s="3">
        <f>IF(Penyusutan!D183="","","JRN-"&amp;TEXT(ROW()-1,"0000"))</f>
        <v/>
      </c>
      <c r="B183" s="4" t="n">
        <v>46022</v>
      </c>
      <c r="C183" s="3">
        <f>Penyusutan!B183</f>
        <v/>
      </c>
      <c r="D183" s="3">
        <f>Penyusutan!C183</f>
        <v/>
      </c>
      <c r="E183" s="3">
        <f>Penyusutan!D183</f>
        <v/>
      </c>
      <c r="F183" s="3" t="inlineStr">
        <is>
          <t>Inventaris Ruangan</t>
        </is>
      </c>
      <c r="G183" s="3" t="inlineStr"/>
      <c r="H183" s="3" t="inlineStr">
        <is>
          <t>Beban Penyusutan Inventaris Ruangan</t>
        </is>
      </c>
      <c r="I183" s="5">
        <f>Penyusutan!M183</f>
        <v/>
      </c>
      <c r="J183" s="3" t="inlineStr"/>
      <c r="K183" s="3" t="inlineStr">
        <is>
          <t>Akumulasi Penyusutan Inventaris Ruangan</t>
        </is>
      </c>
      <c r="L183" s="5">
        <f>Penyusutan!M183</f>
        <v/>
      </c>
      <c r="M183" s="3">
        <f>IF(E183="","","Penyusutan "&amp;E183&amp;" periode "&amp;C183)</f>
        <v/>
      </c>
    </row>
    <row r="184">
      <c r="A184" s="3">
        <f>IF(Penyusutan!D184="","","JRN-"&amp;TEXT(ROW()-1,"0000"))</f>
        <v/>
      </c>
      <c r="B184" s="4" t="n">
        <v>46022</v>
      </c>
      <c r="C184" s="3">
        <f>Penyusutan!B184</f>
        <v/>
      </c>
      <c r="D184" s="3">
        <f>Penyusutan!C184</f>
        <v/>
      </c>
      <c r="E184" s="3">
        <f>Penyusutan!D184</f>
        <v/>
      </c>
      <c r="F184" s="3" t="inlineStr">
        <is>
          <t>Inventaris Ruangan</t>
        </is>
      </c>
      <c r="G184" s="3" t="inlineStr"/>
      <c r="H184" s="3" t="inlineStr">
        <is>
          <t>Beban Penyusutan Inventaris Ruangan</t>
        </is>
      </c>
      <c r="I184" s="5">
        <f>Penyusutan!M184</f>
        <v/>
      </c>
      <c r="J184" s="3" t="inlineStr"/>
      <c r="K184" s="3" t="inlineStr">
        <is>
          <t>Akumulasi Penyusutan Inventaris Ruangan</t>
        </is>
      </c>
      <c r="L184" s="5">
        <f>Penyusutan!M184</f>
        <v/>
      </c>
      <c r="M184" s="3">
        <f>IF(E184="","","Penyusutan "&amp;E184&amp;" periode "&amp;C184)</f>
        <v/>
      </c>
    </row>
    <row r="185">
      <c r="A185" s="3">
        <f>IF(Penyusutan!D185="","","JRN-"&amp;TEXT(ROW()-1,"0000"))</f>
        <v/>
      </c>
      <c r="B185" s="4" t="n">
        <v>46022</v>
      </c>
      <c r="C185" s="3">
        <f>Penyusutan!B185</f>
        <v/>
      </c>
      <c r="D185" s="3">
        <f>Penyusutan!C185</f>
        <v/>
      </c>
      <c r="E185" s="3">
        <f>Penyusutan!D185</f>
        <v/>
      </c>
      <c r="F185" s="3" t="inlineStr">
        <is>
          <t>Inventaris Ruangan</t>
        </is>
      </c>
      <c r="G185" s="3" t="inlineStr"/>
      <c r="H185" s="3" t="inlineStr">
        <is>
          <t>Beban Penyusutan Inventaris Ruangan</t>
        </is>
      </c>
      <c r="I185" s="5">
        <f>Penyusutan!M185</f>
        <v/>
      </c>
      <c r="J185" s="3" t="inlineStr"/>
      <c r="K185" s="3" t="inlineStr">
        <is>
          <t>Akumulasi Penyusutan Inventaris Ruangan</t>
        </is>
      </c>
      <c r="L185" s="5">
        <f>Penyusutan!M185</f>
        <v/>
      </c>
      <c r="M185" s="3">
        <f>IF(E185="","","Penyusutan "&amp;E185&amp;" periode "&amp;C185)</f>
        <v/>
      </c>
    </row>
    <row r="186">
      <c r="A186" s="3">
        <f>IF(Penyusutan!D186="","","JRN-"&amp;TEXT(ROW()-1,"0000"))</f>
        <v/>
      </c>
      <c r="B186" s="4" t="n">
        <v>46022</v>
      </c>
      <c r="C186" s="3">
        <f>Penyusutan!B186</f>
        <v/>
      </c>
      <c r="D186" s="3">
        <f>Penyusutan!C186</f>
        <v/>
      </c>
      <c r="E186" s="3">
        <f>Penyusutan!D186</f>
        <v/>
      </c>
      <c r="F186" s="3" t="inlineStr">
        <is>
          <t>Inventaris Ruangan</t>
        </is>
      </c>
      <c r="G186" s="3" t="inlineStr"/>
      <c r="H186" s="3" t="inlineStr">
        <is>
          <t>Beban Penyusutan Inventaris Ruangan</t>
        </is>
      </c>
      <c r="I186" s="5">
        <f>Penyusutan!M186</f>
        <v/>
      </c>
      <c r="J186" s="3" t="inlineStr"/>
      <c r="K186" s="3" t="inlineStr">
        <is>
          <t>Akumulasi Penyusutan Inventaris Ruangan</t>
        </is>
      </c>
      <c r="L186" s="5">
        <f>Penyusutan!M186</f>
        <v/>
      </c>
      <c r="M186" s="3">
        <f>IF(E186="","","Penyusutan "&amp;E186&amp;" periode "&amp;C186)</f>
        <v/>
      </c>
    </row>
    <row r="187">
      <c r="A187" s="3">
        <f>IF(Penyusutan!D187="","","JRN-"&amp;TEXT(ROW()-1,"0000"))</f>
        <v/>
      </c>
      <c r="B187" s="4" t="n">
        <v>46022</v>
      </c>
      <c r="C187" s="3">
        <f>Penyusutan!B187</f>
        <v/>
      </c>
      <c r="D187" s="3">
        <f>Penyusutan!C187</f>
        <v/>
      </c>
      <c r="E187" s="3">
        <f>Penyusutan!D187</f>
        <v/>
      </c>
      <c r="F187" s="3" t="inlineStr">
        <is>
          <t>Inventaris Ruangan</t>
        </is>
      </c>
      <c r="G187" s="3" t="inlineStr"/>
      <c r="H187" s="3" t="inlineStr">
        <is>
          <t>Beban Penyusutan Inventaris Ruangan</t>
        </is>
      </c>
      <c r="I187" s="5">
        <f>Penyusutan!M187</f>
        <v/>
      </c>
      <c r="J187" s="3" t="inlineStr"/>
      <c r="K187" s="3" t="inlineStr">
        <is>
          <t>Akumulasi Penyusutan Inventaris Ruangan</t>
        </is>
      </c>
      <c r="L187" s="5">
        <f>Penyusutan!M187</f>
        <v/>
      </c>
      <c r="M187" s="3">
        <f>IF(E187="","","Penyusutan "&amp;E187&amp;" periode "&amp;C187)</f>
        <v/>
      </c>
    </row>
    <row r="188">
      <c r="A188" s="3">
        <f>IF(Penyusutan!D188="","","JRN-"&amp;TEXT(ROW()-1,"0000"))</f>
        <v/>
      </c>
      <c r="B188" s="4" t="n">
        <v>46022</v>
      </c>
      <c r="C188" s="3">
        <f>Penyusutan!B188</f>
        <v/>
      </c>
      <c r="D188" s="3">
        <f>Penyusutan!C188</f>
        <v/>
      </c>
      <c r="E188" s="3">
        <f>Penyusutan!D188</f>
        <v/>
      </c>
      <c r="F188" s="3" t="inlineStr">
        <is>
          <t>Inventaris Ruangan</t>
        </is>
      </c>
      <c r="G188" s="3" t="inlineStr"/>
      <c r="H188" s="3" t="inlineStr">
        <is>
          <t>Beban Penyusutan Inventaris Ruangan</t>
        </is>
      </c>
      <c r="I188" s="5">
        <f>Penyusutan!M188</f>
        <v/>
      </c>
      <c r="J188" s="3" t="inlineStr"/>
      <c r="K188" s="3" t="inlineStr">
        <is>
          <t>Akumulasi Penyusutan Inventaris Ruangan</t>
        </is>
      </c>
      <c r="L188" s="5">
        <f>Penyusutan!M188</f>
        <v/>
      </c>
      <c r="M188" s="3">
        <f>IF(E188="","","Penyusutan "&amp;E188&amp;" periode "&amp;C188)</f>
        <v/>
      </c>
    </row>
    <row r="189">
      <c r="A189" s="3">
        <f>IF(Penyusutan!D189="","","JRN-"&amp;TEXT(ROW()-1,"0000"))</f>
        <v/>
      </c>
      <c r="B189" s="4" t="n">
        <v>46022</v>
      </c>
      <c r="C189" s="3">
        <f>Penyusutan!B189</f>
        <v/>
      </c>
      <c r="D189" s="3">
        <f>Penyusutan!C189</f>
        <v/>
      </c>
      <c r="E189" s="3">
        <f>Penyusutan!D189</f>
        <v/>
      </c>
      <c r="F189" s="3" t="inlineStr">
        <is>
          <t>Inventaris Ruangan</t>
        </is>
      </c>
      <c r="G189" s="3" t="inlineStr"/>
      <c r="H189" s="3" t="inlineStr">
        <is>
          <t>Beban Penyusutan Inventaris Ruangan</t>
        </is>
      </c>
      <c r="I189" s="5">
        <f>Penyusutan!M189</f>
        <v/>
      </c>
      <c r="J189" s="3" t="inlineStr"/>
      <c r="K189" s="3" t="inlineStr">
        <is>
          <t>Akumulasi Penyusutan Inventaris Ruangan</t>
        </is>
      </c>
      <c r="L189" s="5">
        <f>Penyusutan!M189</f>
        <v/>
      </c>
      <c r="M189" s="3">
        <f>IF(E189="","","Penyusutan "&amp;E189&amp;" periode "&amp;C189)</f>
        <v/>
      </c>
    </row>
    <row r="190">
      <c r="A190" s="3">
        <f>IF(Penyusutan!D190="","","JRN-"&amp;TEXT(ROW()-1,"0000"))</f>
        <v/>
      </c>
      <c r="B190" s="4" t="n">
        <v>46022</v>
      </c>
      <c r="C190" s="3">
        <f>Penyusutan!B190</f>
        <v/>
      </c>
      <c r="D190" s="3">
        <f>Penyusutan!C190</f>
        <v/>
      </c>
      <c r="E190" s="3">
        <f>Penyusutan!D190</f>
        <v/>
      </c>
      <c r="F190" s="3" t="inlineStr">
        <is>
          <t>Inventaris Ruangan</t>
        </is>
      </c>
      <c r="G190" s="3" t="inlineStr"/>
      <c r="H190" s="3" t="inlineStr">
        <is>
          <t>Beban Penyusutan Inventaris Ruangan</t>
        </is>
      </c>
      <c r="I190" s="5">
        <f>Penyusutan!M190</f>
        <v/>
      </c>
      <c r="J190" s="3" t="inlineStr"/>
      <c r="K190" s="3" t="inlineStr">
        <is>
          <t>Akumulasi Penyusutan Inventaris Ruangan</t>
        </is>
      </c>
      <c r="L190" s="5">
        <f>Penyusutan!M190</f>
        <v/>
      </c>
      <c r="M190" s="3">
        <f>IF(E190="","","Penyusutan "&amp;E190&amp;" periode "&amp;C190)</f>
        <v/>
      </c>
    </row>
    <row r="191">
      <c r="A191" s="3">
        <f>IF(Penyusutan!D191="","","JRN-"&amp;TEXT(ROW()-1,"0000"))</f>
        <v/>
      </c>
      <c r="B191" s="4" t="n">
        <v>46022</v>
      </c>
      <c r="C191" s="3">
        <f>Penyusutan!B191</f>
        <v/>
      </c>
      <c r="D191" s="3">
        <f>Penyusutan!C191</f>
        <v/>
      </c>
      <c r="E191" s="3">
        <f>Penyusutan!D191</f>
        <v/>
      </c>
      <c r="F191" s="3" t="inlineStr">
        <is>
          <t>Inventaris Ruangan</t>
        </is>
      </c>
      <c r="G191" s="3" t="inlineStr"/>
      <c r="H191" s="3" t="inlineStr">
        <is>
          <t>Beban Penyusutan Inventaris Ruangan</t>
        </is>
      </c>
      <c r="I191" s="5">
        <f>Penyusutan!M191</f>
        <v/>
      </c>
      <c r="J191" s="3" t="inlineStr"/>
      <c r="K191" s="3" t="inlineStr">
        <is>
          <t>Akumulasi Penyusutan Inventaris Ruangan</t>
        </is>
      </c>
      <c r="L191" s="5">
        <f>Penyusutan!M191</f>
        <v/>
      </c>
      <c r="M191" s="3">
        <f>IF(E191="","","Penyusutan "&amp;E191&amp;" periode "&amp;C191)</f>
        <v/>
      </c>
    </row>
    <row r="192">
      <c r="A192" s="3">
        <f>IF(Penyusutan!D192="","","JRN-"&amp;TEXT(ROW()-1,"0000"))</f>
        <v/>
      </c>
      <c r="B192" s="4" t="n">
        <v>46022</v>
      </c>
      <c r="C192" s="3">
        <f>Penyusutan!B192</f>
        <v/>
      </c>
      <c r="D192" s="3">
        <f>Penyusutan!C192</f>
        <v/>
      </c>
      <c r="E192" s="3">
        <f>Penyusutan!D192</f>
        <v/>
      </c>
      <c r="F192" s="3" t="inlineStr">
        <is>
          <t>Inventaris Ruangan</t>
        </is>
      </c>
      <c r="G192" s="3" t="inlineStr"/>
      <c r="H192" s="3" t="inlineStr">
        <is>
          <t>Beban Penyusutan Inventaris Ruangan</t>
        </is>
      </c>
      <c r="I192" s="5">
        <f>Penyusutan!M192</f>
        <v/>
      </c>
      <c r="J192" s="3" t="inlineStr"/>
      <c r="K192" s="3" t="inlineStr">
        <is>
          <t>Akumulasi Penyusutan Inventaris Ruangan</t>
        </is>
      </c>
      <c r="L192" s="5">
        <f>Penyusutan!M192</f>
        <v/>
      </c>
      <c r="M192" s="3">
        <f>IF(E192="","","Penyusutan "&amp;E192&amp;" periode "&amp;C192)</f>
        <v/>
      </c>
    </row>
    <row r="193">
      <c r="A193" s="3">
        <f>IF(Penyusutan!D193="","","JRN-"&amp;TEXT(ROW()-1,"0000"))</f>
        <v/>
      </c>
      <c r="B193" s="4" t="n">
        <v>46022</v>
      </c>
      <c r="C193" s="3">
        <f>Penyusutan!B193</f>
        <v/>
      </c>
      <c r="D193" s="3">
        <f>Penyusutan!C193</f>
        <v/>
      </c>
      <c r="E193" s="3">
        <f>Penyusutan!D193</f>
        <v/>
      </c>
      <c r="F193" s="3" t="inlineStr">
        <is>
          <t>Inventaris Ruangan</t>
        </is>
      </c>
      <c r="G193" s="3" t="inlineStr"/>
      <c r="H193" s="3" t="inlineStr">
        <is>
          <t>Beban Penyusutan Inventaris Ruangan</t>
        </is>
      </c>
      <c r="I193" s="5">
        <f>Penyusutan!M193</f>
        <v/>
      </c>
      <c r="J193" s="3" t="inlineStr"/>
      <c r="K193" s="3" t="inlineStr">
        <is>
          <t>Akumulasi Penyusutan Inventaris Ruangan</t>
        </is>
      </c>
      <c r="L193" s="5">
        <f>Penyusutan!M193</f>
        <v/>
      </c>
      <c r="M193" s="3">
        <f>IF(E193="","","Penyusutan "&amp;E193&amp;" periode "&amp;C193)</f>
        <v/>
      </c>
    </row>
    <row r="194">
      <c r="A194" s="3">
        <f>IF(Penyusutan!D194="","","JRN-"&amp;TEXT(ROW()-1,"0000"))</f>
        <v/>
      </c>
      <c r="B194" s="4" t="n">
        <v>46022</v>
      </c>
      <c r="C194" s="3">
        <f>Penyusutan!B194</f>
        <v/>
      </c>
      <c r="D194" s="3">
        <f>Penyusutan!C194</f>
        <v/>
      </c>
      <c r="E194" s="3">
        <f>Penyusutan!D194</f>
        <v/>
      </c>
      <c r="F194" s="3" t="inlineStr">
        <is>
          <t>Inventaris Ruangan</t>
        </is>
      </c>
      <c r="G194" s="3" t="inlineStr"/>
      <c r="H194" s="3" t="inlineStr">
        <is>
          <t>Beban Penyusutan Inventaris Ruangan</t>
        </is>
      </c>
      <c r="I194" s="5">
        <f>Penyusutan!M194</f>
        <v/>
      </c>
      <c r="J194" s="3" t="inlineStr"/>
      <c r="K194" s="3" t="inlineStr">
        <is>
          <t>Akumulasi Penyusutan Inventaris Ruangan</t>
        </is>
      </c>
      <c r="L194" s="5">
        <f>Penyusutan!M194</f>
        <v/>
      </c>
      <c r="M194" s="3">
        <f>IF(E194="","","Penyusutan "&amp;E194&amp;" periode "&amp;C194)</f>
        <v/>
      </c>
    </row>
    <row r="195">
      <c r="A195" s="3">
        <f>IF(Penyusutan!D195="","","JRN-"&amp;TEXT(ROW()-1,"0000"))</f>
        <v/>
      </c>
      <c r="B195" s="4" t="n">
        <v>46022</v>
      </c>
      <c r="C195" s="3">
        <f>Penyusutan!B195</f>
        <v/>
      </c>
      <c r="D195" s="3">
        <f>Penyusutan!C195</f>
        <v/>
      </c>
      <c r="E195" s="3">
        <f>Penyusutan!D195</f>
        <v/>
      </c>
      <c r="F195" s="3" t="inlineStr">
        <is>
          <t>Inventaris Ruangan</t>
        </is>
      </c>
      <c r="G195" s="3" t="inlineStr"/>
      <c r="H195" s="3" t="inlineStr">
        <is>
          <t>Beban Penyusutan Inventaris Ruangan</t>
        </is>
      </c>
      <c r="I195" s="5">
        <f>Penyusutan!M195</f>
        <v/>
      </c>
      <c r="J195" s="3" t="inlineStr"/>
      <c r="K195" s="3" t="inlineStr">
        <is>
          <t>Akumulasi Penyusutan Inventaris Ruangan</t>
        </is>
      </c>
      <c r="L195" s="5">
        <f>Penyusutan!M195</f>
        <v/>
      </c>
      <c r="M195" s="3">
        <f>IF(E195="","","Penyusutan "&amp;E195&amp;" periode "&amp;C195)</f>
        <v/>
      </c>
    </row>
    <row r="196">
      <c r="A196" s="3">
        <f>IF(Penyusutan!D196="","","JRN-"&amp;TEXT(ROW()-1,"0000"))</f>
        <v/>
      </c>
      <c r="B196" s="4" t="n">
        <v>46022</v>
      </c>
      <c r="C196" s="3">
        <f>Penyusutan!B196</f>
        <v/>
      </c>
      <c r="D196" s="3">
        <f>Penyusutan!C196</f>
        <v/>
      </c>
      <c r="E196" s="3">
        <f>Penyusutan!D196</f>
        <v/>
      </c>
      <c r="F196" s="3" t="inlineStr">
        <is>
          <t>Inventaris Ruangan</t>
        </is>
      </c>
      <c r="G196" s="3" t="inlineStr"/>
      <c r="H196" s="3" t="inlineStr">
        <is>
          <t>Beban Penyusutan Inventaris Ruangan</t>
        </is>
      </c>
      <c r="I196" s="5">
        <f>Penyusutan!M196</f>
        <v/>
      </c>
      <c r="J196" s="3" t="inlineStr"/>
      <c r="K196" s="3" t="inlineStr">
        <is>
          <t>Akumulasi Penyusutan Inventaris Ruangan</t>
        </is>
      </c>
      <c r="L196" s="5">
        <f>Penyusutan!M196</f>
        <v/>
      </c>
      <c r="M196" s="3">
        <f>IF(E196="","","Penyusutan "&amp;E196&amp;" periode "&amp;C196)</f>
        <v/>
      </c>
    </row>
    <row r="197">
      <c r="A197" s="3">
        <f>IF(Penyusutan!D197="","","JRN-"&amp;TEXT(ROW()-1,"0000"))</f>
        <v/>
      </c>
      <c r="B197" s="4" t="n">
        <v>46022</v>
      </c>
      <c r="C197" s="3">
        <f>Penyusutan!B197</f>
        <v/>
      </c>
      <c r="D197" s="3">
        <f>Penyusutan!C197</f>
        <v/>
      </c>
      <c r="E197" s="3">
        <f>Penyusutan!D197</f>
        <v/>
      </c>
      <c r="F197" s="3" t="inlineStr">
        <is>
          <t>Inventaris Ruangan</t>
        </is>
      </c>
      <c r="G197" s="3" t="inlineStr"/>
      <c r="H197" s="3" t="inlineStr">
        <is>
          <t>Beban Penyusutan Inventaris Ruangan</t>
        </is>
      </c>
      <c r="I197" s="5">
        <f>Penyusutan!M197</f>
        <v/>
      </c>
      <c r="J197" s="3" t="inlineStr"/>
      <c r="K197" s="3" t="inlineStr">
        <is>
          <t>Akumulasi Penyusutan Inventaris Ruangan</t>
        </is>
      </c>
      <c r="L197" s="5">
        <f>Penyusutan!M197</f>
        <v/>
      </c>
      <c r="M197" s="3">
        <f>IF(E197="","","Penyusutan "&amp;E197&amp;" periode "&amp;C197)</f>
        <v/>
      </c>
    </row>
    <row r="198">
      <c r="A198" s="3">
        <f>IF(Penyusutan!D198="","","JRN-"&amp;TEXT(ROW()-1,"0000"))</f>
        <v/>
      </c>
      <c r="B198" s="4" t="n">
        <v>46022</v>
      </c>
      <c r="C198" s="3">
        <f>Penyusutan!B198</f>
        <v/>
      </c>
      <c r="D198" s="3">
        <f>Penyusutan!C198</f>
        <v/>
      </c>
      <c r="E198" s="3">
        <f>Penyusutan!D198</f>
        <v/>
      </c>
      <c r="F198" s="3" t="inlineStr">
        <is>
          <t>Inventaris Ruangan</t>
        </is>
      </c>
      <c r="G198" s="3" t="inlineStr"/>
      <c r="H198" s="3" t="inlineStr">
        <is>
          <t>Beban Penyusutan Inventaris Ruangan</t>
        </is>
      </c>
      <c r="I198" s="5">
        <f>Penyusutan!M198</f>
        <v/>
      </c>
      <c r="J198" s="3" t="inlineStr"/>
      <c r="K198" s="3" t="inlineStr">
        <is>
          <t>Akumulasi Penyusutan Inventaris Ruangan</t>
        </is>
      </c>
      <c r="L198" s="5">
        <f>Penyusutan!M198</f>
        <v/>
      </c>
      <c r="M198" s="3">
        <f>IF(E198="","","Penyusutan "&amp;E198&amp;" periode "&amp;C198)</f>
        <v/>
      </c>
    </row>
    <row r="199">
      <c r="A199" s="3">
        <f>IF(Penyusutan!D199="","","JRN-"&amp;TEXT(ROW()-1,"0000"))</f>
        <v/>
      </c>
      <c r="B199" s="4" t="n">
        <v>46022</v>
      </c>
      <c r="C199" s="3">
        <f>Penyusutan!B199</f>
        <v/>
      </c>
      <c r="D199" s="3">
        <f>Penyusutan!C199</f>
        <v/>
      </c>
      <c r="E199" s="3">
        <f>Penyusutan!D199</f>
        <v/>
      </c>
      <c r="F199" s="3" t="inlineStr">
        <is>
          <t>Inventaris Ruangan</t>
        </is>
      </c>
      <c r="G199" s="3" t="inlineStr"/>
      <c r="H199" s="3" t="inlineStr">
        <is>
          <t>Beban Penyusutan Inventaris Ruangan</t>
        </is>
      </c>
      <c r="I199" s="5">
        <f>Penyusutan!M199</f>
        <v/>
      </c>
      <c r="J199" s="3" t="inlineStr"/>
      <c r="K199" s="3" t="inlineStr">
        <is>
          <t>Akumulasi Penyusutan Inventaris Ruangan</t>
        </is>
      </c>
      <c r="L199" s="5">
        <f>Penyusutan!M199</f>
        <v/>
      </c>
      <c r="M199" s="3">
        <f>IF(E199="","","Penyusutan "&amp;E199&amp;" periode "&amp;C199)</f>
        <v/>
      </c>
    </row>
    <row r="200">
      <c r="A200" s="3">
        <f>IF(Penyusutan!D200="","","JRN-"&amp;TEXT(ROW()-1,"0000"))</f>
        <v/>
      </c>
      <c r="B200" s="4" t="n">
        <v>46022</v>
      </c>
      <c r="C200" s="3">
        <f>Penyusutan!B200</f>
        <v/>
      </c>
      <c r="D200" s="3">
        <f>Penyusutan!C200</f>
        <v/>
      </c>
      <c r="E200" s="3">
        <f>Penyusutan!D200</f>
        <v/>
      </c>
      <c r="F200" s="3" t="inlineStr">
        <is>
          <t>Inventaris Ruangan</t>
        </is>
      </c>
      <c r="G200" s="3" t="inlineStr"/>
      <c r="H200" s="3" t="inlineStr">
        <is>
          <t>Beban Penyusutan Inventaris Ruangan</t>
        </is>
      </c>
      <c r="I200" s="5">
        <f>Penyusutan!M200</f>
        <v/>
      </c>
      <c r="J200" s="3" t="inlineStr"/>
      <c r="K200" s="3" t="inlineStr">
        <is>
          <t>Akumulasi Penyusutan Inventaris Ruangan</t>
        </is>
      </c>
      <c r="L200" s="5">
        <f>Penyusutan!M200</f>
        <v/>
      </c>
      <c r="M200" s="3">
        <f>IF(E200="","","Penyusutan "&amp;E200&amp;" periode "&amp;C200)</f>
        <v/>
      </c>
    </row>
    <row r="201">
      <c r="A201" s="3">
        <f>IF(Penyusutan!D201="","","JRN-"&amp;TEXT(ROW()-1,"0000"))</f>
        <v/>
      </c>
      <c r="B201" s="4" t="n">
        <v>46022</v>
      </c>
      <c r="C201" s="3">
        <f>Penyusutan!B201</f>
        <v/>
      </c>
      <c r="D201" s="3">
        <f>Penyusutan!C201</f>
        <v/>
      </c>
      <c r="E201" s="3">
        <f>Penyusutan!D201</f>
        <v/>
      </c>
      <c r="F201" s="3" t="inlineStr">
        <is>
          <t>Inventaris Ruangan</t>
        </is>
      </c>
      <c r="G201" s="3" t="inlineStr"/>
      <c r="H201" s="3" t="inlineStr">
        <is>
          <t>Beban Penyusutan Inventaris Ruangan</t>
        </is>
      </c>
      <c r="I201" s="5">
        <f>Penyusutan!M201</f>
        <v/>
      </c>
      <c r="J201" s="3" t="inlineStr"/>
      <c r="K201" s="3" t="inlineStr">
        <is>
          <t>Akumulasi Penyusutan Inventaris Ruangan</t>
        </is>
      </c>
      <c r="L201" s="5">
        <f>Penyusutan!M201</f>
        <v/>
      </c>
      <c r="M201" s="3">
        <f>IF(E201="","","Penyusutan "&amp;E201&amp;" periode "&amp;C201)</f>
        <v/>
      </c>
    </row>
    <row r="202">
      <c r="A202" s="3">
        <f>IF(Penyusutan!D202="","","JRN-"&amp;TEXT(ROW()-1,"0000"))</f>
        <v/>
      </c>
      <c r="B202" s="4" t="n">
        <v>46022</v>
      </c>
      <c r="C202" s="3">
        <f>Penyusutan!B202</f>
        <v/>
      </c>
      <c r="D202" s="3">
        <f>Penyusutan!C202</f>
        <v/>
      </c>
      <c r="E202" s="3">
        <f>Penyusutan!D202</f>
        <v/>
      </c>
      <c r="F202" s="3" t="inlineStr">
        <is>
          <t>Inventaris Ruangan</t>
        </is>
      </c>
      <c r="G202" s="3" t="inlineStr"/>
      <c r="H202" s="3" t="inlineStr">
        <is>
          <t>Beban Penyusutan Inventaris Ruangan</t>
        </is>
      </c>
      <c r="I202" s="5">
        <f>Penyusutan!M202</f>
        <v/>
      </c>
      <c r="J202" s="3" t="inlineStr"/>
      <c r="K202" s="3" t="inlineStr">
        <is>
          <t>Akumulasi Penyusutan Inventaris Ruangan</t>
        </is>
      </c>
      <c r="L202" s="5">
        <f>Penyusutan!M202</f>
        <v/>
      </c>
      <c r="M202" s="3">
        <f>IF(E202="","","Penyusutan "&amp;E202&amp;" periode "&amp;C202)</f>
        <v/>
      </c>
    </row>
    <row r="203">
      <c r="A203" s="3">
        <f>IF(Penyusutan!D203="","","JRN-"&amp;TEXT(ROW()-1,"0000"))</f>
        <v/>
      </c>
      <c r="B203" s="4" t="n">
        <v>46022</v>
      </c>
      <c r="C203" s="3">
        <f>Penyusutan!B203</f>
        <v/>
      </c>
      <c r="D203" s="3">
        <f>Penyusutan!C203</f>
        <v/>
      </c>
      <c r="E203" s="3">
        <f>Penyusutan!D203</f>
        <v/>
      </c>
      <c r="F203" s="3" t="inlineStr">
        <is>
          <t>Inventaris Ruangan</t>
        </is>
      </c>
      <c r="G203" s="3" t="inlineStr"/>
      <c r="H203" s="3" t="inlineStr">
        <is>
          <t>Beban Penyusutan Inventaris Ruangan</t>
        </is>
      </c>
      <c r="I203" s="5">
        <f>Penyusutan!M203</f>
        <v/>
      </c>
      <c r="J203" s="3" t="inlineStr"/>
      <c r="K203" s="3" t="inlineStr">
        <is>
          <t>Akumulasi Penyusutan Inventaris Ruangan</t>
        </is>
      </c>
      <c r="L203" s="5">
        <f>Penyusutan!M203</f>
        <v/>
      </c>
      <c r="M203" s="3">
        <f>IF(E203="","","Penyusutan "&amp;E203&amp;" periode "&amp;C203)</f>
        <v/>
      </c>
    </row>
    <row r="204">
      <c r="A204" s="3">
        <f>IF(Penyusutan!D204="","","JRN-"&amp;TEXT(ROW()-1,"0000"))</f>
        <v/>
      </c>
      <c r="B204" s="4" t="n">
        <v>46022</v>
      </c>
      <c r="C204" s="3">
        <f>Penyusutan!B204</f>
        <v/>
      </c>
      <c r="D204" s="3">
        <f>Penyusutan!C204</f>
        <v/>
      </c>
      <c r="E204" s="3">
        <f>Penyusutan!D204</f>
        <v/>
      </c>
      <c r="F204" s="3" t="inlineStr">
        <is>
          <t>Inventaris Ruangan</t>
        </is>
      </c>
      <c r="G204" s="3" t="inlineStr"/>
      <c r="H204" s="3" t="inlineStr">
        <is>
          <t>Beban Penyusutan Inventaris Ruangan</t>
        </is>
      </c>
      <c r="I204" s="5">
        <f>Penyusutan!M204</f>
        <v/>
      </c>
      <c r="J204" s="3" t="inlineStr"/>
      <c r="K204" s="3" t="inlineStr">
        <is>
          <t>Akumulasi Penyusutan Inventaris Ruangan</t>
        </is>
      </c>
      <c r="L204" s="5">
        <f>Penyusutan!M204</f>
        <v/>
      </c>
      <c r="M204" s="3">
        <f>IF(E204="","","Penyusutan "&amp;E204&amp;" periode "&amp;C204)</f>
        <v/>
      </c>
    </row>
    <row r="205">
      <c r="A205" s="3">
        <f>IF(Penyusutan!D205="","","JRN-"&amp;TEXT(ROW()-1,"0000"))</f>
        <v/>
      </c>
      <c r="B205" s="4" t="n">
        <v>46022</v>
      </c>
      <c r="C205" s="3">
        <f>Penyusutan!B205</f>
        <v/>
      </c>
      <c r="D205" s="3">
        <f>Penyusutan!C205</f>
        <v/>
      </c>
      <c r="E205" s="3">
        <f>Penyusutan!D205</f>
        <v/>
      </c>
      <c r="F205" s="3" t="inlineStr">
        <is>
          <t>Inventaris Ruangan</t>
        </is>
      </c>
      <c r="G205" s="3" t="inlineStr"/>
      <c r="H205" s="3" t="inlineStr">
        <is>
          <t>Beban Penyusutan Inventaris Ruangan</t>
        </is>
      </c>
      <c r="I205" s="5">
        <f>Penyusutan!M205</f>
        <v/>
      </c>
      <c r="J205" s="3" t="inlineStr"/>
      <c r="K205" s="3" t="inlineStr">
        <is>
          <t>Akumulasi Penyusutan Inventaris Ruangan</t>
        </is>
      </c>
      <c r="L205" s="5">
        <f>Penyusutan!M205</f>
        <v/>
      </c>
      <c r="M205" s="3">
        <f>IF(E205="","","Penyusutan "&amp;E205&amp;" periode "&amp;C205)</f>
        <v/>
      </c>
    </row>
    <row r="206">
      <c r="A206" s="3">
        <f>IF(Penyusutan!D206="","","JRN-"&amp;TEXT(ROW()-1,"0000"))</f>
        <v/>
      </c>
      <c r="B206" s="4" t="n">
        <v>46022</v>
      </c>
      <c r="C206" s="3">
        <f>Penyusutan!B206</f>
        <v/>
      </c>
      <c r="D206" s="3">
        <f>Penyusutan!C206</f>
        <v/>
      </c>
      <c r="E206" s="3">
        <f>Penyusutan!D206</f>
        <v/>
      </c>
      <c r="F206" s="3" t="inlineStr">
        <is>
          <t>Inventaris Ruangan</t>
        </is>
      </c>
      <c r="G206" s="3" t="inlineStr"/>
      <c r="H206" s="3" t="inlineStr">
        <is>
          <t>Beban Penyusutan Inventaris Ruangan</t>
        </is>
      </c>
      <c r="I206" s="5">
        <f>Penyusutan!M206</f>
        <v/>
      </c>
      <c r="J206" s="3" t="inlineStr"/>
      <c r="K206" s="3" t="inlineStr">
        <is>
          <t>Akumulasi Penyusutan Inventaris Ruangan</t>
        </is>
      </c>
      <c r="L206" s="5">
        <f>Penyusutan!M206</f>
        <v/>
      </c>
      <c r="M206" s="3">
        <f>IF(E206="","","Penyusutan "&amp;E206&amp;" periode "&amp;C206)</f>
        <v/>
      </c>
    </row>
    <row r="207">
      <c r="A207" s="3">
        <f>IF(Penyusutan!D207="","","JRN-"&amp;TEXT(ROW()-1,"0000"))</f>
        <v/>
      </c>
      <c r="B207" s="4" t="n">
        <v>46022</v>
      </c>
      <c r="C207" s="3">
        <f>Penyusutan!B207</f>
        <v/>
      </c>
      <c r="D207" s="3">
        <f>Penyusutan!C207</f>
        <v/>
      </c>
      <c r="E207" s="3">
        <f>Penyusutan!D207</f>
        <v/>
      </c>
      <c r="F207" s="3" t="inlineStr">
        <is>
          <t>Inventaris Ruangan</t>
        </is>
      </c>
      <c r="G207" s="3" t="inlineStr"/>
      <c r="H207" s="3" t="inlineStr">
        <is>
          <t>Beban Penyusutan Inventaris Ruangan</t>
        </is>
      </c>
      <c r="I207" s="5">
        <f>Penyusutan!M207</f>
        <v/>
      </c>
      <c r="J207" s="3" t="inlineStr"/>
      <c r="K207" s="3" t="inlineStr">
        <is>
          <t>Akumulasi Penyusutan Inventaris Ruangan</t>
        </is>
      </c>
      <c r="L207" s="5">
        <f>Penyusutan!M207</f>
        <v/>
      </c>
      <c r="M207" s="3">
        <f>IF(E207="","","Penyusutan "&amp;E207&amp;" periode "&amp;C207)</f>
        <v/>
      </c>
    </row>
    <row r="208">
      <c r="A208" s="3">
        <f>IF(Penyusutan!D208="","","JRN-"&amp;TEXT(ROW()-1,"0000"))</f>
        <v/>
      </c>
      <c r="B208" s="4" t="n">
        <v>46022</v>
      </c>
      <c r="C208" s="3">
        <f>Penyusutan!B208</f>
        <v/>
      </c>
      <c r="D208" s="3">
        <f>Penyusutan!C208</f>
        <v/>
      </c>
      <c r="E208" s="3">
        <f>Penyusutan!D208</f>
        <v/>
      </c>
      <c r="F208" s="3" t="inlineStr">
        <is>
          <t>Inventaris Ruangan</t>
        </is>
      </c>
      <c r="G208" s="3" t="inlineStr"/>
      <c r="H208" s="3" t="inlineStr">
        <is>
          <t>Beban Penyusutan Inventaris Ruangan</t>
        </is>
      </c>
      <c r="I208" s="5">
        <f>Penyusutan!M208</f>
        <v/>
      </c>
      <c r="J208" s="3" t="inlineStr"/>
      <c r="K208" s="3" t="inlineStr">
        <is>
          <t>Akumulasi Penyusutan Inventaris Ruangan</t>
        </is>
      </c>
      <c r="L208" s="5">
        <f>Penyusutan!M208</f>
        <v/>
      </c>
      <c r="M208" s="3">
        <f>IF(E208="","","Penyusutan "&amp;E208&amp;" periode "&amp;C208)</f>
        <v/>
      </c>
    </row>
    <row r="209">
      <c r="A209" s="3">
        <f>IF(Penyusutan!D209="","","JRN-"&amp;TEXT(ROW()-1,"0000"))</f>
        <v/>
      </c>
      <c r="B209" s="4" t="n">
        <v>46022</v>
      </c>
      <c r="C209" s="3">
        <f>Penyusutan!B209</f>
        <v/>
      </c>
      <c r="D209" s="3">
        <f>Penyusutan!C209</f>
        <v/>
      </c>
      <c r="E209" s="3">
        <f>Penyusutan!D209</f>
        <v/>
      </c>
      <c r="F209" s="3" t="inlineStr">
        <is>
          <t>Inventaris Ruangan</t>
        </is>
      </c>
      <c r="G209" s="3" t="inlineStr"/>
      <c r="H209" s="3" t="inlineStr">
        <is>
          <t>Beban Penyusutan Inventaris Ruangan</t>
        </is>
      </c>
      <c r="I209" s="5">
        <f>Penyusutan!M209</f>
        <v/>
      </c>
      <c r="J209" s="3" t="inlineStr"/>
      <c r="K209" s="3" t="inlineStr">
        <is>
          <t>Akumulasi Penyusutan Inventaris Ruangan</t>
        </is>
      </c>
      <c r="L209" s="5">
        <f>Penyusutan!M209</f>
        <v/>
      </c>
      <c r="M209" s="3">
        <f>IF(E209="","","Penyusutan "&amp;E209&amp;" periode "&amp;C209)</f>
        <v/>
      </c>
    </row>
    <row r="210">
      <c r="A210" s="3">
        <f>IF(Penyusutan!D210="","","JRN-"&amp;TEXT(ROW()-1,"0000"))</f>
        <v/>
      </c>
      <c r="B210" s="4" t="n">
        <v>46022</v>
      </c>
      <c r="C210" s="3">
        <f>Penyusutan!B210</f>
        <v/>
      </c>
      <c r="D210" s="3">
        <f>Penyusutan!C210</f>
        <v/>
      </c>
      <c r="E210" s="3">
        <f>Penyusutan!D210</f>
        <v/>
      </c>
      <c r="F210" s="3" t="inlineStr">
        <is>
          <t>Inventaris Ruangan</t>
        </is>
      </c>
      <c r="G210" s="3" t="inlineStr"/>
      <c r="H210" s="3" t="inlineStr">
        <is>
          <t>Beban Penyusutan Inventaris Ruangan</t>
        </is>
      </c>
      <c r="I210" s="5">
        <f>Penyusutan!M210</f>
        <v/>
      </c>
      <c r="J210" s="3" t="inlineStr"/>
      <c r="K210" s="3" t="inlineStr">
        <is>
          <t>Akumulasi Penyusutan Inventaris Ruangan</t>
        </is>
      </c>
      <c r="L210" s="5">
        <f>Penyusutan!M210</f>
        <v/>
      </c>
      <c r="M210" s="3">
        <f>IF(E210="","","Penyusutan "&amp;E210&amp;" periode "&amp;C210)</f>
        <v/>
      </c>
    </row>
    <row r="211">
      <c r="A211" s="3">
        <f>IF(Penyusutan!D211="","","JRN-"&amp;TEXT(ROW()-1,"0000"))</f>
        <v/>
      </c>
      <c r="B211" s="4" t="n">
        <v>46022</v>
      </c>
      <c r="C211" s="3">
        <f>Penyusutan!B211</f>
        <v/>
      </c>
      <c r="D211" s="3">
        <f>Penyusutan!C211</f>
        <v/>
      </c>
      <c r="E211" s="3">
        <f>Penyusutan!D211</f>
        <v/>
      </c>
      <c r="F211" s="3" t="inlineStr">
        <is>
          <t>Inventaris Ruangan</t>
        </is>
      </c>
      <c r="G211" s="3" t="inlineStr"/>
      <c r="H211" s="3" t="inlineStr">
        <is>
          <t>Beban Penyusutan Inventaris Ruangan</t>
        </is>
      </c>
      <c r="I211" s="5">
        <f>Penyusutan!M211</f>
        <v/>
      </c>
      <c r="J211" s="3" t="inlineStr"/>
      <c r="K211" s="3" t="inlineStr">
        <is>
          <t>Akumulasi Penyusutan Inventaris Ruangan</t>
        </is>
      </c>
      <c r="L211" s="5">
        <f>Penyusutan!M211</f>
        <v/>
      </c>
      <c r="M211" s="3">
        <f>IF(E211="","","Penyusutan "&amp;E211&amp;" periode "&amp;C211)</f>
        <v/>
      </c>
    </row>
    <row r="212">
      <c r="A212" s="3">
        <f>IF(Penyusutan!D212="","","JRN-"&amp;TEXT(ROW()-1,"0000"))</f>
        <v/>
      </c>
      <c r="B212" s="4" t="n">
        <v>46022</v>
      </c>
      <c r="C212" s="3">
        <f>Penyusutan!B212</f>
        <v/>
      </c>
      <c r="D212" s="3">
        <f>Penyusutan!C212</f>
        <v/>
      </c>
      <c r="E212" s="3">
        <f>Penyusutan!D212</f>
        <v/>
      </c>
      <c r="F212" s="3" t="inlineStr">
        <is>
          <t>Inventaris Ruangan</t>
        </is>
      </c>
      <c r="G212" s="3" t="inlineStr"/>
      <c r="H212" s="3" t="inlineStr">
        <is>
          <t>Beban Penyusutan Inventaris Ruangan</t>
        </is>
      </c>
      <c r="I212" s="5">
        <f>Penyusutan!M212</f>
        <v/>
      </c>
      <c r="J212" s="3" t="inlineStr"/>
      <c r="K212" s="3" t="inlineStr">
        <is>
          <t>Akumulasi Penyusutan Inventaris Ruangan</t>
        </is>
      </c>
      <c r="L212" s="5">
        <f>Penyusutan!M212</f>
        <v/>
      </c>
      <c r="M212" s="3">
        <f>IF(E212="","","Penyusutan "&amp;E212&amp;" periode "&amp;C212)</f>
        <v/>
      </c>
    </row>
    <row r="213">
      <c r="A213" s="3">
        <f>IF(Penyusutan!D213="","","JRN-"&amp;TEXT(ROW()-1,"0000"))</f>
        <v/>
      </c>
      <c r="B213" s="4" t="n">
        <v>46022</v>
      </c>
      <c r="C213" s="3">
        <f>Penyusutan!B213</f>
        <v/>
      </c>
      <c r="D213" s="3">
        <f>Penyusutan!C213</f>
        <v/>
      </c>
      <c r="E213" s="3">
        <f>Penyusutan!D213</f>
        <v/>
      </c>
      <c r="F213" s="3" t="inlineStr">
        <is>
          <t>Inventaris Ruangan</t>
        </is>
      </c>
      <c r="G213" s="3" t="inlineStr"/>
      <c r="H213" s="3" t="inlineStr">
        <is>
          <t>Beban Penyusutan Inventaris Ruangan</t>
        </is>
      </c>
      <c r="I213" s="5">
        <f>Penyusutan!M213</f>
        <v/>
      </c>
      <c r="J213" s="3" t="inlineStr"/>
      <c r="K213" s="3" t="inlineStr">
        <is>
          <t>Akumulasi Penyusutan Inventaris Ruangan</t>
        </is>
      </c>
      <c r="L213" s="5">
        <f>Penyusutan!M213</f>
        <v/>
      </c>
      <c r="M213" s="3">
        <f>IF(E213="","","Penyusutan "&amp;E213&amp;" periode "&amp;C213)</f>
        <v/>
      </c>
    </row>
    <row r="214">
      <c r="A214" s="3">
        <f>IF(Penyusutan!D214="","","JRN-"&amp;TEXT(ROW()-1,"0000"))</f>
        <v/>
      </c>
      <c r="B214" s="4" t="n">
        <v>46022</v>
      </c>
      <c r="C214" s="3">
        <f>Penyusutan!B214</f>
        <v/>
      </c>
      <c r="D214" s="3">
        <f>Penyusutan!C214</f>
        <v/>
      </c>
      <c r="E214" s="3">
        <f>Penyusutan!D214</f>
        <v/>
      </c>
      <c r="F214" s="3" t="inlineStr">
        <is>
          <t>Inventaris Ruangan</t>
        </is>
      </c>
      <c r="G214" s="3" t="inlineStr"/>
      <c r="H214" s="3" t="inlineStr">
        <is>
          <t>Beban Penyusutan Inventaris Ruangan</t>
        </is>
      </c>
      <c r="I214" s="5">
        <f>Penyusutan!M214</f>
        <v/>
      </c>
      <c r="J214" s="3" t="inlineStr"/>
      <c r="K214" s="3" t="inlineStr">
        <is>
          <t>Akumulasi Penyusutan Inventaris Ruangan</t>
        </is>
      </c>
      <c r="L214" s="5">
        <f>Penyusutan!M214</f>
        <v/>
      </c>
      <c r="M214" s="3">
        <f>IF(E214="","","Penyusutan "&amp;E214&amp;" periode "&amp;C214)</f>
        <v/>
      </c>
    </row>
    <row r="215">
      <c r="A215" s="3">
        <f>IF(Penyusutan!D215="","","JRN-"&amp;TEXT(ROW()-1,"0000"))</f>
        <v/>
      </c>
      <c r="B215" s="4" t="n">
        <v>46022</v>
      </c>
      <c r="C215" s="3">
        <f>Penyusutan!B215</f>
        <v/>
      </c>
      <c r="D215" s="3">
        <f>Penyusutan!C215</f>
        <v/>
      </c>
      <c r="E215" s="3">
        <f>Penyusutan!D215</f>
        <v/>
      </c>
      <c r="F215" s="3" t="inlineStr">
        <is>
          <t>Inventaris Ruangan</t>
        </is>
      </c>
      <c r="G215" s="3" t="inlineStr"/>
      <c r="H215" s="3" t="inlineStr">
        <is>
          <t>Beban Penyusutan Inventaris Ruangan</t>
        </is>
      </c>
      <c r="I215" s="5">
        <f>Penyusutan!M215</f>
        <v/>
      </c>
      <c r="J215" s="3" t="inlineStr"/>
      <c r="K215" s="3" t="inlineStr">
        <is>
          <t>Akumulasi Penyusutan Inventaris Ruangan</t>
        </is>
      </c>
      <c r="L215" s="5">
        <f>Penyusutan!M215</f>
        <v/>
      </c>
      <c r="M215" s="3">
        <f>IF(E215="","","Penyusutan "&amp;E215&amp;" periode "&amp;C215)</f>
        <v/>
      </c>
    </row>
    <row r="216">
      <c r="A216" s="3">
        <f>IF(Penyusutan!D216="","","JRN-"&amp;TEXT(ROW()-1,"0000"))</f>
        <v/>
      </c>
      <c r="B216" s="4" t="n">
        <v>46022</v>
      </c>
      <c r="C216" s="3">
        <f>Penyusutan!B216</f>
        <v/>
      </c>
      <c r="D216" s="3">
        <f>Penyusutan!C216</f>
        <v/>
      </c>
      <c r="E216" s="3">
        <f>Penyusutan!D216</f>
        <v/>
      </c>
      <c r="F216" s="3" t="inlineStr">
        <is>
          <t>Inventaris Ruangan</t>
        </is>
      </c>
      <c r="G216" s="3" t="inlineStr"/>
      <c r="H216" s="3" t="inlineStr">
        <is>
          <t>Beban Penyusutan Inventaris Ruangan</t>
        </is>
      </c>
      <c r="I216" s="5">
        <f>Penyusutan!M216</f>
        <v/>
      </c>
      <c r="J216" s="3" t="inlineStr"/>
      <c r="K216" s="3" t="inlineStr">
        <is>
          <t>Akumulasi Penyusutan Inventaris Ruangan</t>
        </is>
      </c>
      <c r="L216" s="5">
        <f>Penyusutan!M216</f>
        <v/>
      </c>
      <c r="M216" s="3">
        <f>IF(E216="","","Penyusutan "&amp;E216&amp;" periode "&amp;C216)</f>
        <v/>
      </c>
    </row>
    <row r="217">
      <c r="A217" s="3">
        <f>IF(Penyusutan!D217="","","JRN-"&amp;TEXT(ROW()-1,"0000"))</f>
        <v/>
      </c>
      <c r="B217" s="4" t="n">
        <v>46022</v>
      </c>
      <c r="C217" s="3">
        <f>Penyusutan!B217</f>
        <v/>
      </c>
      <c r="D217" s="3">
        <f>Penyusutan!C217</f>
        <v/>
      </c>
      <c r="E217" s="3">
        <f>Penyusutan!D217</f>
        <v/>
      </c>
      <c r="F217" s="3" t="inlineStr">
        <is>
          <t>Inventaris Ruangan</t>
        </is>
      </c>
      <c r="G217" s="3" t="inlineStr"/>
      <c r="H217" s="3" t="inlineStr">
        <is>
          <t>Beban Penyusutan Inventaris Ruangan</t>
        </is>
      </c>
      <c r="I217" s="5">
        <f>Penyusutan!M217</f>
        <v/>
      </c>
      <c r="J217" s="3" t="inlineStr"/>
      <c r="K217" s="3" t="inlineStr">
        <is>
          <t>Akumulasi Penyusutan Inventaris Ruangan</t>
        </is>
      </c>
      <c r="L217" s="5">
        <f>Penyusutan!M217</f>
        <v/>
      </c>
      <c r="M217" s="3">
        <f>IF(E217="","","Penyusutan "&amp;E217&amp;" periode "&amp;C217)</f>
        <v/>
      </c>
    </row>
    <row r="218">
      <c r="A218" s="3">
        <f>IF(Penyusutan!D218="","","JRN-"&amp;TEXT(ROW()-1,"0000"))</f>
        <v/>
      </c>
      <c r="B218" s="4" t="n">
        <v>46022</v>
      </c>
      <c r="C218" s="3">
        <f>Penyusutan!B218</f>
        <v/>
      </c>
      <c r="D218" s="3">
        <f>Penyusutan!C218</f>
        <v/>
      </c>
      <c r="E218" s="3">
        <f>Penyusutan!D218</f>
        <v/>
      </c>
      <c r="F218" s="3" t="inlineStr">
        <is>
          <t>Inventaris Ruangan</t>
        </is>
      </c>
      <c r="G218" s="3" t="inlineStr"/>
      <c r="H218" s="3" t="inlineStr">
        <is>
          <t>Beban Penyusutan Inventaris Ruangan</t>
        </is>
      </c>
      <c r="I218" s="5">
        <f>Penyusutan!M218</f>
        <v/>
      </c>
      <c r="J218" s="3" t="inlineStr"/>
      <c r="K218" s="3" t="inlineStr">
        <is>
          <t>Akumulasi Penyusutan Inventaris Ruangan</t>
        </is>
      </c>
      <c r="L218" s="5">
        <f>Penyusutan!M218</f>
        <v/>
      </c>
      <c r="M218" s="3">
        <f>IF(E218="","","Penyusutan "&amp;E218&amp;" periode "&amp;C218)</f>
        <v/>
      </c>
    </row>
    <row r="219">
      <c r="A219" s="3">
        <f>IF(Penyusutan!D219="","","JRN-"&amp;TEXT(ROW()-1,"0000"))</f>
        <v/>
      </c>
      <c r="B219" s="4" t="n">
        <v>46022</v>
      </c>
      <c r="C219" s="3">
        <f>Penyusutan!B219</f>
        <v/>
      </c>
      <c r="D219" s="3">
        <f>Penyusutan!C219</f>
        <v/>
      </c>
      <c r="E219" s="3">
        <f>Penyusutan!D219</f>
        <v/>
      </c>
      <c r="F219" s="3" t="inlineStr">
        <is>
          <t>Inventaris Ruangan</t>
        </is>
      </c>
      <c r="G219" s="3" t="inlineStr"/>
      <c r="H219" s="3" t="inlineStr">
        <is>
          <t>Beban Penyusutan Inventaris Ruangan</t>
        </is>
      </c>
      <c r="I219" s="5">
        <f>Penyusutan!M219</f>
        <v/>
      </c>
      <c r="J219" s="3" t="inlineStr"/>
      <c r="K219" s="3" t="inlineStr">
        <is>
          <t>Akumulasi Penyusutan Inventaris Ruangan</t>
        </is>
      </c>
      <c r="L219" s="5">
        <f>Penyusutan!M219</f>
        <v/>
      </c>
      <c r="M219" s="3">
        <f>IF(E219="","","Penyusutan "&amp;E219&amp;" periode "&amp;C219)</f>
        <v/>
      </c>
    </row>
    <row r="220">
      <c r="A220" s="3">
        <f>IF(Penyusutan!D220="","","JRN-"&amp;TEXT(ROW()-1,"0000"))</f>
        <v/>
      </c>
      <c r="B220" s="4" t="n">
        <v>46022</v>
      </c>
      <c r="C220" s="3">
        <f>Penyusutan!B220</f>
        <v/>
      </c>
      <c r="D220" s="3">
        <f>Penyusutan!C220</f>
        <v/>
      </c>
      <c r="E220" s="3">
        <f>Penyusutan!D220</f>
        <v/>
      </c>
      <c r="F220" s="3" t="inlineStr">
        <is>
          <t>Inventaris Ruangan</t>
        </is>
      </c>
      <c r="G220" s="3" t="inlineStr"/>
      <c r="H220" s="3" t="inlineStr">
        <is>
          <t>Beban Penyusutan Inventaris Ruangan</t>
        </is>
      </c>
      <c r="I220" s="5">
        <f>Penyusutan!M220</f>
        <v/>
      </c>
      <c r="J220" s="3" t="inlineStr"/>
      <c r="K220" s="3" t="inlineStr">
        <is>
          <t>Akumulasi Penyusutan Inventaris Ruangan</t>
        </is>
      </c>
      <c r="L220" s="5">
        <f>Penyusutan!M220</f>
        <v/>
      </c>
      <c r="M220" s="3">
        <f>IF(E220="","","Penyusutan "&amp;E220&amp;" periode "&amp;C220)</f>
        <v/>
      </c>
    </row>
    <row r="221">
      <c r="A221" s="3">
        <f>IF(Penyusutan!D221="","","JRN-"&amp;TEXT(ROW()-1,"0000"))</f>
        <v/>
      </c>
      <c r="B221" s="4" t="n">
        <v>46022</v>
      </c>
      <c r="C221" s="3">
        <f>Penyusutan!B221</f>
        <v/>
      </c>
      <c r="D221" s="3">
        <f>Penyusutan!C221</f>
        <v/>
      </c>
      <c r="E221" s="3">
        <f>Penyusutan!D221</f>
        <v/>
      </c>
      <c r="F221" s="3" t="inlineStr">
        <is>
          <t>Inventaris Ruangan</t>
        </is>
      </c>
      <c r="G221" s="3" t="inlineStr"/>
      <c r="H221" s="3" t="inlineStr">
        <is>
          <t>Beban Penyusutan Inventaris Ruangan</t>
        </is>
      </c>
      <c r="I221" s="5">
        <f>Penyusutan!M221</f>
        <v/>
      </c>
      <c r="J221" s="3" t="inlineStr"/>
      <c r="K221" s="3" t="inlineStr">
        <is>
          <t>Akumulasi Penyusutan Inventaris Ruangan</t>
        </is>
      </c>
      <c r="L221" s="5">
        <f>Penyusutan!M221</f>
        <v/>
      </c>
      <c r="M221" s="3">
        <f>IF(E221="","","Penyusutan "&amp;E221&amp;" periode "&amp;C221)</f>
        <v/>
      </c>
    </row>
    <row r="222">
      <c r="A222" s="3">
        <f>IF(Penyusutan!D222="","","JRN-"&amp;TEXT(ROW()-1,"0000"))</f>
        <v/>
      </c>
      <c r="B222" s="4" t="n">
        <v>46022</v>
      </c>
      <c r="C222" s="3">
        <f>Penyusutan!B222</f>
        <v/>
      </c>
      <c r="D222" s="3">
        <f>Penyusutan!C222</f>
        <v/>
      </c>
      <c r="E222" s="3">
        <f>Penyusutan!D222</f>
        <v/>
      </c>
      <c r="F222" s="3" t="inlineStr">
        <is>
          <t>Inventaris Ruangan</t>
        </is>
      </c>
      <c r="G222" s="3" t="inlineStr"/>
      <c r="H222" s="3" t="inlineStr">
        <is>
          <t>Beban Penyusutan Inventaris Ruangan</t>
        </is>
      </c>
      <c r="I222" s="5">
        <f>Penyusutan!M222</f>
        <v/>
      </c>
      <c r="J222" s="3" t="inlineStr"/>
      <c r="K222" s="3" t="inlineStr">
        <is>
          <t>Akumulasi Penyusutan Inventaris Ruangan</t>
        </is>
      </c>
      <c r="L222" s="5">
        <f>Penyusutan!M222</f>
        <v/>
      </c>
      <c r="M222" s="3">
        <f>IF(E222="","","Penyusutan "&amp;E222&amp;" periode "&amp;C222)</f>
        <v/>
      </c>
    </row>
    <row r="223">
      <c r="A223" s="3">
        <f>IF(Penyusutan!D223="","","JRN-"&amp;TEXT(ROW()-1,"0000"))</f>
        <v/>
      </c>
      <c r="B223" s="4" t="n">
        <v>46022</v>
      </c>
      <c r="C223" s="3">
        <f>Penyusutan!B223</f>
        <v/>
      </c>
      <c r="D223" s="3">
        <f>Penyusutan!C223</f>
        <v/>
      </c>
      <c r="E223" s="3">
        <f>Penyusutan!D223</f>
        <v/>
      </c>
      <c r="F223" s="3" t="inlineStr">
        <is>
          <t>Inventaris Ruangan</t>
        </is>
      </c>
      <c r="G223" s="3" t="inlineStr"/>
      <c r="H223" s="3" t="inlineStr">
        <is>
          <t>Beban Penyusutan Inventaris Ruangan</t>
        </is>
      </c>
      <c r="I223" s="5">
        <f>Penyusutan!M223</f>
        <v/>
      </c>
      <c r="J223" s="3" t="inlineStr"/>
      <c r="K223" s="3" t="inlineStr">
        <is>
          <t>Akumulasi Penyusutan Inventaris Ruangan</t>
        </is>
      </c>
      <c r="L223" s="5">
        <f>Penyusutan!M223</f>
        <v/>
      </c>
      <c r="M223" s="3">
        <f>IF(E223="","","Penyusutan "&amp;E223&amp;" periode "&amp;C223)</f>
        <v/>
      </c>
    </row>
    <row r="224">
      <c r="A224" s="3">
        <f>IF(Penyusutan!D224="","","JRN-"&amp;TEXT(ROW()-1,"0000"))</f>
        <v/>
      </c>
      <c r="B224" s="4" t="n">
        <v>46022</v>
      </c>
      <c r="C224" s="3">
        <f>Penyusutan!B224</f>
        <v/>
      </c>
      <c r="D224" s="3">
        <f>Penyusutan!C224</f>
        <v/>
      </c>
      <c r="E224" s="3">
        <f>Penyusutan!D224</f>
        <v/>
      </c>
      <c r="F224" s="3" t="inlineStr">
        <is>
          <t>Inventaris Ruangan</t>
        </is>
      </c>
      <c r="G224" s="3" t="inlineStr"/>
      <c r="H224" s="3" t="inlineStr">
        <is>
          <t>Beban Penyusutan Inventaris Ruangan</t>
        </is>
      </c>
      <c r="I224" s="5">
        <f>Penyusutan!M224</f>
        <v/>
      </c>
      <c r="J224" s="3" t="inlineStr"/>
      <c r="K224" s="3" t="inlineStr">
        <is>
          <t>Akumulasi Penyusutan Inventaris Ruangan</t>
        </is>
      </c>
      <c r="L224" s="5">
        <f>Penyusutan!M224</f>
        <v/>
      </c>
      <c r="M224" s="3">
        <f>IF(E224="","","Penyusutan "&amp;E224&amp;" periode "&amp;C224)</f>
        <v/>
      </c>
    </row>
    <row r="225">
      <c r="A225" s="3">
        <f>IF(Penyusutan!D225="","","JRN-"&amp;TEXT(ROW()-1,"0000"))</f>
        <v/>
      </c>
      <c r="B225" s="4" t="n">
        <v>46022</v>
      </c>
      <c r="C225" s="3">
        <f>Penyusutan!B225</f>
        <v/>
      </c>
      <c r="D225" s="3">
        <f>Penyusutan!C225</f>
        <v/>
      </c>
      <c r="E225" s="3">
        <f>Penyusutan!D225</f>
        <v/>
      </c>
      <c r="F225" s="3" t="inlineStr">
        <is>
          <t>Inventaris Ruangan</t>
        </is>
      </c>
      <c r="G225" s="3" t="inlineStr"/>
      <c r="H225" s="3" t="inlineStr">
        <is>
          <t>Beban Penyusutan Inventaris Ruangan</t>
        </is>
      </c>
      <c r="I225" s="5">
        <f>Penyusutan!M225</f>
        <v/>
      </c>
      <c r="J225" s="3" t="inlineStr"/>
      <c r="K225" s="3" t="inlineStr">
        <is>
          <t>Akumulasi Penyusutan Inventaris Ruangan</t>
        </is>
      </c>
      <c r="L225" s="5">
        <f>Penyusutan!M225</f>
        <v/>
      </c>
      <c r="M225" s="3">
        <f>IF(E225="","","Penyusutan "&amp;E225&amp;" periode "&amp;C225)</f>
        <v/>
      </c>
    </row>
    <row r="226">
      <c r="A226" s="3">
        <f>IF(Penyusutan!D226="","","JRN-"&amp;TEXT(ROW()-1,"0000"))</f>
        <v/>
      </c>
      <c r="B226" s="4" t="n">
        <v>46022</v>
      </c>
      <c r="C226" s="3">
        <f>Penyusutan!B226</f>
        <v/>
      </c>
      <c r="D226" s="3">
        <f>Penyusutan!C226</f>
        <v/>
      </c>
      <c r="E226" s="3">
        <f>Penyusutan!D226</f>
        <v/>
      </c>
      <c r="F226" s="3" t="inlineStr">
        <is>
          <t>Inventaris Ruangan</t>
        </is>
      </c>
      <c r="G226" s="3" t="inlineStr"/>
      <c r="H226" s="3" t="inlineStr">
        <is>
          <t>Beban Penyusutan Inventaris Ruangan</t>
        </is>
      </c>
      <c r="I226" s="5">
        <f>Penyusutan!M226</f>
        <v/>
      </c>
      <c r="J226" s="3" t="inlineStr"/>
      <c r="K226" s="3" t="inlineStr">
        <is>
          <t>Akumulasi Penyusutan Inventaris Ruangan</t>
        </is>
      </c>
      <c r="L226" s="5">
        <f>Penyusutan!M226</f>
        <v/>
      </c>
      <c r="M226" s="3">
        <f>IF(E226="","","Penyusutan "&amp;E226&amp;" periode "&amp;C226)</f>
        <v/>
      </c>
    </row>
    <row r="227">
      <c r="A227" s="3">
        <f>IF(Penyusutan!D227="","","JRN-"&amp;TEXT(ROW()-1,"0000"))</f>
        <v/>
      </c>
      <c r="B227" s="4" t="n">
        <v>46022</v>
      </c>
      <c r="C227" s="3">
        <f>Penyusutan!B227</f>
        <v/>
      </c>
      <c r="D227" s="3">
        <f>Penyusutan!C227</f>
        <v/>
      </c>
      <c r="E227" s="3">
        <f>Penyusutan!D227</f>
        <v/>
      </c>
      <c r="F227" s="3" t="inlineStr">
        <is>
          <t>Inventaris Ruangan</t>
        </is>
      </c>
      <c r="G227" s="3" t="inlineStr"/>
      <c r="H227" s="3" t="inlineStr">
        <is>
          <t>Beban Penyusutan Inventaris Ruangan</t>
        </is>
      </c>
      <c r="I227" s="5">
        <f>Penyusutan!M227</f>
        <v/>
      </c>
      <c r="J227" s="3" t="inlineStr"/>
      <c r="K227" s="3" t="inlineStr">
        <is>
          <t>Akumulasi Penyusutan Inventaris Ruangan</t>
        </is>
      </c>
      <c r="L227" s="5">
        <f>Penyusutan!M227</f>
        <v/>
      </c>
      <c r="M227" s="3">
        <f>IF(E227="","","Penyusutan "&amp;E227&amp;" periode "&amp;C227)</f>
        <v/>
      </c>
    </row>
    <row r="228">
      <c r="A228" s="3">
        <f>IF(Penyusutan!D228="","","JRN-"&amp;TEXT(ROW()-1,"0000"))</f>
        <v/>
      </c>
      <c r="B228" s="4" t="n">
        <v>46022</v>
      </c>
      <c r="C228" s="3">
        <f>Penyusutan!B228</f>
        <v/>
      </c>
      <c r="D228" s="3">
        <f>Penyusutan!C228</f>
        <v/>
      </c>
      <c r="E228" s="3">
        <f>Penyusutan!D228</f>
        <v/>
      </c>
      <c r="F228" s="3" t="inlineStr">
        <is>
          <t>Inventaris Ruangan</t>
        </is>
      </c>
      <c r="G228" s="3" t="inlineStr"/>
      <c r="H228" s="3" t="inlineStr">
        <is>
          <t>Beban Penyusutan Inventaris Ruangan</t>
        </is>
      </c>
      <c r="I228" s="5">
        <f>Penyusutan!M228</f>
        <v/>
      </c>
      <c r="J228" s="3" t="inlineStr"/>
      <c r="K228" s="3" t="inlineStr">
        <is>
          <t>Akumulasi Penyusutan Inventaris Ruangan</t>
        </is>
      </c>
      <c r="L228" s="5">
        <f>Penyusutan!M228</f>
        <v/>
      </c>
      <c r="M228" s="3">
        <f>IF(E228="","","Penyusutan "&amp;E228&amp;" periode "&amp;C228)</f>
        <v/>
      </c>
    </row>
    <row r="229">
      <c r="A229" s="3">
        <f>IF(Penyusutan!D229="","","JRN-"&amp;TEXT(ROW()-1,"0000"))</f>
        <v/>
      </c>
      <c r="B229" s="4" t="n">
        <v>46022</v>
      </c>
      <c r="C229" s="3">
        <f>Penyusutan!B229</f>
        <v/>
      </c>
      <c r="D229" s="3">
        <f>Penyusutan!C229</f>
        <v/>
      </c>
      <c r="E229" s="3">
        <f>Penyusutan!D229</f>
        <v/>
      </c>
      <c r="F229" s="3" t="inlineStr">
        <is>
          <t>Inventaris Ruangan</t>
        </is>
      </c>
      <c r="G229" s="3" t="inlineStr"/>
      <c r="H229" s="3" t="inlineStr">
        <is>
          <t>Beban Penyusutan Inventaris Ruangan</t>
        </is>
      </c>
      <c r="I229" s="5">
        <f>Penyusutan!M229</f>
        <v/>
      </c>
      <c r="J229" s="3" t="inlineStr"/>
      <c r="K229" s="3" t="inlineStr">
        <is>
          <t>Akumulasi Penyusutan Inventaris Ruangan</t>
        </is>
      </c>
      <c r="L229" s="5">
        <f>Penyusutan!M229</f>
        <v/>
      </c>
      <c r="M229" s="3">
        <f>IF(E229="","","Penyusutan "&amp;E229&amp;" periode "&amp;C229)</f>
        <v/>
      </c>
    </row>
    <row r="230">
      <c r="A230" s="3">
        <f>IF(Penyusutan!D230="","","JRN-"&amp;TEXT(ROW()-1,"0000"))</f>
        <v/>
      </c>
      <c r="B230" s="4" t="n">
        <v>46022</v>
      </c>
      <c r="C230" s="3">
        <f>Penyusutan!B230</f>
        <v/>
      </c>
      <c r="D230" s="3">
        <f>Penyusutan!C230</f>
        <v/>
      </c>
      <c r="E230" s="3">
        <f>Penyusutan!D230</f>
        <v/>
      </c>
      <c r="F230" s="3" t="inlineStr">
        <is>
          <t>Inventaris Ruangan</t>
        </is>
      </c>
      <c r="G230" s="3" t="inlineStr"/>
      <c r="H230" s="3" t="inlineStr">
        <is>
          <t>Beban Penyusutan Inventaris Ruangan</t>
        </is>
      </c>
      <c r="I230" s="5">
        <f>Penyusutan!M230</f>
        <v/>
      </c>
      <c r="J230" s="3" t="inlineStr"/>
      <c r="K230" s="3" t="inlineStr">
        <is>
          <t>Akumulasi Penyusutan Inventaris Ruangan</t>
        </is>
      </c>
      <c r="L230" s="5">
        <f>Penyusutan!M230</f>
        <v/>
      </c>
      <c r="M230" s="3">
        <f>IF(E230="","","Penyusutan "&amp;E230&amp;" periode "&amp;C230)</f>
        <v/>
      </c>
    </row>
    <row r="231">
      <c r="A231" s="3">
        <f>IF(Penyusutan!D231="","","JRN-"&amp;TEXT(ROW()-1,"0000"))</f>
        <v/>
      </c>
      <c r="B231" s="4" t="n">
        <v>46022</v>
      </c>
      <c r="C231" s="3">
        <f>Penyusutan!B231</f>
        <v/>
      </c>
      <c r="D231" s="3">
        <f>Penyusutan!C231</f>
        <v/>
      </c>
      <c r="E231" s="3">
        <f>Penyusutan!D231</f>
        <v/>
      </c>
      <c r="F231" s="3" t="inlineStr">
        <is>
          <t>Inventaris Ruangan</t>
        </is>
      </c>
      <c r="G231" s="3" t="inlineStr"/>
      <c r="H231" s="3" t="inlineStr">
        <is>
          <t>Beban Penyusutan Inventaris Ruangan</t>
        </is>
      </c>
      <c r="I231" s="5">
        <f>Penyusutan!M231</f>
        <v/>
      </c>
      <c r="J231" s="3" t="inlineStr"/>
      <c r="K231" s="3" t="inlineStr">
        <is>
          <t>Akumulasi Penyusutan Inventaris Ruangan</t>
        </is>
      </c>
      <c r="L231" s="5">
        <f>Penyusutan!M231</f>
        <v/>
      </c>
      <c r="M231" s="3">
        <f>IF(E231="","","Penyusutan "&amp;E231&amp;" periode "&amp;C231)</f>
        <v/>
      </c>
    </row>
    <row r="232">
      <c r="A232" s="3">
        <f>IF(Penyusutan!D232="","","JRN-"&amp;TEXT(ROW()-1,"0000"))</f>
        <v/>
      </c>
      <c r="B232" s="4" t="n">
        <v>46022</v>
      </c>
      <c r="C232" s="3">
        <f>Penyusutan!B232</f>
        <v/>
      </c>
      <c r="D232" s="3">
        <f>Penyusutan!C232</f>
        <v/>
      </c>
      <c r="E232" s="3">
        <f>Penyusutan!D232</f>
        <v/>
      </c>
      <c r="F232" s="3" t="inlineStr">
        <is>
          <t>Inventaris Ruangan</t>
        </is>
      </c>
      <c r="G232" s="3" t="inlineStr"/>
      <c r="H232" s="3" t="inlineStr">
        <is>
          <t>Beban Penyusutan Inventaris Ruangan</t>
        </is>
      </c>
      <c r="I232" s="5">
        <f>Penyusutan!M232</f>
        <v/>
      </c>
      <c r="J232" s="3" t="inlineStr"/>
      <c r="K232" s="3" t="inlineStr">
        <is>
          <t>Akumulasi Penyusutan Inventaris Ruangan</t>
        </is>
      </c>
      <c r="L232" s="5">
        <f>Penyusutan!M232</f>
        <v/>
      </c>
      <c r="M232" s="3">
        <f>IF(E232="","","Penyusutan "&amp;E232&amp;" periode "&amp;C232)</f>
        <v/>
      </c>
    </row>
    <row r="233">
      <c r="A233" s="3">
        <f>IF(Penyusutan!D233="","","JRN-"&amp;TEXT(ROW()-1,"0000"))</f>
        <v/>
      </c>
      <c r="B233" s="4" t="n">
        <v>46022</v>
      </c>
      <c r="C233" s="3">
        <f>Penyusutan!B233</f>
        <v/>
      </c>
      <c r="D233" s="3">
        <f>Penyusutan!C233</f>
        <v/>
      </c>
      <c r="E233" s="3">
        <f>Penyusutan!D233</f>
        <v/>
      </c>
      <c r="F233" s="3" t="inlineStr">
        <is>
          <t>Inventaris Ruangan</t>
        </is>
      </c>
      <c r="G233" s="3" t="inlineStr"/>
      <c r="H233" s="3" t="inlineStr">
        <is>
          <t>Beban Penyusutan Inventaris Ruangan</t>
        </is>
      </c>
      <c r="I233" s="5">
        <f>Penyusutan!M233</f>
        <v/>
      </c>
      <c r="J233" s="3" t="inlineStr"/>
      <c r="K233" s="3" t="inlineStr">
        <is>
          <t>Akumulasi Penyusutan Inventaris Ruangan</t>
        </is>
      </c>
      <c r="L233" s="5">
        <f>Penyusutan!M233</f>
        <v/>
      </c>
      <c r="M233" s="3">
        <f>IF(E233="","","Penyusutan "&amp;E233&amp;" periode "&amp;C233)</f>
        <v/>
      </c>
    </row>
    <row r="234">
      <c r="A234" s="3">
        <f>IF(Penyusutan!D234="","","JRN-"&amp;TEXT(ROW()-1,"0000"))</f>
        <v/>
      </c>
      <c r="B234" s="4" t="n">
        <v>46022</v>
      </c>
      <c r="C234" s="3">
        <f>Penyusutan!B234</f>
        <v/>
      </c>
      <c r="D234" s="3">
        <f>Penyusutan!C234</f>
        <v/>
      </c>
      <c r="E234" s="3">
        <f>Penyusutan!D234</f>
        <v/>
      </c>
      <c r="F234" s="3" t="inlineStr">
        <is>
          <t>Inventaris Ruangan</t>
        </is>
      </c>
      <c r="G234" s="3" t="inlineStr"/>
      <c r="H234" s="3" t="inlineStr">
        <is>
          <t>Beban Penyusutan Inventaris Ruangan</t>
        </is>
      </c>
      <c r="I234" s="5">
        <f>Penyusutan!M234</f>
        <v/>
      </c>
      <c r="J234" s="3" t="inlineStr"/>
      <c r="K234" s="3" t="inlineStr">
        <is>
          <t>Akumulasi Penyusutan Inventaris Ruangan</t>
        </is>
      </c>
      <c r="L234" s="5">
        <f>Penyusutan!M234</f>
        <v/>
      </c>
      <c r="M234" s="3">
        <f>IF(E234="","","Penyusutan "&amp;E234&amp;" periode "&amp;C234)</f>
        <v/>
      </c>
    </row>
    <row r="235">
      <c r="A235" s="3">
        <f>IF(Penyusutan!D235="","","JRN-"&amp;TEXT(ROW()-1,"0000"))</f>
        <v/>
      </c>
      <c r="B235" s="4" t="n">
        <v>46022</v>
      </c>
      <c r="C235" s="3">
        <f>Penyusutan!B235</f>
        <v/>
      </c>
      <c r="D235" s="3">
        <f>Penyusutan!C235</f>
        <v/>
      </c>
      <c r="E235" s="3">
        <f>Penyusutan!D235</f>
        <v/>
      </c>
      <c r="F235" s="3" t="inlineStr">
        <is>
          <t>Inventaris Ruangan</t>
        </is>
      </c>
      <c r="G235" s="3" t="inlineStr"/>
      <c r="H235" s="3" t="inlineStr">
        <is>
          <t>Beban Penyusutan Inventaris Ruangan</t>
        </is>
      </c>
      <c r="I235" s="5">
        <f>Penyusutan!M235</f>
        <v/>
      </c>
      <c r="J235" s="3" t="inlineStr"/>
      <c r="K235" s="3" t="inlineStr">
        <is>
          <t>Akumulasi Penyusutan Inventaris Ruangan</t>
        </is>
      </c>
      <c r="L235" s="5">
        <f>Penyusutan!M235</f>
        <v/>
      </c>
      <c r="M235" s="3">
        <f>IF(E235="","","Penyusutan "&amp;E235&amp;" periode "&amp;C235)</f>
        <v/>
      </c>
    </row>
    <row r="236">
      <c r="A236" s="3">
        <f>IF(Penyusutan!D236="","","JRN-"&amp;TEXT(ROW()-1,"0000"))</f>
        <v/>
      </c>
      <c r="B236" s="4" t="n">
        <v>46022</v>
      </c>
      <c r="C236" s="3">
        <f>Penyusutan!B236</f>
        <v/>
      </c>
      <c r="D236" s="3">
        <f>Penyusutan!C236</f>
        <v/>
      </c>
      <c r="E236" s="3">
        <f>Penyusutan!D236</f>
        <v/>
      </c>
      <c r="F236" s="3" t="inlineStr">
        <is>
          <t>Inventaris Ruangan</t>
        </is>
      </c>
      <c r="G236" s="3" t="inlineStr"/>
      <c r="H236" s="3" t="inlineStr">
        <is>
          <t>Beban Penyusutan Inventaris Ruangan</t>
        </is>
      </c>
      <c r="I236" s="5">
        <f>Penyusutan!M236</f>
        <v/>
      </c>
      <c r="J236" s="3" t="inlineStr"/>
      <c r="K236" s="3" t="inlineStr">
        <is>
          <t>Akumulasi Penyusutan Inventaris Ruangan</t>
        </is>
      </c>
      <c r="L236" s="5">
        <f>Penyusutan!M236</f>
        <v/>
      </c>
      <c r="M236" s="3">
        <f>IF(E236="","","Penyusutan "&amp;E236&amp;" periode "&amp;C236)</f>
        <v/>
      </c>
    </row>
    <row r="237">
      <c r="A237" s="3">
        <f>IF(Penyusutan!D237="","","JRN-"&amp;TEXT(ROW()-1,"0000"))</f>
        <v/>
      </c>
      <c r="B237" s="4" t="n">
        <v>46022</v>
      </c>
      <c r="C237" s="3">
        <f>Penyusutan!B237</f>
        <v/>
      </c>
      <c r="D237" s="3">
        <f>Penyusutan!C237</f>
        <v/>
      </c>
      <c r="E237" s="3">
        <f>Penyusutan!D237</f>
        <v/>
      </c>
      <c r="F237" s="3" t="inlineStr">
        <is>
          <t>Inventaris Ruangan</t>
        </is>
      </c>
      <c r="G237" s="3" t="inlineStr"/>
      <c r="H237" s="3" t="inlineStr">
        <is>
          <t>Beban Penyusutan Inventaris Ruangan</t>
        </is>
      </c>
      <c r="I237" s="5">
        <f>Penyusutan!M237</f>
        <v/>
      </c>
      <c r="J237" s="3" t="inlineStr"/>
      <c r="K237" s="3" t="inlineStr">
        <is>
          <t>Akumulasi Penyusutan Inventaris Ruangan</t>
        </is>
      </c>
      <c r="L237" s="5">
        <f>Penyusutan!M237</f>
        <v/>
      </c>
      <c r="M237" s="3">
        <f>IF(E237="","","Penyusutan "&amp;E237&amp;" periode "&amp;C237)</f>
        <v/>
      </c>
    </row>
    <row r="238">
      <c r="A238" s="3">
        <f>IF(Penyusutan!D238="","","JRN-"&amp;TEXT(ROW()-1,"0000"))</f>
        <v/>
      </c>
      <c r="B238" s="4" t="n">
        <v>46022</v>
      </c>
      <c r="C238" s="3">
        <f>Penyusutan!B238</f>
        <v/>
      </c>
      <c r="D238" s="3">
        <f>Penyusutan!C238</f>
        <v/>
      </c>
      <c r="E238" s="3">
        <f>Penyusutan!D238</f>
        <v/>
      </c>
      <c r="F238" s="3" t="inlineStr">
        <is>
          <t>Inventaris Ruangan</t>
        </is>
      </c>
      <c r="G238" s="3" t="inlineStr"/>
      <c r="H238" s="3" t="inlineStr">
        <is>
          <t>Beban Penyusutan Inventaris Ruangan</t>
        </is>
      </c>
      <c r="I238" s="5">
        <f>Penyusutan!M238</f>
        <v/>
      </c>
      <c r="J238" s="3" t="inlineStr"/>
      <c r="K238" s="3" t="inlineStr">
        <is>
          <t>Akumulasi Penyusutan Inventaris Ruangan</t>
        </is>
      </c>
      <c r="L238" s="5">
        <f>Penyusutan!M238</f>
        <v/>
      </c>
      <c r="M238" s="3">
        <f>IF(E238="","","Penyusutan "&amp;E238&amp;" periode "&amp;C238)</f>
        <v/>
      </c>
    </row>
    <row r="239">
      <c r="A239" s="3">
        <f>IF(Penyusutan!D239="","","JRN-"&amp;TEXT(ROW()-1,"0000"))</f>
        <v/>
      </c>
      <c r="B239" s="4" t="n">
        <v>46022</v>
      </c>
      <c r="C239" s="3">
        <f>Penyusutan!B239</f>
        <v/>
      </c>
      <c r="D239" s="3">
        <f>Penyusutan!C239</f>
        <v/>
      </c>
      <c r="E239" s="3">
        <f>Penyusutan!D239</f>
        <v/>
      </c>
      <c r="F239" s="3" t="inlineStr">
        <is>
          <t>Inventaris Ruangan</t>
        </is>
      </c>
      <c r="G239" s="3" t="inlineStr"/>
      <c r="H239" s="3" t="inlineStr">
        <is>
          <t>Beban Penyusutan Inventaris Ruangan</t>
        </is>
      </c>
      <c r="I239" s="5">
        <f>Penyusutan!M239</f>
        <v/>
      </c>
      <c r="J239" s="3" t="inlineStr"/>
      <c r="K239" s="3" t="inlineStr">
        <is>
          <t>Akumulasi Penyusutan Inventaris Ruangan</t>
        </is>
      </c>
      <c r="L239" s="5">
        <f>Penyusutan!M239</f>
        <v/>
      </c>
      <c r="M239" s="3">
        <f>IF(E239="","","Penyusutan "&amp;E239&amp;" periode "&amp;C239)</f>
        <v/>
      </c>
    </row>
    <row r="240">
      <c r="A240" s="3">
        <f>IF(Penyusutan!D240="","","JRN-"&amp;TEXT(ROW()-1,"0000"))</f>
        <v/>
      </c>
      <c r="B240" s="4" t="n">
        <v>46022</v>
      </c>
      <c r="C240" s="3">
        <f>Penyusutan!B240</f>
        <v/>
      </c>
      <c r="D240" s="3">
        <f>Penyusutan!C240</f>
        <v/>
      </c>
      <c r="E240" s="3">
        <f>Penyusutan!D240</f>
        <v/>
      </c>
      <c r="F240" s="3" t="inlineStr">
        <is>
          <t>Inventaris Ruangan</t>
        </is>
      </c>
      <c r="G240" s="3" t="inlineStr"/>
      <c r="H240" s="3" t="inlineStr">
        <is>
          <t>Beban Penyusutan Inventaris Ruangan</t>
        </is>
      </c>
      <c r="I240" s="5">
        <f>Penyusutan!M240</f>
        <v/>
      </c>
      <c r="J240" s="3" t="inlineStr"/>
      <c r="K240" s="3" t="inlineStr">
        <is>
          <t>Akumulasi Penyusutan Inventaris Ruangan</t>
        </is>
      </c>
      <c r="L240" s="5">
        <f>Penyusutan!M240</f>
        <v/>
      </c>
      <c r="M240" s="3">
        <f>IF(E240="","","Penyusutan "&amp;E240&amp;" periode "&amp;C240)</f>
        <v/>
      </c>
    </row>
    <row r="241">
      <c r="A241" s="3">
        <f>IF(Penyusutan!D241="","","JRN-"&amp;TEXT(ROW()-1,"0000"))</f>
        <v/>
      </c>
      <c r="B241" s="4" t="n">
        <v>46022</v>
      </c>
      <c r="C241" s="3">
        <f>Penyusutan!B241</f>
        <v/>
      </c>
      <c r="D241" s="3">
        <f>Penyusutan!C241</f>
        <v/>
      </c>
      <c r="E241" s="3">
        <f>Penyusutan!D241</f>
        <v/>
      </c>
      <c r="F241" s="3" t="inlineStr">
        <is>
          <t>Inventaris Ruangan</t>
        </is>
      </c>
      <c r="G241" s="3" t="inlineStr"/>
      <c r="H241" s="3" t="inlineStr">
        <is>
          <t>Beban Penyusutan Inventaris Ruangan</t>
        </is>
      </c>
      <c r="I241" s="5">
        <f>Penyusutan!M241</f>
        <v/>
      </c>
      <c r="J241" s="3" t="inlineStr"/>
      <c r="K241" s="3" t="inlineStr">
        <is>
          <t>Akumulasi Penyusutan Inventaris Ruangan</t>
        </is>
      </c>
      <c r="L241" s="5">
        <f>Penyusutan!M241</f>
        <v/>
      </c>
      <c r="M241" s="3">
        <f>IF(E241="","","Penyusutan "&amp;E241&amp;" periode "&amp;C241)</f>
        <v/>
      </c>
    </row>
    <row r="242">
      <c r="A242" s="3">
        <f>IF(Penyusutan!D242="","","JRN-"&amp;TEXT(ROW()-1,"0000"))</f>
        <v/>
      </c>
      <c r="B242" s="4" t="n">
        <v>46022</v>
      </c>
      <c r="C242" s="3">
        <f>Penyusutan!B242</f>
        <v/>
      </c>
      <c r="D242" s="3">
        <f>Penyusutan!C242</f>
        <v/>
      </c>
      <c r="E242" s="3">
        <f>Penyusutan!D242</f>
        <v/>
      </c>
      <c r="F242" s="3" t="inlineStr">
        <is>
          <t>Inventaris Ruangan</t>
        </is>
      </c>
      <c r="G242" s="3" t="inlineStr"/>
      <c r="H242" s="3" t="inlineStr">
        <is>
          <t>Beban Penyusutan Inventaris Ruangan</t>
        </is>
      </c>
      <c r="I242" s="5">
        <f>Penyusutan!M242</f>
        <v/>
      </c>
      <c r="J242" s="3" t="inlineStr"/>
      <c r="K242" s="3" t="inlineStr">
        <is>
          <t>Akumulasi Penyusutan Inventaris Ruangan</t>
        </is>
      </c>
      <c r="L242" s="5">
        <f>Penyusutan!M242</f>
        <v/>
      </c>
      <c r="M242" s="3">
        <f>IF(E242="","","Penyusutan "&amp;E242&amp;" periode "&amp;C242)</f>
        <v/>
      </c>
    </row>
    <row r="243">
      <c r="A243" s="3">
        <f>IF(Penyusutan!D243="","","JRN-"&amp;TEXT(ROW()-1,"0000"))</f>
        <v/>
      </c>
      <c r="B243" s="4" t="n">
        <v>46022</v>
      </c>
      <c r="C243" s="3">
        <f>Penyusutan!B243</f>
        <v/>
      </c>
      <c r="D243" s="3">
        <f>Penyusutan!C243</f>
        <v/>
      </c>
      <c r="E243" s="3">
        <f>Penyusutan!D243</f>
        <v/>
      </c>
      <c r="F243" s="3" t="inlineStr">
        <is>
          <t>Inventaris Ruangan</t>
        </is>
      </c>
      <c r="G243" s="3" t="inlineStr"/>
      <c r="H243" s="3" t="inlineStr">
        <is>
          <t>Beban Penyusutan Inventaris Ruangan</t>
        </is>
      </c>
      <c r="I243" s="5">
        <f>Penyusutan!M243</f>
        <v/>
      </c>
      <c r="J243" s="3" t="inlineStr"/>
      <c r="K243" s="3" t="inlineStr">
        <is>
          <t>Akumulasi Penyusutan Inventaris Ruangan</t>
        </is>
      </c>
      <c r="L243" s="5">
        <f>Penyusutan!M243</f>
        <v/>
      </c>
      <c r="M243" s="3">
        <f>IF(E243="","","Penyusutan "&amp;E243&amp;" periode "&amp;C243)</f>
        <v/>
      </c>
    </row>
    <row r="244">
      <c r="A244" s="3">
        <f>IF(Penyusutan!D244="","","JRN-"&amp;TEXT(ROW()-1,"0000"))</f>
        <v/>
      </c>
      <c r="B244" s="4" t="n">
        <v>46022</v>
      </c>
      <c r="C244" s="3">
        <f>Penyusutan!B244</f>
        <v/>
      </c>
      <c r="D244" s="3">
        <f>Penyusutan!C244</f>
        <v/>
      </c>
      <c r="E244" s="3">
        <f>Penyusutan!D244</f>
        <v/>
      </c>
      <c r="F244" s="3" t="inlineStr">
        <is>
          <t>Inventaris Ruangan</t>
        </is>
      </c>
      <c r="G244" s="3" t="inlineStr"/>
      <c r="H244" s="3" t="inlineStr">
        <is>
          <t>Beban Penyusutan Inventaris Ruangan</t>
        </is>
      </c>
      <c r="I244" s="5">
        <f>Penyusutan!M244</f>
        <v/>
      </c>
      <c r="J244" s="3" t="inlineStr"/>
      <c r="K244" s="3" t="inlineStr">
        <is>
          <t>Akumulasi Penyusutan Inventaris Ruangan</t>
        </is>
      </c>
      <c r="L244" s="5">
        <f>Penyusutan!M244</f>
        <v/>
      </c>
      <c r="M244" s="3">
        <f>IF(E244="","","Penyusutan "&amp;E244&amp;" periode "&amp;C244)</f>
        <v/>
      </c>
    </row>
    <row r="245">
      <c r="A245" s="3">
        <f>IF(Penyusutan!D245="","","JRN-"&amp;TEXT(ROW()-1,"0000"))</f>
        <v/>
      </c>
      <c r="B245" s="4" t="n">
        <v>46022</v>
      </c>
      <c r="C245" s="3">
        <f>Penyusutan!B245</f>
        <v/>
      </c>
      <c r="D245" s="3">
        <f>Penyusutan!C245</f>
        <v/>
      </c>
      <c r="E245" s="3">
        <f>Penyusutan!D245</f>
        <v/>
      </c>
      <c r="F245" s="3" t="inlineStr">
        <is>
          <t>Inventaris Ruangan</t>
        </is>
      </c>
      <c r="G245" s="3" t="inlineStr"/>
      <c r="H245" s="3" t="inlineStr">
        <is>
          <t>Beban Penyusutan Inventaris Ruangan</t>
        </is>
      </c>
      <c r="I245" s="5">
        <f>Penyusutan!M245</f>
        <v/>
      </c>
      <c r="J245" s="3" t="inlineStr"/>
      <c r="K245" s="3" t="inlineStr">
        <is>
          <t>Akumulasi Penyusutan Inventaris Ruangan</t>
        </is>
      </c>
      <c r="L245" s="5">
        <f>Penyusutan!M245</f>
        <v/>
      </c>
      <c r="M245" s="3">
        <f>IF(E245="","","Penyusutan "&amp;E245&amp;" periode "&amp;C245)</f>
        <v/>
      </c>
    </row>
    <row r="246">
      <c r="A246" s="3">
        <f>IF(Penyusutan!D246="","","JRN-"&amp;TEXT(ROW()-1,"0000"))</f>
        <v/>
      </c>
      <c r="B246" s="4" t="n">
        <v>46022</v>
      </c>
      <c r="C246" s="3">
        <f>Penyusutan!B246</f>
        <v/>
      </c>
      <c r="D246" s="3">
        <f>Penyusutan!C246</f>
        <v/>
      </c>
      <c r="E246" s="3">
        <f>Penyusutan!D246</f>
        <v/>
      </c>
      <c r="F246" s="3" t="inlineStr">
        <is>
          <t>Inventaris Ruangan</t>
        </is>
      </c>
      <c r="G246" s="3" t="inlineStr"/>
      <c r="H246" s="3" t="inlineStr">
        <is>
          <t>Beban Penyusutan Inventaris Ruangan</t>
        </is>
      </c>
      <c r="I246" s="5">
        <f>Penyusutan!M246</f>
        <v/>
      </c>
      <c r="J246" s="3" t="inlineStr"/>
      <c r="K246" s="3" t="inlineStr">
        <is>
          <t>Akumulasi Penyusutan Inventaris Ruangan</t>
        </is>
      </c>
      <c r="L246" s="5">
        <f>Penyusutan!M246</f>
        <v/>
      </c>
      <c r="M246" s="3">
        <f>IF(E246="","","Penyusutan "&amp;E246&amp;" periode "&amp;C246)</f>
        <v/>
      </c>
    </row>
    <row r="247">
      <c r="A247" s="3">
        <f>IF(Penyusutan!D247="","","JRN-"&amp;TEXT(ROW()-1,"0000"))</f>
        <v/>
      </c>
      <c r="B247" s="4" t="n">
        <v>46022</v>
      </c>
      <c r="C247" s="3">
        <f>Penyusutan!B247</f>
        <v/>
      </c>
      <c r="D247" s="3">
        <f>Penyusutan!C247</f>
        <v/>
      </c>
      <c r="E247" s="3">
        <f>Penyusutan!D247</f>
        <v/>
      </c>
      <c r="F247" s="3" t="inlineStr">
        <is>
          <t>Inventaris Ruangan</t>
        </is>
      </c>
      <c r="G247" s="3" t="inlineStr"/>
      <c r="H247" s="3" t="inlineStr">
        <is>
          <t>Beban Penyusutan Inventaris Ruangan</t>
        </is>
      </c>
      <c r="I247" s="5">
        <f>Penyusutan!M247</f>
        <v/>
      </c>
      <c r="J247" s="3" t="inlineStr"/>
      <c r="K247" s="3" t="inlineStr">
        <is>
          <t>Akumulasi Penyusutan Inventaris Ruangan</t>
        </is>
      </c>
      <c r="L247" s="5">
        <f>Penyusutan!M247</f>
        <v/>
      </c>
      <c r="M247" s="3">
        <f>IF(E247="","","Penyusutan "&amp;E247&amp;" periode "&amp;C247)</f>
        <v/>
      </c>
    </row>
    <row r="248">
      <c r="A248" s="3">
        <f>IF(Penyusutan!D248="","","JRN-"&amp;TEXT(ROW()-1,"0000"))</f>
        <v/>
      </c>
      <c r="B248" s="4" t="n">
        <v>46022</v>
      </c>
      <c r="C248" s="3">
        <f>Penyusutan!B248</f>
        <v/>
      </c>
      <c r="D248" s="3">
        <f>Penyusutan!C248</f>
        <v/>
      </c>
      <c r="E248" s="3">
        <f>Penyusutan!D248</f>
        <v/>
      </c>
      <c r="F248" s="3" t="inlineStr">
        <is>
          <t>Inventaris Ruangan</t>
        </is>
      </c>
      <c r="G248" s="3" t="inlineStr"/>
      <c r="H248" s="3" t="inlineStr">
        <is>
          <t>Beban Penyusutan Inventaris Ruangan</t>
        </is>
      </c>
      <c r="I248" s="5">
        <f>Penyusutan!M248</f>
        <v/>
      </c>
      <c r="J248" s="3" t="inlineStr"/>
      <c r="K248" s="3" t="inlineStr">
        <is>
          <t>Akumulasi Penyusutan Inventaris Ruangan</t>
        </is>
      </c>
      <c r="L248" s="5">
        <f>Penyusutan!M248</f>
        <v/>
      </c>
      <c r="M248" s="3">
        <f>IF(E248="","","Penyusutan "&amp;E248&amp;" periode "&amp;C248)</f>
        <v/>
      </c>
    </row>
    <row r="249">
      <c r="A249" s="3">
        <f>IF(Penyusutan!D249="","","JRN-"&amp;TEXT(ROW()-1,"0000"))</f>
        <v/>
      </c>
      <c r="B249" s="4" t="n">
        <v>46022</v>
      </c>
      <c r="C249" s="3">
        <f>Penyusutan!B249</f>
        <v/>
      </c>
      <c r="D249" s="3">
        <f>Penyusutan!C249</f>
        <v/>
      </c>
      <c r="E249" s="3">
        <f>Penyusutan!D249</f>
        <v/>
      </c>
      <c r="F249" s="3" t="inlineStr">
        <is>
          <t>Inventaris Ruangan</t>
        </is>
      </c>
      <c r="G249" s="3" t="inlineStr"/>
      <c r="H249" s="3" t="inlineStr">
        <is>
          <t>Beban Penyusutan Inventaris Ruangan</t>
        </is>
      </c>
      <c r="I249" s="5">
        <f>Penyusutan!M249</f>
        <v/>
      </c>
      <c r="J249" s="3" t="inlineStr"/>
      <c r="K249" s="3" t="inlineStr">
        <is>
          <t>Akumulasi Penyusutan Inventaris Ruangan</t>
        </is>
      </c>
      <c r="L249" s="5">
        <f>Penyusutan!M249</f>
        <v/>
      </c>
      <c r="M249" s="3">
        <f>IF(E249="","","Penyusutan "&amp;E249&amp;" periode "&amp;C249)</f>
        <v/>
      </c>
    </row>
    <row r="250">
      <c r="A250" s="3">
        <f>IF(Penyusutan!D250="","","JRN-"&amp;TEXT(ROW()-1,"0000"))</f>
        <v/>
      </c>
      <c r="B250" s="4" t="n">
        <v>46022</v>
      </c>
      <c r="C250" s="3">
        <f>Penyusutan!B250</f>
        <v/>
      </c>
      <c r="D250" s="3">
        <f>Penyusutan!C250</f>
        <v/>
      </c>
      <c r="E250" s="3">
        <f>Penyusutan!D250</f>
        <v/>
      </c>
      <c r="F250" s="3" t="inlineStr">
        <is>
          <t>Inventaris Ruangan</t>
        </is>
      </c>
      <c r="G250" s="3" t="inlineStr"/>
      <c r="H250" s="3" t="inlineStr">
        <is>
          <t>Beban Penyusutan Inventaris Ruangan</t>
        </is>
      </c>
      <c r="I250" s="5">
        <f>Penyusutan!M250</f>
        <v/>
      </c>
      <c r="J250" s="3" t="inlineStr"/>
      <c r="K250" s="3" t="inlineStr">
        <is>
          <t>Akumulasi Penyusutan Inventaris Ruangan</t>
        </is>
      </c>
      <c r="L250" s="5">
        <f>Penyusutan!M250</f>
        <v/>
      </c>
      <c r="M250" s="3">
        <f>IF(E250="","","Penyusutan "&amp;E250&amp;" periode "&amp;C250)</f>
        <v/>
      </c>
    </row>
    <row r="251">
      <c r="A251" s="3">
        <f>IF(Penyusutan!D251="","","JRN-"&amp;TEXT(ROW()-1,"0000"))</f>
        <v/>
      </c>
      <c r="B251" s="4" t="n">
        <v>46022</v>
      </c>
      <c r="C251" s="3">
        <f>Penyusutan!B251</f>
        <v/>
      </c>
      <c r="D251" s="3">
        <f>Penyusutan!C251</f>
        <v/>
      </c>
      <c r="E251" s="3">
        <f>Penyusutan!D251</f>
        <v/>
      </c>
      <c r="F251" s="3" t="inlineStr">
        <is>
          <t>Inventaris Ruangan</t>
        </is>
      </c>
      <c r="G251" s="3" t="inlineStr"/>
      <c r="H251" s="3" t="inlineStr">
        <is>
          <t>Beban Penyusutan Inventaris Ruangan</t>
        </is>
      </c>
      <c r="I251" s="5">
        <f>Penyusutan!M251</f>
        <v/>
      </c>
      <c r="J251" s="3" t="inlineStr"/>
      <c r="K251" s="3" t="inlineStr">
        <is>
          <t>Akumulasi Penyusutan Inventaris Ruangan</t>
        </is>
      </c>
      <c r="L251" s="5">
        <f>Penyusutan!M251</f>
        <v/>
      </c>
      <c r="M251" s="3">
        <f>IF(E251="","","Penyusutan "&amp;E251&amp;" periode "&amp;C251)</f>
        <v/>
      </c>
    </row>
    <row r="252">
      <c r="A252" s="3">
        <f>IF(Penyusutan!D252="","","JRN-"&amp;TEXT(ROW()-1,"0000"))</f>
        <v/>
      </c>
      <c r="B252" s="4" t="n">
        <v>46022</v>
      </c>
      <c r="C252" s="3">
        <f>Penyusutan!B252</f>
        <v/>
      </c>
      <c r="D252" s="3">
        <f>Penyusutan!C252</f>
        <v/>
      </c>
      <c r="E252" s="3">
        <f>Penyusutan!D252</f>
        <v/>
      </c>
      <c r="F252" s="3" t="inlineStr">
        <is>
          <t>Inventaris Ruangan</t>
        </is>
      </c>
      <c r="G252" s="3" t="inlineStr"/>
      <c r="H252" s="3" t="inlineStr">
        <is>
          <t>Beban Penyusutan Inventaris Ruangan</t>
        </is>
      </c>
      <c r="I252" s="5">
        <f>Penyusutan!M252</f>
        <v/>
      </c>
      <c r="J252" s="3" t="inlineStr"/>
      <c r="K252" s="3" t="inlineStr">
        <is>
          <t>Akumulasi Penyusutan Inventaris Ruangan</t>
        </is>
      </c>
      <c r="L252" s="5">
        <f>Penyusutan!M252</f>
        <v/>
      </c>
      <c r="M252" s="3">
        <f>IF(E252="","","Penyusutan "&amp;E252&amp;" periode "&amp;C252)</f>
        <v/>
      </c>
    </row>
    <row r="253">
      <c r="A253" s="3">
        <f>IF(Penyusutan!D253="","","JRN-"&amp;TEXT(ROW()-1,"0000"))</f>
        <v/>
      </c>
      <c r="B253" s="4" t="n">
        <v>46022</v>
      </c>
      <c r="C253" s="3">
        <f>Penyusutan!B253</f>
        <v/>
      </c>
      <c r="D253" s="3">
        <f>Penyusutan!C253</f>
        <v/>
      </c>
      <c r="E253" s="3">
        <f>Penyusutan!D253</f>
        <v/>
      </c>
      <c r="F253" s="3" t="inlineStr">
        <is>
          <t>Inventaris Ruangan</t>
        </is>
      </c>
      <c r="G253" s="3" t="inlineStr"/>
      <c r="H253" s="3" t="inlineStr">
        <is>
          <t>Beban Penyusutan Inventaris Ruangan</t>
        </is>
      </c>
      <c r="I253" s="5">
        <f>Penyusutan!M253</f>
        <v/>
      </c>
      <c r="J253" s="3" t="inlineStr"/>
      <c r="K253" s="3" t="inlineStr">
        <is>
          <t>Akumulasi Penyusutan Inventaris Ruangan</t>
        </is>
      </c>
      <c r="L253" s="5">
        <f>Penyusutan!M253</f>
        <v/>
      </c>
      <c r="M253" s="3">
        <f>IF(E253="","","Penyusutan "&amp;E253&amp;" periode "&amp;C253)</f>
        <v/>
      </c>
    </row>
    <row r="254">
      <c r="A254" s="3">
        <f>IF(Penyusutan!D254="","","JRN-"&amp;TEXT(ROW()-1,"0000"))</f>
        <v/>
      </c>
      <c r="B254" s="4" t="n">
        <v>46022</v>
      </c>
      <c r="C254" s="3">
        <f>Penyusutan!B254</f>
        <v/>
      </c>
      <c r="D254" s="3">
        <f>Penyusutan!C254</f>
        <v/>
      </c>
      <c r="E254" s="3">
        <f>Penyusutan!D254</f>
        <v/>
      </c>
      <c r="F254" s="3" t="inlineStr">
        <is>
          <t>Inventaris Ruangan</t>
        </is>
      </c>
      <c r="G254" s="3" t="inlineStr"/>
      <c r="H254" s="3" t="inlineStr">
        <is>
          <t>Beban Penyusutan Inventaris Ruangan</t>
        </is>
      </c>
      <c r="I254" s="5">
        <f>Penyusutan!M254</f>
        <v/>
      </c>
      <c r="J254" s="3" t="inlineStr"/>
      <c r="K254" s="3" t="inlineStr">
        <is>
          <t>Akumulasi Penyusutan Inventaris Ruangan</t>
        </is>
      </c>
      <c r="L254" s="5">
        <f>Penyusutan!M254</f>
        <v/>
      </c>
      <c r="M254" s="3">
        <f>IF(E254="","","Penyusutan "&amp;E254&amp;" periode "&amp;C254)</f>
        <v/>
      </c>
    </row>
    <row r="255">
      <c r="A255" s="3">
        <f>IF(Penyusutan!D255="","","JRN-"&amp;TEXT(ROW()-1,"0000"))</f>
        <v/>
      </c>
      <c r="B255" s="4" t="n">
        <v>46022</v>
      </c>
      <c r="C255" s="3">
        <f>Penyusutan!B255</f>
        <v/>
      </c>
      <c r="D255" s="3">
        <f>Penyusutan!C255</f>
        <v/>
      </c>
      <c r="E255" s="3">
        <f>Penyusutan!D255</f>
        <v/>
      </c>
      <c r="F255" s="3" t="inlineStr">
        <is>
          <t>Inventaris Ruangan</t>
        </is>
      </c>
      <c r="G255" s="3" t="inlineStr"/>
      <c r="H255" s="3" t="inlineStr">
        <is>
          <t>Beban Penyusutan Inventaris Ruangan</t>
        </is>
      </c>
      <c r="I255" s="5">
        <f>Penyusutan!M255</f>
        <v/>
      </c>
      <c r="J255" s="3" t="inlineStr"/>
      <c r="K255" s="3" t="inlineStr">
        <is>
          <t>Akumulasi Penyusutan Inventaris Ruangan</t>
        </is>
      </c>
      <c r="L255" s="5">
        <f>Penyusutan!M255</f>
        <v/>
      </c>
      <c r="M255" s="3">
        <f>IF(E255="","","Penyusutan "&amp;E255&amp;" periode "&amp;C255)</f>
        <v/>
      </c>
    </row>
    <row r="256">
      <c r="A256" s="3">
        <f>IF(Penyusutan!D256="","","JRN-"&amp;TEXT(ROW()-1,"0000"))</f>
        <v/>
      </c>
      <c r="B256" s="4" t="n">
        <v>46022</v>
      </c>
      <c r="C256" s="3">
        <f>Penyusutan!B256</f>
        <v/>
      </c>
      <c r="D256" s="3">
        <f>Penyusutan!C256</f>
        <v/>
      </c>
      <c r="E256" s="3">
        <f>Penyusutan!D256</f>
        <v/>
      </c>
      <c r="F256" s="3" t="inlineStr">
        <is>
          <t>Inventaris Ruangan</t>
        </is>
      </c>
      <c r="G256" s="3" t="inlineStr"/>
      <c r="H256" s="3" t="inlineStr">
        <is>
          <t>Beban Penyusutan Inventaris Ruangan</t>
        </is>
      </c>
      <c r="I256" s="5">
        <f>Penyusutan!M256</f>
        <v/>
      </c>
      <c r="J256" s="3" t="inlineStr"/>
      <c r="K256" s="3" t="inlineStr">
        <is>
          <t>Akumulasi Penyusutan Inventaris Ruangan</t>
        </is>
      </c>
      <c r="L256" s="5">
        <f>Penyusutan!M256</f>
        <v/>
      </c>
      <c r="M256" s="3">
        <f>IF(E256="","","Penyusutan "&amp;E256&amp;" periode "&amp;C256)</f>
        <v/>
      </c>
    </row>
    <row r="257">
      <c r="A257" s="3">
        <f>IF(Penyusutan!D257="","","JRN-"&amp;TEXT(ROW()-1,"0000"))</f>
        <v/>
      </c>
      <c r="B257" s="4" t="n">
        <v>46022</v>
      </c>
      <c r="C257" s="3">
        <f>Penyusutan!B257</f>
        <v/>
      </c>
      <c r="D257" s="3">
        <f>Penyusutan!C257</f>
        <v/>
      </c>
      <c r="E257" s="3">
        <f>Penyusutan!D257</f>
        <v/>
      </c>
      <c r="F257" s="3" t="inlineStr">
        <is>
          <t>Inventaris Ruangan</t>
        </is>
      </c>
      <c r="G257" s="3" t="inlineStr"/>
      <c r="H257" s="3" t="inlineStr">
        <is>
          <t>Beban Penyusutan Inventaris Ruangan</t>
        </is>
      </c>
      <c r="I257" s="5">
        <f>Penyusutan!M257</f>
        <v/>
      </c>
      <c r="J257" s="3" t="inlineStr"/>
      <c r="K257" s="3" t="inlineStr">
        <is>
          <t>Akumulasi Penyusutan Inventaris Ruangan</t>
        </is>
      </c>
      <c r="L257" s="5">
        <f>Penyusutan!M257</f>
        <v/>
      </c>
      <c r="M257" s="3">
        <f>IF(E257="","","Penyusutan "&amp;E257&amp;" periode "&amp;C257)</f>
        <v/>
      </c>
    </row>
    <row r="258">
      <c r="A258" s="3">
        <f>IF(Penyusutan!D258="","","JRN-"&amp;TEXT(ROW()-1,"0000"))</f>
        <v/>
      </c>
      <c r="B258" s="4" t="n">
        <v>46022</v>
      </c>
      <c r="C258" s="3">
        <f>Penyusutan!B258</f>
        <v/>
      </c>
      <c r="D258" s="3">
        <f>Penyusutan!C258</f>
        <v/>
      </c>
      <c r="E258" s="3">
        <f>Penyusutan!D258</f>
        <v/>
      </c>
      <c r="F258" s="3" t="inlineStr">
        <is>
          <t>Inventaris Ruangan</t>
        </is>
      </c>
      <c r="G258" s="3" t="inlineStr"/>
      <c r="H258" s="3" t="inlineStr">
        <is>
          <t>Beban Penyusutan Inventaris Ruangan</t>
        </is>
      </c>
      <c r="I258" s="5">
        <f>Penyusutan!M258</f>
        <v/>
      </c>
      <c r="J258" s="3" t="inlineStr"/>
      <c r="K258" s="3" t="inlineStr">
        <is>
          <t>Akumulasi Penyusutan Inventaris Ruangan</t>
        </is>
      </c>
      <c r="L258" s="5">
        <f>Penyusutan!M258</f>
        <v/>
      </c>
      <c r="M258" s="3">
        <f>IF(E258="","","Penyusutan "&amp;E258&amp;" periode "&amp;C258)</f>
        <v/>
      </c>
    </row>
    <row r="259">
      <c r="A259" s="3">
        <f>IF(Penyusutan!D259="","","JRN-"&amp;TEXT(ROW()-1,"0000"))</f>
        <v/>
      </c>
      <c r="B259" s="4" t="n">
        <v>46022</v>
      </c>
      <c r="C259" s="3">
        <f>Penyusutan!B259</f>
        <v/>
      </c>
      <c r="D259" s="3">
        <f>Penyusutan!C259</f>
        <v/>
      </c>
      <c r="E259" s="3">
        <f>Penyusutan!D259</f>
        <v/>
      </c>
      <c r="F259" s="3" t="inlineStr">
        <is>
          <t>Inventaris Ruangan</t>
        </is>
      </c>
      <c r="G259" s="3" t="inlineStr"/>
      <c r="H259" s="3" t="inlineStr">
        <is>
          <t>Beban Penyusutan Inventaris Ruangan</t>
        </is>
      </c>
      <c r="I259" s="5">
        <f>Penyusutan!M259</f>
        <v/>
      </c>
      <c r="J259" s="3" t="inlineStr"/>
      <c r="K259" s="3" t="inlineStr">
        <is>
          <t>Akumulasi Penyusutan Inventaris Ruangan</t>
        </is>
      </c>
      <c r="L259" s="5">
        <f>Penyusutan!M259</f>
        <v/>
      </c>
      <c r="M259" s="3">
        <f>IF(E259="","","Penyusutan "&amp;E259&amp;" periode "&amp;C259)</f>
        <v/>
      </c>
    </row>
    <row r="260">
      <c r="A260" s="3">
        <f>IF(Penyusutan!D260="","","JRN-"&amp;TEXT(ROW()-1,"0000"))</f>
        <v/>
      </c>
      <c r="B260" s="4" t="n">
        <v>46022</v>
      </c>
      <c r="C260" s="3">
        <f>Penyusutan!B260</f>
        <v/>
      </c>
      <c r="D260" s="3">
        <f>Penyusutan!C260</f>
        <v/>
      </c>
      <c r="E260" s="3">
        <f>Penyusutan!D260</f>
        <v/>
      </c>
      <c r="F260" s="3" t="inlineStr">
        <is>
          <t>Inventaris Ruangan</t>
        </is>
      </c>
      <c r="G260" s="3" t="inlineStr"/>
      <c r="H260" s="3" t="inlineStr">
        <is>
          <t>Beban Penyusutan Inventaris Ruangan</t>
        </is>
      </c>
      <c r="I260" s="5">
        <f>Penyusutan!M260</f>
        <v/>
      </c>
      <c r="J260" s="3" t="inlineStr"/>
      <c r="K260" s="3" t="inlineStr">
        <is>
          <t>Akumulasi Penyusutan Inventaris Ruangan</t>
        </is>
      </c>
      <c r="L260" s="5">
        <f>Penyusutan!M260</f>
        <v/>
      </c>
      <c r="M260" s="3">
        <f>IF(E260="","","Penyusutan "&amp;E260&amp;" periode "&amp;C260)</f>
        <v/>
      </c>
    </row>
    <row r="261">
      <c r="A261" s="3">
        <f>IF(Penyusutan!D261="","","JRN-"&amp;TEXT(ROW()-1,"0000"))</f>
        <v/>
      </c>
      <c r="B261" s="4" t="n">
        <v>46022</v>
      </c>
      <c r="C261" s="3">
        <f>Penyusutan!B261</f>
        <v/>
      </c>
      <c r="D261" s="3">
        <f>Penyusutan!C261</f>
        <v/>
      </c>
      <c r="E261" s="3">
        <f>Penyusutan!D261</f>
        <v/>
      </c>
      <c r="F261" s="3" t="inlineStr">
        <is>
          <t>Inventaris Ruangan</t>
        </is>
      </c>
      <c r="G261" s="3" t="inlineStr"/>
      <c r="H261" s="3" t="inlineStr">
        <is>
          <t>Beban Penyusutan Inventaris Ruangan</t>
        </is>
      </c>
      <c r="I261" s="5">
        <f>Penyusutan!M261</f>
        <v/>
      </c>
      <c r="J261" s="3" t="inlineStr"/>
      <c r="K261" s="3" t="inlineStr">
        <is>
          <t>Akumulasi Penyusutan Inventaris Ruangan</t>
        </is>
      </c>
      <c r="L261" s="5">
        <f>Penyusutan!M261</f>
        <v/>
      </c>
      <c r="M261" s="3">
        <f>IF(E261="","","Penyusutan "&amp;E261&amp;" periode "&amp;C261)</f>
        <v/>
      </c>
    </row>
    <row r="262">
      <c r="A262" s="3">
        <f>IF(Penyusutan!D262="","","JRN-"&amp;TEXT(ROW()-1,"0000"))</f>
        <v/>
      </c>
      <c r="B262" s="4" t="n">
        <v>46022</v>
      </c>
      <c r="C262" s="3">
        <f>Penyusutan!B262</f>
        <v/>
      </c>
      <c r="D262" s="3">
        <f>Penyusutan!C262</f>
        <v/>
      </c>
      <c r="E262" s="3">
        <f>Penyusutan!D262</f>
        <v/>
      </c>
      <c r="F262" s="3" t="inlineStr">
        <is>
          <t>Inventaris Ruangan</t>
        </is>
      </c>
      <c r="G262" s="3" t="inlineStr"/>
      <c r="H262" s="3" t="inlineStr">
        <is>
          <t>Beban Penyusutan Inventaris Ruangan</t>
        </is>
      </c>
      <c r="I262" s="5">
        <f>Penyusutan!M262</f>
        <v/>
      </c>
      <c r="J262" s="3" t="inlineStr"/>
      <c r="K262" s="3" t="inlineStr">
        <is>
          <t>Akumulasi Penyusutan Inventaris Ruangan</t>
        </is>
      </c>
      <c r="L262" s="5">
        <f>Penyusutan!M262</f>
        <v/>
      </c>
      <c r="M262" s="3">
        <f>IF(E262="","","Penyusutan "&amp;E262&amp;" periode "&amp;C262)</f>
        <v/>
      </c>
    </row>
    <row r="263">
      <c r="A263" s="3">
        <f>IF(Penyusutan!D263="","","JRN-"&amp;TEXT(ROW()-1,"0000"))</f>
        <v/>
      </c>
      <c r="B263" s="4" t="n">
        <v>46022</v>
      </c>
      <c r="C263" s="3">
        <f>Penyusutan!B263</f>
        <v/>
      </c>
      <c r="D263" s="3">
        <f>Penyusutan!C263</f>
        <v/>
      </c>
      <c r="E263" s="3">
        <f>Penyusutan!D263</f>
        <v/>
      </c>
      <c r="F263" s="3" t="inlineStr">
        <is>
          <t>Inventaris Ruangan</t>
        </is>
      </c>
      <c r="G263" s="3" t="inlineStr"/>
      <c r="H263" s="3" t="inlineStr">
        <is>
          <t>Beban Penyusutan Inventaris Ruangan</t>
        </is>
      </c>
      <c r="I263" s="5">
        <f>Penyusutan!M263</f>
        <v/>
      </c>
      <c r="J263" s="3" t="inlineStr"/>
      <c r="K263" s="3" t="inlineStr">
        <is>
          <t>Akumulasi Penyusutan Inventaris Ruangan</t>
        </is>
      </c>
      <c r="L263" s="5">
        <f>Penyusutan!M263</f>
        <v/>
      </c>
      <c r="M263" s="3">
        <f>IF(E263="","","Penyusutan "&amp;E263&amp;" periode "&amp;C263)</f>
        <v/>
      </c>
    </row>
    <row r="264">
      <c r="A264" s="3">
        <f>IF(Penyusutan!D264="","","JRN-"&amp;TEXT(ROW()-1,"0000"))</f>
        <v/>
      </c>
      <c r="B264" s="4" t="n">
        <v>46022</v>
      </c>
      <c r="C264" s="3">
        <f>Penyusutan!B264</f>
        <v/>
      </c>
      <c r="D264" s="3">
        <f>Penyusutan!C264</f>
        <v/>
      </c>
      <c r="E264" s="3">
        <f>Penyusutan!D264</f>
        <v/>
      </c>
      <c r="F264" s="3" t="inlineStr">
        <is>
          <t>Inventaris Ruangan</t>
        </is>
      </c>
      <c r="G264" s="3" t="inlineStr"/>
      <c r="H264" s="3" t="inlineStr">
        <is>
          <t>Beban Penyusutan Inventaris Ruangan</t>
        </is>
      </c>
      <c r="I264" s="5">
        <f>Penyusutan!M264</f>
        <v/>
      </c>
      <c r="J264" s="3" t="inlineStr"/>
      <c r="K264" s="3" t="inlineStr">
        <is>
          <t>Akumulasi Penyusutan Inventaris Ruangan</t>
        </is>
      </c>
      <c r="L264" s="5">
        <f>Penyusutan!M264</f>
        <v/>
      </c>
      <c r="M264" s="3">
        <f>IF(E264="","","Penyusutan "&amp;E264&amp;" periode "&amp;C264)</f>
        <v/>
      </c>
    </row>
    <row r="265">
      <c r="A265" s="3">
        <f>IF(Penyusutan!D265="","","JRN-"&amp;TEXT(ROW()-1,"0000"))</f>
        <v/>
      </c>
      <c r="B265" s="4" t="n">
        <v>46022</v>
      </c>
      <c r="C265" s="3">
        <f>Penyusutan!B265</f>
        <v/>
      </c>
      <c r="D265" s="3">
        <f>Penyusutan!C265</f>
        <v/>
      </c>
      <c r="E265" s="3">
        <f>Penyusutan!D265</f>
        <v/>
      </c>
      <c r="F265" s="3" t="inlineStr">
        <is>
          <t>Inventaris Ruangan</t>
        </is>
      </c>
      <c r="G265" s="3" t="inlineStr"/>
      <c r="H265" s="3" t="inlineStr">
        <is>
          <t>Beban Penyusutan Inventaris Ruangan</t>
        </is>
      </c>
      <c r="I265" s="5">
        <f>Penyusutan!M265</f>
        <v/>
      </c>
      <c r="J265" s="3" t="inlineStr"/>
      <c r="K265" s="3" t="inlineStr">
        <is>
          <t>Akumulasi Penyusutan Inventaris Ruangan</t>
        </is>
      </c>
      <c r="L265" s="5">
        <f>Penyusutan!M265</f>
        <v/>
      </c>
      <c r="M265" s="3">
        <f>IF(E265="","","Penyusutan "&amp;E265&amp;" periode "&amp;C265)</f>
        <v/>
      </c>
    </row>
    <row r="266">
      <c r="A266" s="3">
        <f>IF(Penyusutan!D266="","","JRN-"&amp;TEXT(ROW()-1,"0000"))</f>
        <v/>
      </c>
      <c r="B266" s="4" t="n">
        <v>46022</v>
      </c>
      <c r="C266" s="3">
        <f>Penyusutan!B266</f>
        <v/>
      </c>
      <c r="D266" s="3">
        <f>Penyusutan!C266</f>
        <v/>
      </c>
      <c r="E266" s="3">
        <f>Penyusutan!D266</f>
        <v/>
      </c>
      <c r="F266" s="3" t="inlineStr">
        <is>
          <t>Inventaris Ruangan</t>
        </is>
      </c>
      <c r="G266" s="3" t="inlineStr"/>
      <c r="H266" s="3" t="inlineStr">
        <is>
          <t>Beban Penyusutan Inventaris Ruangan</t>
        </is>
      </c>
      <c r="I266" s="5">
        <f>Penyusutan!M266</f>
        <v/>
      </c>
      <c r="J266" s="3" t="inlineStr"/>
      <c r="K266" s="3" t="inlineStr">
        <is>
          <t>Akumulasi Penyusutan Inventaris Ruangan</t>
        </is>
      </c>
      <c r="L266" s="5">
        <f>Penyusutan!M266</f>
        <v/>
      </c>
      <c r="M266" s="3">
        <f>IF(E266="","","Penyusutan "&amp;E266&amp;" periode "&amp;C266)</f>
        <v/>
      </c>
    </row>
    <row r="267">
      <c r="A267" s="3">
        <f>IF(Penyusutan!D267="","","JRN-"&amp;TEXT(ROW()-1,"0000"))</f>
        <v/>
      </c>
      <c r="B267" s="4" t="n">
        <v>46022</v>
      </c>
      <c r="C267" s="3">
        <f>Penyusutan!B267</f>
        <v/>
      </c>
      <c r="D267" s="3">
        <f>Penyusutan!C267</f>
        <v/>
      </c>
      <c r="E267" s="3">
        <f>Penyusutan!D267</f>
        <v/>
      </c>
      <c r="F267" s="3" t="inlineStr">
        <is>
          <t>Inventaris Ruangan</t>
        </is>
      </c>
      <c r="G267" s="3" t="inlineStr"/>
      <c r="H267" s="3" t="inlineStr">
        <is>
          <t>Beban Penyusutan Inventaris Ruangan</t>
        </is>
      </c>
      <c r="I267" s="5">
        <f>Penyusutan!M267</f>
        <v/>
      </c>
      <c r="J267" s="3" t="inlineStr"/>
      <c r="K267" s="3" t="inlineStr">
        <is>
          <t>Akumulasi Penyusutan Inventaris Ruangan</t>
        </is>
      </c>
      <c r="L267" s="5">
        <f>Penyusutan!M267</f>
        <v/>
      </c>
      <c r="M267" s="3">
        <f>IF(E267="","","Penyusutan "&amp;E267&amp;" periode "&amp;C267)</f>
        <v/>
      </c>
    </row>
    <row r="268">
      <c r="A268" s="3">
        <f>IF(Penyusutan!D268="","","JRN-"&amp;TEXT(ROW()-1,"0000"))</f>
        <v/>
      </c>
      <c r="B268" s="4" t="n">
        <v>46022</v>
      </c>
      <c r="C268" s="3">
        <f>Penyusutan!B268</f>
        <v/>
      </c>
      <c r="D268" s="3">
        <f>Penyusutan!C268</f>
        <v/>
      </c>
      <c r="E268" s="3">
        <f>Penyusutan!D268</f>
        <v/>
      </c>
      <c r="F268" s="3" t="inlineStr">
        <is>
          <t>Inventaris Ruangan</t>
        </is>
      </c>
      <c r="G268" s="3" t="inlineStr"/>
      <c r="H268" s="3" t="inlineStr">
        <is>
          <t>Beban Penyusutan Inventaris Ruangan</t>
        </is>
      </c>
      <c r="I268" s="5">
        <f>Penyusutan!M268</f>
        <v/>
      </c>
      <c r="J268" s="3" t="inlineStr"/>
      <c r="K268" s="3" t="inlineStr">
        <is>
          <t>Akumulasi Penyusutan Inventaris Ruangan</t>
        </is>
      </c>
      <c r="L268" s="5">
        <f>Penyusutan!M268</f>
        <v/>
      </c>
      <c r="M268" s="3">
        <f>IF(E268="","","Penyusutan "&amp;E268&amp;" periode "&amp;C268)</f>
        <v/>
      </c>
    </row>
    <row r="269">
      <c r="A269" s="3">
        <f>IF(Penyusutan!D269="","","JRN-"&amp;TEXT(ROW()-1,"0000"))</f>
        <v/>
      </c>
      <c r="B269" s="4" t="n">
        <v>46022</v>
      </c>
      <c r="C269" s="3">
        <f>Penyusutan!B269</f>
        <v/>
      </c>
      <c r="D269" s="3">
        <f>Penyusutan!C269</f>
        <v/>
      </c>
      <c r="E269" s="3">
        <f>Penyusutan!D269</f>
        <v/>
      </c>
      <c r="F269" s="3" t="inlineStr">
        <is>
          <t>Inventaris Ruangan</t>
        </is>
      </c>
      <c r="G269" s="3" t="inlineStr"/>
      <c r="H269" s="3" t="inlineStr">
        <is>
          <t>Beban Penyusutan Inventaris Ruangan</t>
        </is>
      </c>
      <c r="I269" s="5">
        <f>Penyusutan!M269</f>
        <v/>
      </c>
      <c r="J269" s="3" t="inlineStr"/>
      <c r="K269" s="3" t="inlineStr">
        <is>
          <t>Akumulasi Penyusutan Inventaris Ruangan</t>
        </is>
      </c>
      <c r="L269" s="5">
        <f>Penyusutan!M269</f>
        <v/>
      </c>
      <c r="M269" s="3">
        <f>IF(E269="","","Penyusutan "&amp;E269&amp;" periode "&amp;C269)</f>
        <v/>
      </c>
    </row>
    <row r="270">
      <c r="A270" s="3">
        <f>IF(Penyusutan!D270="","","JRN-"&amp;TEXT(ROW()-1,"0000"))</f>
        <v/>
      </c>
      <c r="B270" s="4" t="n">
        <v>46022</v>
      </c>
      <c r="C270" s="3">
        <f>Penyusutan!B270</f>
        <v/>
      </c>
      <c r="D270" s="3">
        <f>Penyusutan!C270</f>
        <v/>
      </c>
      <c r="E270" s="3">
        <f>Penyusutan!D270</f>
        <v/>
      </c>
      <c r="F270" s="3" t="inlineStr">
        <is>
          <t>Inventaris Ruangan</t>
        </is>
      </c>
      <c r="G270" s="3" t="inlineStr"/>
      <c r="H270" s="3" t="inlineStr">
        <is>
          <t>Beban Penyusutan Inventaris Ruangan</t>
        </is>
      </c>
      <c r="I270" s="5">
        <f>Penyusutan!M270</f>
        <v/>
      </c>
      <c r="J270" s="3" t="inlineStr"/>
      <c r="K270" s="3" t="inlineStr">
        <is>
          <t>Akumulasi Penyusutan Inventaris Ruangan</t>
        </is>
      </c>
      <c r="L270" s="5">
        <f>Penyusutan!M270</f>
        <v/>
      </c>
      <c r="M270" s="3">
        <f>IF(E270="","","Penyusutan "&amp;E270&amp;" periode "&amp;C270)</f>
        <v/>
      </c>
    </row>
    <row r="271">
      <c r="A271" s="3">
        <f>IF(Penyusutan!D271="","","JRN-"&amp;TEXT(ROW()-1,"0000"))</f>
        <v/>
      </c>
      <c r="B271" s="4" t="n">
        <v>46022</v>
      </c>
      <c r="C271" s="3">
        <f>Penyusutan!B271</f>
        <v/>
      </c>
      <c r="D271" s="3">
        <f>Penyusutan!C271</f>
        <v/>
      </c>
      <c r="E271" s="3">
        <f>Penyusutan!D271</f>
        <v/>
      </c>
      <c r="F271" s="3" t="inlineStr">
        <is>
          <t>Inventaris Ruangan</t>
        </is>
      </c>
      <c r="G271" s="3" t="inlineStr"/>
      <c r="H271" s="3" t="inlineStr">
        <is>
          <t>Beban Penyusutan Inventaris Ruangan</t>
        </is>
      </c>
      <c r="I271" s="5">
        <f>Penyusutan!M271</f>
        <v/>
      </c>
      <c r="J271" s="3" t="inlineStr"/>
      <c r="K271" s="3" t="inlineStr">
        <is>
          <t>Akumulasi Penyusutan Inventaris Ruangan</t>
        </is>
      </c>
      <c r="L271" s="5">
        <f>Penyusutan!M271</f>
        <v/>
      </c>
      <c r="M271" s="3">
        <f>IF(E271="","","Penyusutan "&amp;E271&amp;" periode "&amp;C271)</f>
        <v/>
      </c>
    </row>
    <row r="272">
      <c r="A272" s="3">
        <f>IF(Penyusutan!D272="","","JRN-"&amp;TEXT(ROW()-1,"0000"))</f>
        <v/>
      </c>
      <c r="B272" s="4" t="n">
        <v>46022</v>
      </c>
      <c r="C272" s="3">
        <f>Penyusutan!B272</f>
        <v/>
      </c>
      <c r="D272" s="3">
        <f>Penyusutan!C272</f>
        <v/>
      </c>
      <c r="E272" s="3">
        <f>Penyusutan!D272</f>
        <v/>
      </c>
      <c r="F272" s="3" t="inlineStr">
        <is>
          <t>Inventaris Ruangan</t>
        </is>
      </c>
      <c r="G272" s="3" t="inlineStr"/>
      <c r="H272" s="3" t="inlineStr">
        <is>
          <t>Beban Penyusutan Inventaris Ruangan</t>
        </is>
      </c>
      <c r="I272" s="5">
        <f>Penyusutan!M272</f>
        <v/>
      </c>
      <c r="J272" s="3" t="inlineStr"/>
      <c r="K272" s="3" t="inlineStr">
        <is>
          <t>Akumulasi Penyusutan Inventaris Ruangan</t>
        </is>
      </c>
      <c r="L272" s="5">
        <f>Penyusutan!M272</f>
        <v/>
      </c>
      <c r="M272" s="3">
        <f>IF(E272="","","Penyusutan "&amp;E272&amp;" periode "&amp;C272)</f>
        <v/>
      </c>
    </row>
    <row r="273">
      <c r="A273" s="3">
        <f>IF(Penyusutan!D273="","","JRN-"&amp;TEXT(ROW()-1,"0000"))</f>
        <v/>
      </c>
      <c r="B273" s="4" t="n">
        <v>46022</v>
      </c>
      <c r="C273" s="3">
        <f>Penyusutan!B273</f>
        <v/>
      </c>
      <c r="D273" s="3">
        <f>Penyusutan!C273</f>
        <v/>
      </c>
      <c r="E273" s="3">
        <f>Penyusutan!D273</f>
        <v/>
      </c>
      <c r="F273" s="3" t="inlineStr">
        <is>
          <t>Inventaris Ruangan</t>
        </is>
      </c>
      <c r="G273" s="3" t="inlineStr"/>
      <c r="H273" s="3" t="inlineStr">
        <is>
          <t>Beban Penyusutan Inventaris Ruangan</t>
        </is>
      </c>
      <c r="I273" s="5">
        <f>Penyusutan!M273</f>
        <v/>
      </c>
      <c r="J273" s="3" t="inlineStr"/>
      <c r="K273" s="3" t="inlineStr">
        <is>
          <t>Akumulasi Penyusutan Inventaris Ruangan</t>
        </is>
      </c>
      <c r="L273" s="5">
        <f>Penyusutan!M273</f>
        <v/>
      </c>
      <c r="M273" s="3">
        <f>IF(E273="","","Penyusutan "&amp;E273&amp;" periode "&amp;C273)</f>
        <v/>
      </c>
    </row>
    <row r="274">
      <c r="A274" s="3">
        <f>IF(Penyusutan!D274="","","JRN-"&amp;TEXT(ROW()-1,"0000"))</f>
        <v/>
      </c>
      <c r="B274" s="4" t="n">
        <v>46022</v>
      </c>
      <c r="C274" s="3">
        <f>Penyusutan!B274</f>
        <v/>
      </c>
      <c r="D274" s="3">
        <f>Penyusutan!C274</f>
        <v/>
      </c>
      <c r="E274" s="3">
        <f>Penyusutan!D274</f>
        <v/>
      </c>
      <c r="F274" s="3" t="inlineStr">
        <is>
          <t>Inventaris Ruangan</t>
        </is>
      </c>
      <c r="G274" s="3" t="inlineStr"/>
      <c r="H274" s="3" t="inlineStr">
        <is>
          <t>Beban Penyusutan Inventaris Ruangan</t>
        </is>
      </c>
      <c r="I274" s="5">
        <f>Penyusutan!M274</f>
        <v/>
      </c>
      <c r="J274" s="3" t="inlineStr"/>
      <c r="K274" s="3" t="inlineStr">
        <is>
          <t>Akumulasi Penyusutan Inventaris Ruangan</t>
        </is>
      </c>
      <c r="L274" s="5">
        <f>Penyusutan!M274</f>
        <v/>
      </c>
      <c r="M274" s="3">
        <f>IF(E274="","","Penyusutan "&amp;E274&amp;" periode "&amp;C274)</f>
        <v/>
      </c>
    </row>
    <row r="275">
      <c r="A275" s="3">
        <f>IF(Penyusutan!D275="","","JRN-"&amp;TEXT(ROW()-1,"0000"))</f>
        <v/>
      </c>
      <c r="B275" s="4" t="n">
        <v>46022</v>
      </c>
      <c r="C275" s="3">
        <f>Penyusutan!B275</f>
        <v/>
      </c>
      <c r="D275" s="3">
        <f>Penyusutan!C275</f>
        <v/>
      </c>
      <c r="E275" s="3">
        <f>Penyusutan!D275</f>
        <v/>
      </c>
      <c r="F275" s="3" t="inlineStr">
        <is>
          <t>Inventaris Ruangan</t>
        </is>
      </c>
      <c r="G275" s="3" t="inlineStr"/>
      <c r="H275" s="3" t="inlineStr">
        <is>
          <t>Beban Penyusutan Inventaris Ruangan</t>
        </is>
      </c>
      <c r="I275" s="5">
        <f>Penyusutan!M275</f>
        <v/>
      </c>
      <c r="J275" s="3" t="inlineStr"/>
      <c r="K275" s="3" t="inlineStr">
        <is>
          <t>Akumulasi Penyusutan Inventaris Ruangan</t>
        </is>
      </c>
      <c r="L275" s="5">
        <f>Penyusutan!M275</f>
        <v/>
      </c>
      <c r="M275" s="3">
        <f>IF(E275="","","Penyusutan "&amp;E275&amp;" periode "&amp;C275)</f>
        <v/>
      </c>
    </row>
    <row r="276">
      <c r="A276" s="3">
        <f>IF(Penyusutan!D276="","","JRN-"&amp;TEXT(ROW()-1,"0000"))</f>
        <v/>
      </c>
      <c r="B276" s="4" t="n">
        <v>46022</v>
      </c>
      <c r="C276" s="3">
        <f>Penyusutan!B276</f>
        <v/>
      </c>
      <c r="D276" s="3">
        <f>Penyusutan!C276</f>
        <v/>
      </c>
      <c r="E276" s="3">
        <f>Penyusutan!D276</f>
        <v/>
      </c>
      <c r="F276" s="3" t="inlineStr">
        <is>
          <t>Inventaris Ruangan</t>
        </is>
      </c>
      <c r="G276" s="3" t="inlineStr"/>
      <c r="H276" s="3" t="inlineStr">
        <is>
          <t>Beban Penyusutan Inventaris Ruangan</t>
        </is>
      </c>
      <c r="I276" s="5">
        <f>Penyusutan!M276</f>
        <v/>
      </c>
      <c r="J276" s="3" t="inlineStr"/>
      <c r="K276" s="3" t="inlineStr">
        <is>
          <t>Akumulasi Penyusutan Inventaris Ruangan</t>
        </is>
      </c>
      <c r="L276" s="5">
        <f>Penyusutan!M276</f>
        <v/>
      </c>
      <c r="M276" s="3">
        <f>IF(E276="","","Penyusutan "&amp;E276&amp;" periode "&amp;C276)</f>
        <v/>
      </c>
    </row>
    <row r="277">
      <c r="A277" s="3">
        <f>IF(Penyusutan!D277="","","JRN-"&amp;TEXT(ROW()-1,"0000"))</f>
        <v/>
      </c>
      <c r="B277" s="4" t="n">
        <v>46022</v>
      </c>
      <c r="C277" s="3">
        <f>Penyusutan!B277</f>
        <v/>
      </c>
      <c r="D277" s="3">
        <f>Penyusutan!C277</f>
        <v/>
      </c>
      <c r="E277" s="3">
        <f>Penyusutan!D277</f>
        <v/>
      </c>
      <c r="F277" s="3" t="inlineStr">
        <is>
          <t>Inventaris Ruangan</t>
        </is>
      </c>
      <c r="G277" s="3" t="inlineStr"/>
      <c r="H277" s="3" t="inlineStr">
        <is>
          <t>Beban Penyusutan Inventaris Ruangan</t>
        </is>
      </c>
      <c r="I277" s="5">
        <f>Penyusutan!M277</f>
        <v/>
      </c>
      <c r="J277" s="3" t="inlineStr"/>
      <c r="K277" s="3" t="inlineStr">
        <is>
          <t>Akumulasi Penyusutan Inventaris Ruangan</t>
        </is>
      </c>
      <c r="L277" s="5">
        <f>Penyusutan!M277</f>
        <v/>
      </c>
      <c r="M277" s="3">
        <f>IF(E277="","","Penyusutan "&amp;E277&amp;" periode "&amp;C277)</f>
        <v/>
      </c>
    </row>
    <row r="278">
      <c r="A278" s="3">
        <f>IF(Penyusutan!D278="","","JRN-"&amp;TEXT(ROW()-1,"0000"))</f>
        <v/>
      </c>
      <c r="B278" s="4" t="n">
        <v>46022</v>
      </c>
      <c r="C278" s="3">
        <f>Penyusutan!B278</f>
        <v/>
      </c>
      <c r="D278" s="3">
        <f>Penyusutan!C278</f>
        <v/>
      </c>
      <c r="E278" s="3">
        <f>Penyusutan!D278</f>
        <v/>
      </c>
      <c r="F278" s="3" t="inlineStr">
        <is>
          <t>Inventaris Ruangan</t>
        </is>
      </c>
      <c r="G278" s="3" t="inlineStr"/>
      <c r="H278" s="3" t="inlineStr">
        <is>
          <t>Beban Penyusutan Inventaris Ruangan</t>
        </is>
      </c>
      <c r="I278" s="5">
        <f>Penyusutan!M278</f>
        <v/>
      </c>
      <c r="J278" s="3" t="inlineStr"/>
      <c r="K278" s="3" t="inlineStr">
        <is>
          <t>Akumulasi Penyusutan Inventaris Ruangan</t>
        </is>
      </c>
      <c r="L278" s="5">
        <f>Penyusutan!M278</f>
        <v/>
      </c>
      <c r="M278" s="3">
        <f>IF(E278="","","Penyusutan "&amp;E278&amp;" periode "&amp;C278)</f>
        <v/>
      </c>
    </row>
    <row r="279">
      <c r="A279" s="3">
        <f>IF(Penyusutan!D279="","","JRN-"&amp;TEXT(ROW()-1,"0000"))</f>
        <v/>
      </c>
      <c r="B279" s="4" t="n">
        <v>46022</v>
      </c>
      <c r="C279" s="3">
        <f>Penyusutan!B279</f>
        <v/>
      </c>
      <c r="D279" s="3">
        <f>Penyusutan!C279</f>
        <v/>
      </c>
      <c r="E279" s="3">
        <f>Penyusutan!D279</f>
        <v/>
      </c>
      <c r="F279" s="3" t="inlineStr">
        <is>
          <t>Inventaris Ruangan</t>
        </is>
      </c>
      <c r="G279" s="3" t="inlineStr"/>
      <c r="H279" s="3" t="inlineStr">
        <is>
          <t>Beban Penyusutan Inventaris Ruangan</t>
        </is>
      </c>
      <c r="I279" s="5">
        <f>Penyusutan!M279</f>
        <v/>
      </c>
      <c r="J279" s="3" t="inlineStr"/>
      <c r="K279" s="3" t="inlineStr">
        <is>
          <t>Akumulasi Penyusutan Inventaris Ruangan</t>
        </is>
      </c>
      <c r="L279" s="5">
        <f>Penyusutan!M279</f>
        <v/>
      </c>
      <c r="M279" s="3">
        <f>IF(E279="","","Penyusutan "&amp;E279&amp;" periode "&amp;C279)</f>
        <v/>
      </c>
    </row>
    <row r="280">
      <c r="A280" s="3">
        <f>IF(Penyusutan!D280="","","JRN-"&amp;TEXT(ROW()-1,"0000"))</f>
        <v/>
      </c>
      <c r="B280" s="4" t="n">
        <v>46022</v>
      </c>
      <c r="C280" s="3">
        <f>Penyusutan!B280</f>
        <v/>
      </c>
      <c r="D280" s="3">
        <f>Penyusutan!C280</f>
        <v/>
      </c>
      <c r="E280" s="3">
        <f>Penyusutan!D280</f>
        <v/>
      </c>
      <c r="F280" s="3" t="inlineStr">
        <is>
          <t>Inventaris Ruangan</t>
        </is>
      </c>
      <c r="G280" s="3" t="inlineStr"/>
      <c r="H280" s="3" t="inlineStr">
        <is>
          <t>Beban Penyusutan Inventaris Ruangan</t>
        </is>
      </c>
      <c r="I280" s="5">
        <f>Penyusutan!M280</f>
        <v/>
      </c>
      <c r="J280" s="3" t="inlineStr"/>
      <c r="K280" s="3" t="inlineStr">
        <is>
          <t>Akumulasi Penyusutan Inventaris Ruangan</t>
        </is>
      </c>
      <c r="L280" s="5">
        <f>Penyusutan!M280</f>
        <v/>
      </c>
      <c r="M280" s="3">
        <f>IF(E280="","","Penyusutan "&amp;E280&amp;" periode "&amp;C280)</f>
        <v/>
      </c>
    </row>
    <row r="281">
      <c r="A281" s="3">
        <f>IF(Penyusutan!D281="","","JRN-"&amp;TEXT(ROW()-1,"0000"))</f>
        <v/>
      </c>
      <c r="B281" s="4" t="n">
        <v>46022</v>
      </c>
      <c r="C281" s="3">
        <f>Penyusutan!B281</f>
        <v/>
      </c>
      <c r="D281" s="3">
        <f>Penyusutan!C281</f>
        <v/>
      </c>
      <c r="E281" s="3">
        <f>Penyusutan!D281</f>
        <v/>
      </c>
      <c r="F281" s="3" t="inlineStr">
        <is>
          <t>Inventaris Ruangan</t>
        </is>
      </c>
      <c r="G281" s="3" t="inlineStr"/>
      <c r="H281" s="3" t="inlineStr">
        <is>
          <t>Beban Penyusutan Inventaris Ruangan</t>
        </is>
      </c>
      <c r="I281" s="5">
        <f>Penyusutan!M281</f>
        <v/>
      </c>
      <c r="J281" s="3" t="inlineStr"/>
      <c r="K281" s="3" t="inlineStr">
        <is>
          <t>Akumulasi Penyusutan Inventaris Ruangan</t>
        </is>
      </c>
      <c r="L281" s="5">
        <f>Penyusutan!M281</f>
        <v/>
      </c>
      <c r="M281" s="3">
        <f>IF(E281="","","Penyusutan "&amp;E281&amp;" periode "&amp;C281)</f>
        <v/>
      </c>
    </row>
    <row r="282">
      <c r="A282" s="3">
        <f>IF(Penyusutan!D282="","","JRN-"&amp;TEXT(ROW()-1,"0000"))</f>
        <v/>
      </c>
      <c r="B282" s="4" t="n">
        <v>46022</v>
      </c>
      <c r="C282" s="3">
        <f>Penyusutan!B282</f>
        <v/>
      </c>
      <c r="D282" s="3">
        <f>Penyusutan!C282</f>
        <v/>
      </c>
      <c r="E282" s="3">
        <f>Penyusutan!D282</f>
        <v/>
      </c>
      <c r="F282" s="3" t="inlineStr">
        <is>
          <t>Inventaris Ruangan</t>
        </is>
      </c>
      <c r="G282" s="3" t="inlineStr"/>
      <c r="H282" s="3" t="inlineStr">
        <is>
          <t>Beban Penyusutan Inventaris Ruangan</t>
        </is>
      </c>
      <c r="I282" s="5">
        <f>Penyusutan!M282</f>
        <v/>
      </c>
      <c r="J282" s="3" t="inlineStr"/>
      <c r="K282" s="3" t="inlineStr">
        <is>
          <t>Akumulasi Penyusutan Inventaris Ruangan</t>
        </is>
      </c>
      <c r="L282" s="5">
        <f>Penyusutan!M282</f>
        <v/>
      </c>
      <c r="M282" s="3">
        <f>IF(E282="","","Penyusutan "&amp;E282&amp;" periode "&amp;C282)</f>
        <v/>
      </c>
    </row>
    <row r="283">
      <c r="A283" s="3">
        <f>IF(Penyusutan!D283="","","JRN-"&amp;TEXT(ROW()-1,"0000"))</f>
        <v/>
      </c>
      <c r="B283" s="4" t="n">
        <v>46022</v>
      </c>
      <c r="C283" s="3">
        <f>Penyusutan!B283</f>
        <v/>
      </c>
      <c r="D283" s="3">
        <f>Penyusutan!C283</f>
        <v/>
      </c>
      <c r="E283" s="3">
        <f>Penyusutan!D283</f>
        <v/>
      </c>
      <c r="F283" s="3" t="inlineStr">
        <is>
          <t>Inventaris Ruangan</t>
        </is>
      </c>
      <c r="G283" s="3" t="inlineStr"/>
      <c r="H283" s="3" t="inlineStr">
        <is>
          <t>Beban Penyusutan Inventaris Ruangan</t>
        </is>
      </c>
      <c r="I283" s="5">
        <f>Penyusutan!M283</f>
        <v/>
      </c>
      <c r="J283" s="3" t="inlineStr"/>
      <c r="K283" s="3" t="inlineStr">
        <is>
          <t>Akumulasi Penyusutan Inventaris Ruangan</t>
        </is>
      </c>
      <c r="L283" s="5">
        <f>Penyusutan!M283</f>
        <v/>
      </c>
      <c r="M283" s="3">
        <f>IF(E283="","","Penyusutan "&amp;E283&amp;" periode "&amp;C283)</f>
        <v/>
      </c>
    </row>
    <row r="284">
      <c r="A284" s="3">
        <f>IF(Penyusutan!D284="","","JRN-"&amp;TEXT(ROW()-1,"0000"))</f>
        <v/>
      </c>
      <c r="B284" s="4" t="n">
        <v>46022</v>
      </c>
      <c r="C284" s="3">
        <f>Penyusutan!B284</f>
        <v/>
      </c>
      <c r="D284" s="3">
        <f>Penyusutan!C284</f>
        <v/>
      </c>
      <c r="E284" s="3">
        <f>Penyusutan!D284</f>
        <v/>
      </c>
      <c r="F284" s="3" t="inlineStr">
        <is>
          <t>Inventaris Ruangan</t>
        </is>
      </c>
      <c r="G284" s="3" t="inlineStr"/>
      <c r="H284" s="3" t="inlineStr">
        <is>
          <t>Beban Penyusutan Inventaris Ruangan</t>
        </is>
      </c>
      <c r="I284" s="5">
        <f>Penyusutan!M284</f>
        <v/>
      </c>
      <c r="J284" s="3" t="inlineStr"/>
      <c r="K284" s="3" t="inlineStr">
        <is>
          <t>Akumulasi Penyusutan Inventaris Ruangan</t>
        </is>
      </c>
      <c r="L284" s="5">
        <f>Penyusutan!M284</f>
        <v/>
      </c>
      <c r="M284" s="3">
        <f>IF(E284="","","Penyusutan "&amp;E284&amp;" periode "&amp;C284)</f>
        <v/>
      </c>
    </row>
    <row r="285">
      <c r="A285" s="3">
        <f>IF(Penyusutan!D285="","","JRN-"&amp;TEXT(ROW()-1,"0000"))</f>
        <v/>
      </c>
      <c r="B285" s="4" t="n">
        <v>46022</v>
      </c>
      <c r="C285" s="3">
        <f>Penyusutan!B285</f>
        <v/>
      </c>
      <c r="D285" s="3">
        <f>Penyusutan!C285</f>
        <v/>
      </c>
      <c r="E285" s="3">
        <f>Penyusutan!D285</f>
        <v/>
      </c>
      <c r="F285" s="3" t="inlineStr">
        <is>
          <t>Inventaris Ruangan</t>
        </is>
      </c>
      <c r="G285" s="3" t="inlineStr"/>
      <c r="H285" s="3" t="inlineStr">
        <is>
          <t>Beban Penyusutan Inventaris Ruangan</t>
        </is>
      </c>
      <c r="I285" s="5">
        <f>Penyusutan!M285</f>
        <v/>
      </c>
      <c r="J285" s="3" t="inlineStr"/>
      <c r="K285" s="3" t="inlineStr">
        <is>
          <t>Akumulasi Penyusutan Inventaris Ruangan</t>
        </is>
      </c>
      <c r="L285" s="5">
        <f>Penyusutan!M285</f>
        <v/>
      </c>
      <c r="M285" s="3">
        <f>IF(E285="","","Penyusutan "&amp;E285&amp;" periode "&amp;C285)</f>
        <v/>
      </c>
    </row>
    <row r="286">
      <c r="A286" s="3">
        <f>IF(Penyusutan!D286="","","JRN-"&amp;TEXT(ROW()-1,"0000"))</f>
        <v/>
      </c>
      <c r="B286" s="4" t="n">
        <v>46022</v>
      </c>
      <c r="C286" s="3">
        <f>Penyusutan!B286</f>
        <v/>
      </c>
      <c r="D286" s="3">
        <f>Penyusutan!C286</f>
        <v/>
      </c>
      <c r="E286" s="3">
        <f>Penyusutan!D286</f>
        <v/>
      </c>
      <c r="F286" s="3" t="inlineStr">
        <is>
          <t>Inventaris Ruangan</t>
        </is>
      </c>
      <c r="G286" s="3" t="inlineStr"/>
      <c r="H286" s="3" t="inlineStr">
        <is>
          <t>Beban Penyusutan Inventaris Ruangan</t>
        </is>
      </c>
      <c r="I286" s="5">
        <f>Penyusutan!M286</f>
        <v/>
      </c>
      <c r="J286" s="3" t="inlineStr"/>
      <c r="K286" s="3" t="inlineStr">
        <is>
          <t>Akumulasi Penyusutan Inventaris Ruangan</t>
        </is>
      </c>
      <c r="L286" s="5">
        <f>Penyusutan!M286</f>
        <v/>
      </c>
      <c r="M286" s="3">
        <f>IF(E286="","","Penyusutan "&amp;E286&amp;" periode "&amp;C286)</f>
        <v/>
      </c>
    </row>
    <row r="287">
      <c r="A287" s="3">
        <f>IF(Penyusutan!D287="","","JRN-"&amp;TEXT(ROW()-1,"0000"))</f>
        <v/>
      </c>
      <c r="B287" s="4" t="n">
        <v>46022</v>
      </c>
      <c r="C287" s="3">
        <f>Penyusutan!B287</f>
        <v/>
      </c>
      <c r="D287" s="3">
        <f>Penyusutan!C287</f>
        <v/>
      </c>
      <c r="E287" s="3">
        <f>Penyusutan!D287</f>
        <v/>
      </c>
      <c r="F287" s="3" t="inlineStr">
        <is>
          <t>Inventaris Ruangan</t>
        </is>
      </c>
      <c r="G287" s="3" t="inlineStr"/>
      <c r="H287" s="3" t="inlineStr">
        <is>
          <t>Beban Penyusutan Inventaris Ruangan</t>
        </is>
      </c>
      <c r="I287" s="5">
        <f>Penyusutan!M287</f>
        <v/>
      </c>
      <c r="J287" s="3" t="inlineStr"/>
      <c r="K287" s="3" t="inlineStr">
        <is>
          <t>Akumulasi Penyusutan Inventaris Ruangan</t>
        </is>
      </c>
      <c r="L287" s="5">
        <f>Penyusutan!M287</f>
        <v/>
      </c>
      <c r="M287" s="3">
        <f>IF(E287="","","Penyusutan "&amp;E287&amp;" periode "&amp;C287)</f>
        <v/>
      </c>
    </row>
    <row r="288">
      <c r="A288" s="3">
        <f>IF(Penyusutan!D288="","","JRN-"&amp;TEXT(ROW()-1,"0000"))</f>
        <v/>
      </c>
      <c r="B288" s="4" t="n">
        <v>46022</v>
      </c>
      <c r="C288" s="3">
        <f>Penyusutan!B288</f>
        <v/>
      </c>
      <c r="D288" s="3">
        <f>Penyusutan!C288</f>
        <v/>
      </c>
      <c r="E288" s="3">
        <f>Penyusutan!D288</f>
        <v/>
      </c>
      <c r="F288" s="3" t="inlineStr">
        <is>
          <t>Inventaris Ruangan</t>
        </is>
      </c>
      <c r="G288" s="3" t="inlineStr"/>
      <c r="H288" s="3" t="inlineStr">
        <is>
          <t>Beban Penyusutan Inventaris Ruangan</t>
        </is>
      </c>
      <c r="I288" s="5">
        <f>Penyusutan!M288</f>
        <v/>
      </c>
      <c r="J288" s="3" t="inlineStr"/>
      <c r="K288" s="3" t="inlineStr">
        <is>
          <t>Akumulasi Penyusutan Inventaris Ruangan</t>
        </is>
      </c>
      <c r="L288" s="5">
        <f>Penyusutan!M288</f>
        <v/>
      </c>
      <c r="M288" s="3">
        <f>IF(E288="","","Penyusutan "&amp;E288&amp;" periode "&amp;C288)</f>
        <v/>
      </c>
    </row>
    <row r="289">
      <c r="A289" s="3">
        <f>IF(Penyusutan!D289="","","JRN-"&amp;TEXT(ROW()-1,"0000"))</f>
        <v/>
      </c>
      <c r="B289" s="4" t="n">
        <v>46022</v>
      </c>
      <c r="C289" s="3">
        <f>Penyusutan!B289</f>
        <v/>
      </c>
      <c r="D289" s="3">
        <f>Penyusutan!C289</f>
        <v/>
      </c>
      <c r="E289" s="3">
        <f>Penyusutan!D289</f>
        <v/>
      </c>
      <c r="F289" s="3" t="inlineStr">
        <is>
          <t>Inventaris Ruangan</t>
        </is>
      </c>
      <c r="G289" s="3" t="inlineStr"/>
      <c r="H289" s="3" t="inlineStr">
        <is>
          <t>Beban Penyusutan Inventaris Ruangan</t>
        </is>
      </c>
      <c r="I289" s="5">
        <f>Penyusutan!M289</f>
        <v/>
      </c>
      <c r="J289" s="3" t="inlineStr"/>
      <c r="K289" s="3" t="inlineStr">
        <is>
          <t>Akumulasi Penyusutan Inventaris Ruangan</t>
        </is>
      </c>
      <c r="L289" s="5">
        <f>Penyusutan!M289</f>
        <v/>
      </c>
      <c r="M289" s="3">
        <f>IF(E289="","","Penyusutan "&amp;E289&amp;" periode "&amp;C289)</f>
        <v/>
      </c>
    </row>
    <row r="290">
      <c r="A290" s="3">
        <f>IF(Penyusutan!D290="","","JRN-"&amp;TEXT(ROW()-1,"0000"))</f>
        <v/>
      </c>
      <c r="B290" s="4" t="n">
        <v>46022</v>
      </c>
      <c r="C290" s="3">
        <f>Penyusutan!B290</f>
        <v/>
      </c>
      <c r="D290" s="3">
        <f>Penyusutan!C290</f>
        <v/>
      </c>
      <c r="E290" s="3">
        <f>Penyusutan!D290</f>
        <v/>
      </c>
      <c r="F290" s="3" t="inlineStr">
        <is>
          <t>Inventaris Ruangan</t>
        </is>
      </c>
      <c r="G290" s="3" t="inlineStr"/>
      <c r="H290" s="3" t="inlineStr">
        <is>
          <t>Beban Penyusutan Inventaris Ruangan</t>
        </is>
      </c>
      <c r="I290" s="5">
        <f>Penyusutan!M290</f>
        <v/>
      </c>
      <c r="J290" s="3" t="inlineStr"/>
      <c r="K290" s="3" t="inlineStr">
        <is>
          <t>Akumulasi Penyusutan Inventaris Ruangan</t>
        </is>
      </c>
      <c r="L290" s="5">
        <f>Penyusutan!M290</f>
        <v/>
      </c>
      <c r="M290" s="3">
        <f>IF(E290="","","Penyusutan "&amp;E290&amp;" periode "&amp;C290)</f>
        <v/>
      </c>
    </row>
    <row r="291">
      <c r="A291" s="3">
        <f>IF(Penyusutan!D291="","","JRN-"&amp;TEXT(ROW()-1,"0000"))</f>
        <v/>
      </c>
      <c r="B291" s="4" t="n">
        <v>46022</v>
      </c>
      <c r="C291" s="3">
        <f>Penyusutan!B291</f>
        <v/>
      </c>
      <c r="D291" s="3">
        <f>Penyusutan!C291</f>
        <v/>
      </c>
      <c r="E291" s="3">
        <f>Penyusutan!D291</f>
        <v/>
      </c>
      <c r="F291" s="3" t="inlineStr">
        <is>
          <t>Inventaris Ruangan</t>
        </is>
      </c>
      <c r="G291" s="3" t="inlineStr"/>
      <c r="H291" s="3" t="inlineStr">
        <is>
          <t>Beban Penyusutan Inventaris Ruangan</t>
        </is>
      </c>
      <c r="I291" s="5">
        <f>Penyusutan!M291</f>
        <v/>
      </c>
      <c r="J291" s="3" t="inlineStr"/>
      <c r="K291" s="3" t="inlineStr">
        <is>
          <t>Akumulasi Penyusutan Inventaris Ruangan</t>
        </is>
      </c>
      <c r="L291" s="5">
        <f>Penyusutan!M291</f>
        <v/>
      </c>
      <c r="M291" s="3">
        <f>IF(E291="","","Penyusutan "&amp;E291&amp;" periode "&amp;C291)</f>
        <v/>
      </c>
    </row>
    <row r="292">
      <c r="A292" s="3">
        <f>IF(Penyusutan!D292="","","JRN-"&amp;TEXT(ROW()-1,"0000"))</f>
        <v/>
      </c>
      <c r="B292" s="4" t="n">
        <v>46022</v>
      </c>
      <c r="C292" s="3">
        <f>Penyusutan!B292</f>
        <v/>
      </c>
      <c r="D292" s="3">
        <f>Penyusutan!C292</f>
        <v/>
      </c>
      <c r="E292" s="3">
        <f>Penyusutan!D292</f>
        <v/>
      </c>
      <c r="F292" s="3" t="inlineStr">
        <is>
          <t>Inventaris Ruangan</t>
        </is>
      </c>
      <c r="G292" s="3" t="inlineStr"/>
      <c r="H292" s="3" t="inlineStr">
        <is>
          <t>Beban Penyusutan Inventaris Ruangan</t>
        </is>
      </c>
      <c r="I292" s="5">
        <f>Penyusutan!M292</f>
        <v/>
      </c>
      <c r="J292" s="3" t="inlineStr"/>
      <c r="K292" s="3" t="inlineStr">
        <is>
          <t>Akumulasi Penyusutan Inventaris Ruangan</t>
        </is>
      </c>
      <c r="L292" s="5">
        <f>Penyusutan!M292</f>
        <v/>
      </c>
      <c r="M292" s="3">
        <f>IF(E292="","","Penyusutan "&amp;E292&amp;" periode "&amp;C292)</f>
        <v/>
      </c>
    </row>
    <row r="293">
      <c r="A293" s="3">
        <f>IF(Penyusutan!D293="","","JRN-"&amp;TEXT(ROW()-1,"0000"))</f>
        <v/>
      </c>
      <c r="B293" s="4" t="n">
        <v>46022</v>
      </c>
      <c r="C293" s="3">
        <f>Penyusutan!B293</f>
        <v/>
      </c>
      <c r="D293" s="3">
        <f>Penyusutan!C293</f>
        <v/>
      </c>
      <c r="E293" s="3">
        <f>Penyusutan!D293</f>
        <v/>
      </c>
      <c r="F293" s="3" t="inlineStr">
        <is>
          <t>Inventaris Ruangan</t>
        </is>
      </c>
      <c r="G293" s="3" t="inlineStr"/>
      <c r="H293" s="3" t="inlineStr">
        <is>
          <t>Beban Penyusutan Inventaris Ruangan</t>
        </is>
      </c>
      <c r="I293" s="5">
        <f>Penyusutan!M293</f>
        <v/>
      </c>
      <c r="J293" s="3" t="inlineStr"/>
      <c r="K293" s="3" t="inlineStr">
        <is>
          <t>Akumulasi Penyusutan Inventaris Ruangan</t>
        </is>
      </c>
      <c r="L293" s="5">
        <f>Penyusutan!M293</f>
        <v/>
      </c>
      <c r="M293" s="3">
        <f>IF(E293="","","Penyusutan "&amp;E293&amp;" periode "&amp;C293)</f>
        <v/>
      </c>
    </row>
    <row r="294">
      <c r="A294" s="3">
        <f>IF(Penyusutan!D294="","","JRN-"&amp;TEXT(ROW()-1,"0000"))</f>
        <v/>
      </c>
      <c r="B294" s="4" t="n">
        <v>46022</v>
      </c>
      <c r="C294" s="3">
        <f>Penyusutan!B294</f>
        <v/>
      </c>
      <c r="D294" s="3">
        <f>Penyusutan!C294</f>
        <v/>
      </c>
      <c r="E294" s="3">
        <f>Penyusutan!D294</f>
        <v/>
      </c>
      <c r="F294" s="3" t="inlineStr">
        <is>
          <t>Inventaris Ruangan</t>
        </is>
      </c>
      <c r="G294" s="3" t="inlineStr"/>
      <c r="H294" s="3" t="inlineStr">
        <is>
          <t>Beban Penyusutan Inventaris Ruangan</t>
        </is>
      </c>
      <c r="I294" s="5">
        <f>Penyusutan!M294</f>
        <v/>
      </c>
      <c r="J294" s="3" t="inlineStr"/>
      <c r="K294" s="3" t="inlineStr">
        <is>
          <t>Akumulasi Penyusutan Inventaris Ruangan</t>
        </is>
      </c>
      <c r="L294" s="5">
        <f>Penyusutan!M294</f>
        <v/>
      </c>
      <c r="M294" s="3">
        <f>IF(E294="","","Penyusutan "&amp;E294&amp;" periode "&amp;C294)</f>
        <v/>
      </c>
    </row>
    <row r="295">
      <c r="A295" s="3">
        <f>IF(Penyusutan!D295="","","JRN-"&amp;TEXT(ROW()-1,"0000"))</f>
        <v/>
      </c>
      <c r="B295" s="4" t="n">
        <v>46022</v>
      </c>
      <c r="C295" s="3">
        <f>Penyusutan!B295</f>
        <v/>
      </c>
      <c r="D295" s="3">
        <f>Penyusutan!C295</f>
        <v/>
      </c>
      <c r="E295" s="3">
        <f>Penyusutan!D295</f>
        <v/>
      </c>
      <c r="F295" s="3" t="inlineStr">
        <is>
          <t>Inventaris Ruangan</t>
        </is>
      </c>
      <c r="G295" s="3" t="inlineStr"/>
      <c r="H295" s="3" t="inlineStr">
        <is>
          <t>Beban Penyusutan Inventaris Ruangan</t>
        </is>
      </c>
      <c r="I295" s="5">
        <f>Penyusutan!M295</f>
        <v/>
      </c>
      <c r="J295" s="3" t="inlineStr"/>
      <c r="K295" s="3" t="inlineStr">
        <is>
          <t>Akumulasi Penyusutan Inventaris Ruangan</t>
        </is>
      </c>
      <c r="L295" s="5">
        <f>Penyusutan!M295</f>
        <v/>
      </c>
      <c r="M295" s="3">
        <f>IF(E295="","","Penyusutan "&amp;E295&amp;" periode "&amp;C295)</f>
        <v/>
      </c>
    </row>
    <row r="296">
      <c r="A296" s="3">
        <f>IF(Penyusutan!D296="","","JRN-"&amp;TEXT(ROW()-1,"0000"))</f>
        <v/>
      </c>
      <c r="B296" s="4" t="n">
        <v>46022</v>
      </c>
      <c r="C296" s="3">
        <f>Penyusutan!B296</f>
        <v/>
      </c>
      <c r="D296" s="3">
        <f>Penyusutan!C296</f>
        <v/>
      </c>
      <c r="E296" s="3">
        <f>Penyusutan!D296</f>
        <v/>
      </c>
      <c r="F296" s="3" t="inlineStr">
        <is>
          <t>Inventaris Ruangan</t>
        </is>
      </c>
      <c r="G296" s="3" t="inlineStr"/>
      <c r="H296" s="3" t="inlineStr">
        <is>
          <t>Beban Penyusutan Inventaris Ruangan</t>
        </is>
      </c>
      <c r="I296" s="5">
        <f>Penyusutan!M296</f>
        <v/>
      </c>
      <c r="J296" s="3" t="inlineStr"/>
      <c r="K296" s="3" t="inlineStr">
        <is>
          <t>Akumulasi Penyusutan Inventaris Ruangan</t>
        </is>
      </c>
      <c r="L296" s="5">
        <f>Penyusutan!M296</f>
        <v/>
      </c>
      <c r="M296" s="3">
        <f>IF(E296="","","Penyusutan "&amp;E296&amp;" periode "&amp;C296)</f>
        <v/>
      </c>
    </row>
    <row r="297">
      <c r="A297" s="3">
        <f>IF(Penyusutan!D297="","","JRN-"&amp;TEXT(ROW()-1,"0000"))</f>
        <v/>
      </c>
      <c r="B297" s="4" t="n">
        <v>46022</v>
      </c>
      <c r="C297" s="3">
        <f>Penyusutan!B297</f>
        <v/>
      </c>
      <c r="D297" s="3">
        <f>Penyusutan!C297</f>
        <v/>
      </c>
      <c r="E297" s="3">
        <f>Penyusutan!D297</f>
        <v/>
      </c>
      <c r="F297" s="3" t="inlineStr">
        <is>
          <t>Inventaris Ruangan</t>
        </is>
      </c>
      <c r="G297" s="3" t="inlineStr"/>
      <c r="H297" s="3" t="inlineStr">
        <is>
          <t>Beban Penyusutan Inventaris Ruangan</t>
        </is>
      </c>
      <c r="I297" s="5">
        <f>Penyusutan!M297</f>
        <v/>
      </c>
      <c r="J297" s="3" t="inlineStr"/>
      <c r="K297" s="3" t="inlineStr">
        <is>
          <t>Akumulasi Penyusutan Inventaris Ruangan</t>
        </is>
      </c>
      <c r="L297" s="5">
        <f>Penyusutan!M297</f>
        <v/>
      </c>
      <c r="M297" s="3">
        <f>IF(E297="","","Penyusutan "&amp;E297&amp;" periode "&amp;C297)</f>
        <v/>
      </c>
    </row>
    <row r="298">
      <c r="A298" s="3">
        <f>IF(Penyusutan!D298="","","JRN-"&amp;TEXT(ROW()-1,"0000"))</f>
        <v/>
      </c>
      <c r="B298" s="4" t="n">
        <v>46022</v>
      </c>
      <c r="C298" s="3">
        <f>Penyusutan!B298</f>
        <v/>
      </c>
      <c r="D298" s="3">
        <f>Penyusutan!C298</f>
        <v/>
      </c>
      <c r="E298" s="3">
        <f>Penyusutan!D298</f>
        <v/>
      </c>
      <c r="F298" s="3" t="inlineStr">
        <is>
          <t>Inventaris Ruangan</t>
        </is>
      </c>
      <c r="G298" s="3" t="inlineStr"/>
      <c r="H298" s="3" t="inlineStr">
        <is>
          <t>Beban Penyusutan Inventaris Ruangan</t>
        </is>
      </c>
      <c r="I298" s="5">
        <f>Penyusutan!M298</f>
        <v/>
      </c>
      <c r="J298" s="3" t="inlineStr"/>
      <c r="K298" s="3" t="inlineStr">
        <is>
          <t>Akumulasi Penyusutan Inventaris Ruangan</t>
        </is>
      </c>
      <c r="L298" s="5">
        <f>Penyusutan!M298</f>
        <v/>
      </c>
      <c r="M298" s="3">
        <f>IF(E298="","","Penyusutan "&amp;E298&amp;" periode "&amp;C298)</f>
        <v/>
      </c>
    </row>
    <row r="299">
      <c r="A299" s="3">
        <f>IF(Penyusutan!D299="","","JRN-"&amp;TEXT(ROW()-1,"0000"))</f>
        <v/>
      </c>
      <c r="B299" s="4" t="n">
        <v>46022</v>
      </c>
      <c r="C299" s="3">
        <f>Penyusutan!B299</f>
        <v/>
      </c>
      <c r="D299" s="3">
        <f>Penyusutan!C299</f>
        <v/>
      </c>
      <c r="E299" s="3">
        <f>Penyusutan!D299</f>
        <v/>
      </c>
      <c r="F299" s="3" t="inlineStr">
        <is>
          <t>Inventaris Ruangan</t>
        </is>
      </c>
      <c r="G299" s="3" t="inlineStr"/>
      <c r="H299" s="3" t="inlineStr">
        <is>
          <t>Beban Penyusutan Inventaris Ruangan</t>
        </is>
      </c>
      <c r="I299" s="5">
        <f>Penyusutan!M299</f>
        <v/>
      </c>
      <c r="J299" s="3" t="inlineStr"/>
      <c r="K299" s="3" t="inlineStr">
        <is>
          <t>Akumulasi Penyusutan Inventaris Ruangan</t>
        </is>
      </c>
      <c r="L299" s="5">
        <f>Penyusutan!M299</f>
        <v/>
      </c>
      <c r="M299" s="3">
        <f>IF(E299="","","Penyusutan "&amp;E299&amp;" periode "&amp;C299)</f>
        <v/>
      </c>
    </row>
    <row r="300">
      <c r="A300" s="3">
        <f>IF(Penyusutan!D300="","","JRN-"&amp;TEXT(ROW()-1,"0000"))</f>
        <v/>
      </c>
      <c r="B300" s="4" t="n">
        <v>46022</v>
      </c>
      <c r="C300" s="3">
        <f>Penyusutan!B300</f>
        <v/>
      </c>
      <c r="D300" s="3">
        <f>Penyusutan!C300</f>
        <v/>
      </c>
      <c r="E300" s="3">
        <f>Penyusutan!D300</f>
        <v/>
      </c>
      <c r="F300" s="3" t="inlineStr">
        <is>
          <t>Inventaris Ruangan</t>
        </is>
      </c>
      <c r="G300" s="3" t="inlineStr"/>
      <c r="H300" s="3" t="inlineStr">
        <is>
          <t>Beban Penyusutan Inventaris Ruangan</t>
        </is>
      </c>
      <c r="I300" s="5">
        <f>Penyusutan!M300</f>
        <v/>
      </c>
      <c r="J300" s="3" t="inlineStr"/>
      <c r="K300" s="3" t="inlineStr">
        <is>
          <t>Akumulasi Penyusutan Inventaris Ruangan</t>
        </is>
      </c>
      <c r="L300" s="5">
        <f>Penyusutan!M300</f>
        <v/>
      </c>
      <c r="M300" s="3">
        <f>IF(E300="","","Penyusutan "&amp;E300&amp;" periode "&amp;C300)</f>
        <v/>
      </c>
    </row>
    <row r="301">
      <c r="A301" s="3">
        <f>IF(Penyusutan!D301="","","JRN-"&amp;TEXT(ROW()-1,"0000"))</f>
        <v/>
      </c>
      <c r="B301" s="4" t="n">
        <v>46022</v>
      </c>
      <c r="C301" s="3">
        <f>Penyusutan!B301</f>
        <v/>
      </c>
      <c r="D301" s="3">
        <f>Penyusutan!C301</f>
        <v/>
      </c>
      <c r="E301" s="3">
        <f>Penyusutan!D301</f>
        <v/>
      </c>
      <c r="F301" s="3" t="inlineStr">
        <is>
          <t>Inventaris Ruangan</t>
        </is>
      </c>
      <c r="G301" s="3" t="inlineStr"/>
      <c r="H301" s="3" t="inlineStr">
        <is>
          <t>Beban Penyusutan Inventaris Ruangan</t>
        </is>
      </c>
      <c r="I301" s="5">
        <f>Penyusutan!M301</f>
        <v/>
      </c>
      <c r="J301" s="3" t="inlineStr"/>
      <c r="K301" s="3" t="inlineStr">
        <is>
          <t>Akumulasi Penyusutan Inventaris Ruangan</t>
        </is>
      </c>
      <c r="L301" s="5">
        <f>Penyusutan!M301</f>
        <v/>
      </c>
      <c r="M301" s="3">
        <f>IF(E301="","","Penyusutan "&amp;E301&amp;" periode "&amp;C301)</f>
        <v/>
      </c>
    </row>
    <row r="302">
      <c r="A302" s="3">
        <f>IF(Penyusutan!D302="","","JRN-"&amp;TEXT(ROW()-1,"0000"))</f>
        <v/>
      </c>
      <c r="B302" s="4" t="n">
        <v>46022</v>
      </c>
      <c r="C302" s="3">
        <f>Penyusutan!B302</f>
        <v/>
      </c>
      <c r="D302" s="3">
        <f>Penyusutan!C302</f>
        <v/>
      </c>
      <c r="E302" s="3">
        <f>Penyusutan!D302</f>
        <v/>
      </c>
      <c r="F302" s="3" t="inlineStr">
        <is>
          <t>Inventaris Ruangan</t>
        </is>
      </c>
      <c r="G302" s="3" t="inlineStr"/>
      <c r="H302" s="3" t="inlineStr">
        <is>
          <t>Beban Penyusutan Inventaris Ruangan</t>
        </is>
      </c>
      <c r="I302" s="5">
        <f>Penyusutan!M302</f>
        <v/>
      </c>
      <c r="J302" s="3" t="inlineStr"/>
      <c r="K302" s="3" t="inlineStr">
        <is>
          <t>Akumulasi Penyusutan Inventaris Ruangan</t>
        </is>
      </c>
      <c r="L302" s="5">
        <f>Penyusutan!M302</f>
        <v/>
      </c>
      <c r="M302" s="3">
        <f>IF(E302="","","Penyusutan "&amp;E302&amp;" periode "&amp;C302)</f>
        <v/>
      </c>
    </row>
    <row r="303">
      <c r="A303" s="3">
        <f>IF(Penyusutan!D303="","","JRN-"&amp;TEXT(ROW()-1,"0000"))</f>
        <v/>
      </c>
      <c r="B303" s="4" t="n">
        <v>46022</v>
      </c>
      <c r="C303" s="3">
        <f>Penyusutan!B303</f>
        <v/>
      </c>
      <c r="D303" s="3">
        <f>Penyusutan!C303</f>
        <v/>
      </c>
      <c r="E303" s="3">
        <f>Penyusutan!D303</f>
        <v/>
      </c>
      <c r="F303" s="3" t="inlineStr">
        <is>
          <t>Inventaris Ruangan</t>
        </is>
      </c>
      <c r="G303" s="3" t="inlineStr"/>
      <c r="H303" s="3" t="inlineStr">
        <is>
          <t>Beban Penyusutan Inventaris Ruangan</t>
        </is>
      </c>
      <c r="I303" s="5">
        <f>Penyusutan!M303</f>
        <v/>
      </c>
      <c r="J303" s="3" t="inlineStr"/>
      <c r="K303" s="3" t="inlineStr">
        <is>
          <t>Akumulasi Penyusutan Inventaris Ruangan</t>
        </is>
      </c>
      <c r="L303" s="5">
        <f>Penyusutan!M303</f>
        <v/>
      </c>
      <c r="M303" s="3">
        <f>IF(E303="","","Penyusutan "&amp;E303&amp;" periode "&amp;C303)</f>
        <v/>
      </c>
    </row>
    <row r="304">
      <c r="A304" s="3">
        <f>IF(Penyusutan!D304="","","JRN-"&amp;TEXT(ROW()-1,"0000"))</f>
        <v/>
      </c>
      <c r="B304" s="4" t="n">
        <v>46022</v>
      </c>
      <c r="C304" s="3">
        <f>Penyusutan!B304</f>
        <v/>
      </c>
      <c r="D304" s="3">
        <f>Penyusutan!C304</f>
        <v/>
      </c>
      <c r="E304" s="3">
        <f>Penyusutan!D304</f>
        <v/>
      </c>
      <c r="F304" s="3" t="inlineStr">
        <is>
          <t>Inventaris Ruangan</t>
        </is>
      </c>
      <c r="G304" s="3" t="inlineStr"/>
      <c r="H304" s="3" t="inlineStr">
        <is>
          <t>Beban Penyusutan Inventaris Ruangan</t>
        </is>
      </c>
      <c r="I304" s="5">
        <f>Penyusutan!M304</f>
        <v/>
      </c>
      <c r="J304" s="3" t="inlineStr"/>
      <c r="K304" s="3" t="inlineStr">
        <is>
          <t>Akumulasi Penyusutan Inventaris Ruangan</t>
        </is>
      </c>
      <c r="L304" s="5">
        <f>Penyusutan!M304</f>
        <v/>
      </c>
      <c r="M304" s="3">
        <f>IF(E304="","","Penyusutan "&amp;E304&amp;" periode "&amp;C304)</f>
        <v/>
      </c>
    </row>
    <row r="305">
      <c r="A305" s="3">
        <f>IF(Penyusutan!D305="","","JRN-"&amp;TEXT(ROW()-1,"0000"))</f>
        <v/>
      </c>
      <c r="B305" s="4" t="n">
        <v>46022</v>
      </c>
      <c r="C305" s="3">
        <f>Penyusutan!B305</f>
        <v/>
      </c>
      <c r="D305" s="3">
        <f>Penyusutan!C305</f>
        <v/>
      </c>
      <c r="E305" s="3">
        <f>Penyusutan!D305</f>
        <v/>
      </c>
      <c r="F305" s="3" t="inlineStr">
        <is>
          <t>Inventaris Ruangan</t>
        </is>
      </c>
      <c r="G305" s="3" t="inlineStr"/>
      <c r="H305" s="3" t="inlineStr">
        <is>
          <t>Beban Penyusutan Inventaris Ruangan</t>
        </is>
      </c>
      <c r="I305" s="5">
        <f>Penyusutan!M305</f>
        <v/>
      </c>
      <c r="J305" s="3" t="inlineStr"/>
      <c r="K305" s="3" t="inlineStr">
        <is>
          <t>Akumulasi Penyusutan Inventaris Ruangan</t>
        </is>
      </c>
      <c r="L305" s="5">
        <f>Penyusutan!M305</f>
        <v/>
      </c>
      <c r="M305" s="3">
        <f>IF(E305="","","Penyusutan "&amp;E305&amp;" periode "&amp;C305)</f>
        <v/>
      </c>
    </row>
    <row r="306">
      <c r="A306" s="3">
        <f>IF(Penyusutan!D306="","","JRN-"&amp;TEXT(ROW()-1,"0000"))</f>
        <v/>
      </c>
      <c r="B306" s="4" t="n">
        <v>46022</v>
      </c>
      <c r="C306" s="3">
        <f>Penyusutan!B306</f>
        <v/>
      </c>
      <c r="D306" s="3">
        <f>Penyusutan!C306</f>
        <v/>
      </c>
      <c r="E306" s="3">
        <f>Penyusutan!D306</f>
        <v/>
      </c>
      <c r="F306" s="3" t="inlineStr">
        <is>
          <t>Inventaris Ruangan</t>
        </is>
      </c>
      <c r="G306" s="3" t="inlineStr"/>
      <c r="H306" s="3" t="inlineStr">
        <is>
          <t>Beban Penyusutan Inventaris Ruangan</t>
        </is>
      </c>
      <c r="I306" s="5">
        <f>Penyusutan!M306</f>
        <v/>
      </c>
      <c r="J306" s="3" t="inlineStr"/>
      <c r="K306" s="3" t="inlineStr">
        <is>
          <t>Akumulasi Penyusutan Inventaris Ruangan</t>
        </is>
      </c>
      <c r="L306" s="5">
        <f>Penyusutan!M306</f>
        <v/>
      </c>
      <c r="M306" s="3">
        <f>IF(E306="","","Penyusutan "&amp;E306&amp;" periode "&amp;C306)</f>
        <v/>
      </c>
    </row>
    <row r="307">
      <c r="A307" s="3">
        <f>IF(Penyusutan!D307="","","JRN-"&amp;TEXT(ROW()-1,"0000"))</f>
        <v/>
      </c>
      <c r="B307" s="4" t="n">
        <v>46022</v>
      </c>
      <c r="C307" s="3">
        <f>Penyusutan!B307</f>
        <v/>
      </c>
      <c r="D307" s="3">
        <f>Penyusutan!C307</f>
        <v/>
      </c>
      <c r="E307" s="3">
        <f>Penyusutan!D307</f>
        <v/>
      </c>
      <c r="F307" s="3" t="inlineStr">
        <is>
          <t>Inventaris Ruangan</t>
        </is>
      </c>
      <c r="G307" s="3" t="inlineStr"/>
      <c r="H307" s="3" t="inlineStr">
        <is>
          <t>Beban Penyusutan Inventaris Ruangan</t>
        </is>
      </c>
      <c r="I307" s="5">
        <f>Penyusutan!M307</f>
        <v/>
      </c>
      <c r="J307" s="3" t="inlineStr"/>
      <c r="K307" s="3" t="inlineStr">
        <is>
          <t>Akumulasi Penyusutan Inventaris Ruangan</t>
        </is>
      </c>
      <c r="L307" s="5">
        <f>Penyusutan!M307</f>
        <v/>
      </c>
      <c r="M307" s="3">
        <f>IF(E307="","","Penyusutan "&amp;E307&amp;" periode "&amp;C307)</f>
        <v/>
      </c>
    </row>
    <row r="308">
      <c r="A308" s="3">
        <f>IF(Penyusutan!D308="","","JRN-"&amp;TEXT(ROW()-1,"0000"))</f>
        <v/>
      </c>
      <c r="B308" s="4" t="n">
        <v>46022</v>
      </c>
      <c r="C308" s="3">
        <f>Penyusutan!B308</f>
        <v/>
      </c>
      <c r="D308" s="3">
        <f>Penyusutan!C308</f>
        <v/>
      </c>
      <c r="E308" s="3">
        <f>Penyusutan!D308</f>
        <v/>
      </c>
      <c r="F308" s="3" t="inlineStr">
        <is>
          <t>Inventaris Ruangan</t>
        </is>
      </c>
      <c r="G308" s="3" t="inlineStr"/>
      <c r="H308" s="3" t="inlineStr">
        <is>
          <t>Beban Penyusutan Inventaris Ruangan</t>
        </is>
      </c>
      <c r="I308" s="5">
        <f>Penyusutan!M308</f>
        <v/>
      </c>
      <c r="J308" s="3" t="inlineStr"/>
      <c r="K308" s="3" t="inlineStr">
        <is>
          <t>Akumulasi Penyusutan Inventaris Ruangan</t>
        </is>
      </c>
      <c r="L308" s="5">
        <f>Penyusutan!M308</f>
        <v/>
      </c>
      <c r="M308" s="3">
        <f>IF(E308="","","Penyusutan "&amp;E308&amp;" periode "&amp;C308)</f>
        <v/>
      </c>
    </row>
    <row r="309">
      <c r="A309" s="3">
        <f>IF(Penyusutan!D309="","","JRN-"&amp;TEXT(ROW()-1,"0000"))</f>
        <v/>
      </c>
      <c r="B309" s="4" t="n">
        <v>46022</v>
      </c>
      <c r="C309" s="3">
        <f>Penyusutan!B309</f>
        <v/>
      </c>
      <c r="D309" s="3">
        <f>Penyusutan!C309</f>
        <v/>
      </c>
      <c r="E309" s="3">
        <f>Penyusutan!D309</f>
        <v/>
      </c>
      <c r="F309" s="3" t="inlineStr">
        <is>
          <t>Inventaris Ruangan</t>
        </is>
      </c>
      <c r="G309" s="3" t="inlineStr"/>
      <c r="H309" s="3" t="inlineStr">
        <is>
          <t>Beban Penyusutan Inventaris Ruangan</t>
        </is>
      </c>
      <c r="I309" s="5">
        <f>Penyusutan!M309</f>
        <v/>
      </c>
      <c r="J309" s="3" t="inlineStr"/>
      <c r="K309" s="3" t="inlineStr">
        <is>
          <t>Akumulasi Penyusutan Inventaris Ruangan</t>
        </is>
      </c>
      <c r="L309" s="5">
        <f>Penyusutan!M309</f>
        <v/>
      </c>
      <c r="M309" s="3">
        <f>IF(E309="","","Penyusutan "&amp;E309&amp;" periode "&amp;C309)</f>
        <v/>
      </c>
    </row>
    <row r="310">
      <c r="A310" s="3">
        <f>IF(Penyusutan!D310="","","JRN-"&amp;TEXT(ROW()-1,"0000"))</f>
        <v/>
      </c>
      <c r="B310" s="4" t="n">
        <v>46022</v>
      </c>
      <c r="C310" s="3">
        <f>Penyusutan!B310</f>
        <v/>
      </c>
      <c r="D310" s="3">
        <f>Penyusutan!C310</f>
        <v/>
      </c>
      <c r="E310" s="3">
        <f>Penyusutan!D310</f>
        <v/>
      </c>
      <c r="F310" s="3" t="inlineStr">
        <is>
          <t>Inventaris Ruangan</t>
        </is>
      </c>
      <c r="G310" s="3" t="inlineStr"/>
      <c r="H310" s="3" t="inlineStr">
        <is>
          <t>Beban Penyusutan Inventaris Ruangan</t>
        </is>
      </c>
      <c r="I310" s="5">
        <f>Penyusutan!M310</f>
        <v/>
      </c>
      <c r="J310" s="3" t="inlineStr"/>
      <c r="K310" s="3" t="inlineStr">
        <is>
          <t>Akumulasi Penyusutan Inventaris Ruangan</t>
        </is>
      </c>
      <c r="L310" s="5">
        <f>Penyusutan!M310</f>
        <v/>
      </c>
      <c r="M310" s="3">
        <f>IF(E310="","","Penyusutan "&amp;E310&amp;" periode "&amp;C310)</f>
        <v/>
      </c>
    </row>
    <row r="311">
      <c r="A311" s="3">
        <f>IF(Penyusutan!D311="","","JRN-"&amp;TEXT(ROW()-1,"0000"))</f>
        <v/>
      </c>
      <c r="B311" s="4" t="n">
        <v>46022</v>
      </c>
      <c r="C311" s="3">
        <f>Penyusutan!B311</f>
        <v/>
      </c>
      <c r="D311" s="3">
        <f>Penyusutan!C311</f>
        <v/>
      </c>
      <c r="E311" s="3">
        <f>Penyusutan!D311</f>
        <v/>
      </c>
      <c r="F311" s="3" t="inlineStr">
        <is>
          <t>Inventaris Ruangan</t>
        </is>
      </c>
      <c r="G311" s="3" t="inlineStr"/>
      <c r="H311" s="3" t="inlineStr">
        <is>
          <t>Beban Penyusutan Inventaris Ruangan</t>
        </is>
      </c>
      <c r="I311" s="5">
        <f>Penyusutan!M311</f>
        <v/>
      </c>
      <c r="J311" s="3" t="inlineStr"/>
      <c r="K311" s="3" t="inlineStr">
        <is>
          <t>Akumulasi Penyusutan Inventaris Ruangan</t>
        </is>
      </c>
      <c r="L311" s="5">
        <f>Penyusutan!M311</f>
        <v/>
      </c>
      <c r="M311" s="3">
        <f>IF(E311="","","Penyusutan "&amp;E311&amp;" periode "&amp;C311)</f>
        <v/>
      </c>
    </row>
    <row r="312">
      <c r="A312" s="3">
        <f>IF(Penyusutan!D312="","","JRN-"&amp;TEXT(ROW()-1,"0000"))</f>
        <v/>
      </c>
      <c r="B312" s="4" t="n">
        <v>46022</v>
      </c>
      <c r="C312" s="3">
        <f>Penyusutan!B312</f>
        <v/>
      </c>
      <c r="D312" s="3">
        <f>Penyusutan!C312</f>
        <v/>
      </c>
      <c r="E312" s="3">
        <f>Penyusutan!D312</f>
        <v/>
      </c>
      <c r="F312" s="3" t="inlineStr">
        <is>
          <t>Inventaris Ruangan</t>
        </is>
      </c>
      <c r="G312" s="3" t="inlineStr"/>
      <c r="H312" s="3" t="inlineStr">
        <is>
          <t>Beban Penyusutan Inventaris Ruangan</t>
        </is>
      </c>
      <c r="I312" s="5">
        <f>Penyusutan!M312</f>
        <v/>
      </c>
      <c r="J312" s="3" t="inlineStr"/>
      <c r="K312" s="3" t="inlineStr">
        <is>
          <t>Akumulasi Penyusutan Inventaris Ruangan</t>
        </is>
      </c>
      <c r="L312" s="5">
        <f>Penyusutan!M312</f>
        <v/>
      </c>
      <c r="M312" s="3">
        <f>IF(E312="","","Penyusutan "&amp;E312&amp;" periode "&amp;C312)</f>
        <v/>
      </c>
    </row>
    <row r="313">
      <c r="A313" s="3">
        <f>IF(Penyusutan!D313="","","JRN-"&amp;TEXT(ROW()-1,"0000"))</f>
        <v/>
      </c>
      <c r="B313" s="4" t="n">
        <v>46022</v>
      </c>
      <c r="C313" s="3">
        <f>Penyusutan!B313</f>
        <v/>
      </c>
      <c r="D313" s="3">
        <f>Penyusutan!C313</f>
        <v/>
      </c>
      <c r="E313" s="3">
        <f>Penyusutan!D313</f>
        <v/>
      </c>
      <c r="F313" s="3" t="inlineStr">
        <is>
          <t>Inventaris Ruangan</t>
        </is>
      </c>
      <c r="G313" s="3" t="inlineStr"/>
      <c r="H313" s="3" t="inlineStr">
        <is>
          <t>Beban Penyusutan Inventaris Ruangan</t>
        </is>
      </c>
      <c r="I313" s="5">
        <f>Penyusutan!M313</f>
        <v/>
      </c>
      <c r="J313" s="3" t="inlineStr"/>
      <c r="K313" s="3" t="inlineStr">
        <is>
          <t>Akumulasi Penyusutan Inventaris Ruangan</t>
        </is>
      </c>
      <c r="L313" s="5">
        <f>Penyusutan!M313</f>
        <v/>
      </c>
      <c r="M313" s="3">
        <f>IF(E313="","","Penyusutan "&amp;E313&amp;" periode "&amp;C313)</f>
        <v/>
      </c>
    </row>
    <row r="314">
      <c r="A314" s="3">
        <f>IF(Penyusutan!D314="","","JRN-"&amp;TEXT(ROW()-1,"0000"))</f>
        <v/>
      </c>
      <c r="B314" s="4" t="n">
        <v>46022</v>
      </c>
      <c r="C314" s="3">
        <f>Penyusutan!B314</f>
        <v/>
      </c>
      <c r="D314" s="3">
        <f>Penyusutan!C314</f>
        <v/>
      </c>
      <c r="E314" s="3">
        <f>Penyusutan!D314</f>
        <v/>
      </c>
      <c r="F314" s="3" t="inlineStr">
        <is>
          <t>Inventaris Ruangan</t>
        </is>
      </c>
      <c r="G314" s="3" t="inlineStr"/>
      <c r="H314" s="3" t="inlineStr">
        <is>
          <t>Beban Penyusutan Inventaris Ruangan</t>
        </is>
      </c>
      <c r="I314" s="5">
        <f>Penyusutan!M314</f>
        <v/>
      </c>
      <c r="J314" s="3" t="inlineStr"/>
      <c r="K314" s="3" t="inlineStr">
        <is>
          <t>Akumulasi Penyusutan Inventaris Ruangan</t>
        </is>
      </c>
      <c r="L314" s="5">
        <f>Penyusutan!M314</f>
        <v/>
      </c>
      <c r="M314" s="3">
        <f>IF(E314="","","Penyusutan "&amp;E314&amp;" periode "&amp;C314)</f>
        <v/>
      </c>
    </row>
    <row r="315">
      <c r="A315" s="3">
        <f>IF(Penyusutan!D315="","","JRN-"&amp;TEXT(ROW()-1,"0000"))</f>
        <v/>
      </c>
      <c r="B315" s="4" t="n">
        <v>46022</v>
      </c>
      <c r="C315" s="3">
        <f>Penyusutan!B315</f>
        <v/>
      </c>
      <c r="D315" s="3">
        <f>Penyusutan!C315</f>
        <v/>
      </c>
      <c r="E315" s="3">
        <f>Penyusutan!D315</f>
        <v/>
      </c>
      <c r="F315" s="3" t="inlineStr">
        <is>
          <t>Inventaris Ruangan</t>
        </is>
      </c>
      <c r="G315" s="3" t="inlineStr"/>
      <c r="H315" s="3" t="inlineStr">
        <is>
          <t>Beban Penyusutan Inventaris Ruangan</t>
        </is>
      </c>
      <c r="I315" s="5">
        <f>Penyusutan!M315</f>
        <v/>
      </c>
      <c r="J315" s="3" t="inlineStr"/>
      <c r="K315" s="3" t="inlineStr">
        <is>
          <t>Akumulasi Penyusutan Inventaris Ruangan</t>
        </is>
      </c>
      <c r="L315" s="5">
        <f>Penyusutan!M315</f>
        <v/>
      </c>
      <c r="M315" s="3">
        <f>IF(E315="","","Penyusutan "&amp;E315&amp;" periode "&amp;C315)</f>
        <v/>
      </c>
    </row>
    <row r="316">
      <c r="A316" s="3">
        <f>IF(Penyusutan!D316="","","JRN-"&amp;TEXT(ROW()-1,"0000"))</f>
        <v/>
      </c>
      <c r="B316" s="4" t="n">
        <v>46022</v>
      </c>
      <c r="C316" s="3">
        <f>Penyusutan!B316</f>
        <v/>
      </c>
      <c r="D316" s="3">
        <f>Penyusutan!C316</f>
        <v/>
      </c>
      <c r="E316" s="3">
        <f>Penyusutan!D316</f>
        <v/>
      </c>
      <c r="F316" s="3" t="inlineStr">
        <is>
          <t>Inventaris Ruangan</t>
        </is>
      </c>
      <c r="G316" s="3" t="inlineStr"/>
      <c r="H316" s="3" t="inlineStr">
        <is>
          <t>Beban Penyusutan Inventaris Ruangan</t>
        </is>
      </c>
      <c r="I316" s="5">
        <f>Penyusutan!M316</f>
        <v/>
      </c>
      <c r="J316" s="3" t="inlineStr"/>
      <c r="K316" s="3" t="inlineStr">
        <is>
          <t>Akumulasi Penyusutan Inventaris Ruangan</t>
        </is>
      </c>
      <c r="L316" s="5">
        <f>Penyusutan!M316</f>
        <v/>
      </c>
      <c r="M316" s="3">
        <f>IF(E316="","","Penyusutan "&amp;E316&amp;" periode "&amp;C316)</f>
        <v/>
      </c>
    </row>
    <row r="317">
      <c r="A317" s="3">
        <f>IF(Penyusutan!D317="","","JRN-"&amp;TEXT(ROW()-1,"0000"))</f>
        <v/>
      </c>
      <c r="B317" s="4" t="n">
        <v>46022</v>
      </c>
      <c r="C317" s="3">
        <f>Penyusutan!B317</f>
        <v/>
      </c>
      <c r="D317" s="3">
        <f>Penyusutan!C317</f>
        <v/>
      </c>
      <c r="E317" s="3">
        <f>Penyusutan!D317</f>
        <v/>
      </c>
      <c r="F317" s="3" t="inlineStr">
        <is>
          <t>Inventaris Ruangan</t>
        </is>
      </c>
      <c r="G317" s="3" t="inlineStr"/>
      <c r="H317" s="3" t="inlineStr">
        <is>
          <t>Beban Penyusutan Inventaris Ruangan</t>
        </is>
      </c>
      <c r="I317" s="5">
        <f>Penyusutan!M317</f>
        <v/>
      </c>
      <c r="J317" s="3" t="inlineStr"/>
      <c r="K317" s="3" t="inlineStr">
        <is>
          <t>Akumulasi Penyusutan Inventaris Ruangan</t>
        </is>
      </c>
      <c r="L317" s="5">
        <f>Penyusutan!M317</f>
        <v/>
      </c>
      <c r="M317" s="3">
        <f>IF(E317="","","Penyusutan "&amp;E317&amp;" periode "&amp;C317)</f>
        <v/>
      </c>
    </row>
    <row r="318">
      <c r="A318" s="3">
        <f>IF(Penyusutan!D318="","","JRN-"&amp;TEXT(ROW()-1,"0000"))</f>
        <v/>
      </c>
      <c r="B318" s="4" t="n">
        <v>46022</v>
      </c>
      <c r="C318" s="3">
        <f>Penyusutan!B318</f>
        <v/>
      </c>
      <c r="D318" s="3">
        <f>Penyusutan!C318</f>
        <v/>
      </c>
      <c r="E318" s="3">
        <f>Penyusutan!D318</f>
        <v/>
      </c>
      <c r="F318" s="3" t="inlineStr">
        <is>
          <t>Inventaris Ruangan</t>
        </is>
      </c>
      <c r="G318" s="3" t="inlineStr"/>
      <c r="H318" s="3" t="inlineStr">
        <is>
          <t>Beban Penyusutan Inventaris Ruangan</t>
        </is>
      </c>
      <c r="I318" s="5">
        <f>Penyusutan!M318</f>
        <v/>
      </c>
      <c r="J318" s="3" t="inlineStr"/>
      <c r="K318" s="3" t="inlineStr">
        <is>
          <t>Akumulasi Penyusutan Inventaris Ruangan</t>
        </is>
      </c>
      <c r="L318" s="5">
        <f>Penyusutan!M318</f>
        <v/>
      </c>
      <c r="M318" s="3">
        <f>IF(E318="","","Penyusutan "&amp;E318&amp;" periode "&amp;C318)</f>
        <v/>
      </c>
    </row>
    <row r="319">
      <c r="A319" s="3">
        <f>IF(Penyusutan!D319="","","JRN-"&amp;TEXT(ROW()-1,"0000"))</f>
        <v/>
      </c>
      <c r="B319" s="4" t="n">
        <v>46022</v>
      </c>
      <c r="C319" s="3">
        <f>Penyusutan!B319</f>
        <v/>
      </c>
      <c r="D319" s="3">
        <f>Penyusutan!C319</f>
        <v/>
      </c>
      <c r="E319" s="3">
        <f>Penyusutan!D319</f>
        <v/>
      </c>
      <c r="F319" s="3" t="inlineStr">
        <is>
          <t>Inventaris Ruangan</t>
        </is>
      </c>
      <c r="G319" s="3" t="inlineStr"/>
      <c r="H319" s="3" t="inlineStr">
        <is>
          <t>Beban Penyusutan Inventaris Ruangan</t>
        </is>
      </c>
      <c r="I319" s="5">
        <f>Penyusutan!M319</f>
        <v/>
      </c>
      <c r="J319" s="3" t="inlineStr"/>
      <c r="K319" s="3" t="inlineStr">
        <is>
          <t>Akumulasi Penyusutan Inventaris Ruangan</t>
        </is>
      </c>
      <c r="L319" s="5">
        <f>Penyusutan!M319</f>
        <v/>
      </c>
      <c r="M319" s="3">
        <f>IF(E319="","","Penyusutan "&amp;E319&amp;" periode "&amp;C319)</f>
        <v/>
      </c>
    </row>
    <row r="320">
      <c r="A320" s="3">
        <f>IF(Penyusutan!D320="","","JRN-"&amp;TEXT(ROW()-1,"0000"))</f>
        <v/>
      </c>
      <c r="B320" s="4" t="n">
        <v>46022</v>
      </c>
      <c r="C320" s="3">
        <f>Penyusutan!B320</f>
        <v/>
      </c>
      <c r="D320" s="3">
        <f>Penyusutan!C320</f>
        <v/>
      </c>
      <c r="E320" s="3">
        <f>Penyusutan!D320</f>
        <v/>
      </c>
      <c r="F320" s="3" t="inlineStr">
        <is>
          <t>Inventaris Ruangan</t>
        </is>
      </c>
      <c r="G320" s="3" t="inlineStr"/>
      <c r="H320" s="3" t="inlineStr">
        <is>
          <t>Beban Penyusutan Inventaris Ruangan</t>
        </is>
      </c>
      <c r="I320" s="5">
        <f>Penyusutan!M320</f>
        <v/>
      </c>
      <c r="J320" s="3" t="inlineStr"/>
      <c r="K320" s="3" t="inlineStr">
        <is>
          <t>Akumulasi Penyusutan Inventaris Ruangan</t>
        </is>
      </c>
      <c r="L320" s="5">
        <f>Penyusutan!M320</f>
        <v/>
      </c>
      <c r="M320" s="3">
        <f>IF(E320="","","Penyusutan "&amp;E320&amp;" periode "&amp;C320)</f>
        <v/>
      </c>
    </row>
    <row r="321">
      <c r="A321" s="3">
        <f>IF(Penyusutan!D321="","","JRN-"&amp;TEXT(ROW()-1,"0000"))</f>
        <v/>
      </c>
      <c r="B321" s="4" t="n">
        <v>46022</v>
      </c>
      <c r="C321" s="3">
        <f>Penyusutan!B321</f>
        <v/>
      </c>
      <c r="D321" s="3">
        <f>Penyusutan!C321</f>
        <v/>
      </c>
      <c r="E321" s="3">
        <f>Penyusutan!D321</f>
        <v/>
      </c>
      <c r="F321" s="3" t="inlineStr">
        <is>
          <t>Inventaris Ruangan</t>
        </is>
      </c>
      <c r="G321" s="3" t="inlineStr"/>
      <c r="H321" s="3" t="inlineStr">
        <is>
          <t>Beban Penyusutan Inventaris Ruangan</t>
        </is>
      </c>
      <c r="I321" s="5">
        <f>Penyusutan!M321</f>
        <v/>
      </c>
      <c r="J321" s="3" t="inlineStr"/>
      <c r="K321" s="3" t="inlineStr">
        <is>
          <t>Akumulasi Penyusutan Inventaris Ruangan</t>
        </is>
      </c>
      <c r="L321" s="5">
        <f>Penyusutan!M321</f>
        <v/>
      </c>
      <c r="M321" s="3">
        <f>IF(E321="","","Penyusutan "&amp;E321&amp;" periode "&amp;C321)</f>
        <v/>
      </c>
    </row>
    <row r="322">
      <c r="A322" s="3">
        <f>IF(Penyusutan!D322="","","JRN-"&amp;TEXT(ROW()-1,"0000"))</f>
        <v/>
      </c>
      <c r="B322" s="4" t="n">
        <v>46022</v>
      </c>
      <c r="C322" s="3">
        <f>Penyusutan!B322</f>
        <v/>
      </c>
      <c r="D322" s="3">
        <f>Penyusutan!C322</f>
        <v/>
      </c>
      <c r="E322" s="3">
        <f>Penyusutan!D322</f>
        <v/>
      </c>
      <c r="F322" s="3" t="inlineStr">
        <is>
          <t>Inventaris Ruangan</t>
        </is>
      </c>
      <c r="G322" s="3" t="inlineStr"/>
      <c r="H322" s="3" t="inlineStr">
        <is>
          <t>Beban Penyusutan Inventaris Ruangan</t>
        </is>
      </c>
      <c r="I322" s="5">
        <f>Penyusutan!M322</f>
        <v/>
      </c>
      <c r="J322" s="3" t="inlineStr"/>
      <c r="K322" s="3" t="inlineStr">
        <is>
          <t>Akumulasi Penyusutan Inventaris Ruangan</t>
        </is>
      </c>
      <c r="L322" s="5">
        <f>Penyusutan!M322</f>
        <v/>
      </c>
      <c r="M322" s="3">
        <f>IF(E322="","","Penyusutan "&amp;E322&amp;" periode "&amp;C322)</f>
        <v/>
      </c>
    </row>
    <row r="323">
      <c r="A323" s="3">
        <f>IF(Penyusutan!D323="","","JRN-"&amp;TEXT(ROW()-1,"0000"))</f>
        <v/>
      </c>
      <c r="B323" s="4" t="n">
        <v>46022</v>
      </c>
      <c r="C323" s="3">
        <f>Penyusutan!B323</f>
        <v/>
      </c>
      <c r="D323" s="3">
        <f>Penyusutan!C323</f>
        <v/>
      </c>
      <c r="E323" s="3">
        <f>Penyusutan!D323</f>
        <v/>
      </c>
      <c r="F323" s="3" t="inlineStr">
        <is>
          <t>Inventaris Ruangan</t>
        </is>
      </c>
      <c r="G323" s="3" t="inlineStr"/>
      <c r="H323" s="3" t="inlineStr">
        <is>
          <t>Beban Penyusutan Inventaris Ruangan</t>
        </is>
      </c>
      <c r="I323" s="5">
        <f>Penyusutan!M323</f>
        <v/>
      </c>
      <c r="J323" s="3" t="inlineStr"/>
      <c r="K323" s="3" t="inlineStr">
        <is>
          <t>Akumulasi Penyusutan Inventaris Ruangan</t>
        </is>
      </c>
      <c r="L323" s="5">
        <f>Penyusutan!M323</f>
        <v/>
      </c>
      <c r="M323" s="3">
        <f>IF(E323="","","Penyusutan "&amp;E323&amp;" periode "&amp;C323)</f>
        <v/>
      </c>
    </row>
    <row r="324">
      <c r="A324" s="3">
        <f>IF(Penyusutan!D324="","","JRN-"&amp;TEXT(ROW()-1,"0000"))</f>
        <v/>
      </c>
      <c r="B324" s="4" t="n">
        <v>46022</v>
      </c>
      <c r="C324" s="3">
        <f>Penyusutan!B324</f>
        <v/>
      </c>
      <c r="D324" s="3">
        <f>Penyusutan!C324</f>
        <v/>
      </c>
      <c r="E324" s="3">
        <f>Penyusutan!D324</f>
        <v/>
      </c>
      <c r="F324" s="3" t="inlineStr">
        <is>
          <t>Inventaris Ruangan</t>
        </is>
      </c>
      <c r="G324" s="3" t="inlineStr"/>
      <c r="H324" s="3" t="inlineStr">
        <is>
          <t>Beban Penyusutan Inventaris Ruangan</t>
        </is>
      </c>
      <c r="I324" s="5">
        <f>Penyusutan!M324</f>
        <v/>
      </c>
      <c r="J324" s="3" t="inlineStr"/>
      <c r="K324" s="3" t="inlineStr">
        <is>
          <t>Akumulasi Penyusutan Inventaris Ruangan</t>
        </is>
      </c>
      <c r="L324" s="5">
        <f>Penyusutan!M324</f>
        <v/>
      </c>
      <c r="M324" s="3">
        <f>IF(E324="","","Penyusutan "&amp;E324&amp;" periode "&amp;C324)</f>
        <v/>
      </c>
    </row>
    <row r="325">
      <c r="A325" s="3">
        <f>IF(Penyusutan!D325="","","JRN-"&amp;TEXT(ROW()-1,"0000"))</f>
        <v/>
      </c>
      <c r="B325" s="4" t="n">
        <v>46022</v>
      </c>
      <c r="C325" s="3">
        <f>Penyusutan!B325</f>
        <v/>
      </c>
      <c r="D325" s="3">
        <f>Penyusutan!C325</f>
        <v/>
      </c>
      <c r="E325" s="3">
        <f>Penyusutan!D325</f>
        <v/>
      </c>
      <c r="F325" s="3" t="inlineStr">
        <is>
          <t>Inventaris Ruangan</t>
        </is>
      </c>
      <c r="G325" s="3" t="inlineStr"/>
      <c r="H325" s="3" t="inlineStr">
        <is>
          <t>Beban Penyusutan Inventaris Ruangan</t>
        </is>
      </c>
      <c r="I325" s="5">
        <f>Penyusutan!M325</f>
        <v/>
      </c>
      <c r="J325" s="3" t="inlineStr"/>
      <c r="K325" s="3" t="inlineStr">
        <is>
          <t>Akumulasi Penyusutan Inventaris Ruangan</t>
        </is>
      </c>
      <c r="L325" s="5">
        <f>Penyusutan!M325</f>
        <v/>
      </c>
      <c r="M325" s="3">
        <f>IF(E325="","","Penyusutan "&amp;E325&amp;" periode "&amp;C325)</f>
        <v/>
      </c>
    </row>
    <row r="326">
      <c r="A326" s="3">
        <f>IF(Penyusutan!D326="","","JRN-"&amp;TEXT(ROW()-1,"0000"))</f>
        <v/>
      </c>
      <c r="B326" s="4" t="n">
        <v>46022</v>
      </c>
      <c r="C326" s="3">
        <f>Penyusutan!B326</f>
        <v/>
      </c>
      <c r="D326" s="3">
        <f>Penyusutan!C326</f>
        <v/>
      </c>
      <c r="E326" s="3">
        <f>Penyusutan!D326</f>
        <v/>
      </c>
      <c r="F326" s="3" t="inlineStr">
        <is>
          <t>Inventaris Ruangan</t>
        </is>
      </c>
      <c r="G326" s="3" t="inlineStr"/>
      <c r="H326" s="3" t="inlineStr">
        <is>
          <t>Beban Penyusutan Inventaris Ruangan</t>
        </is>
      </c>
      <c r="I326" s="5">
        <f>Penyusutan!M326</f>
        <v/>
      </c>
      <c r="J326" s="3" t="inlineStr"/>
      <c r="K326" s="3" t="inlineStr">
        <is>
          <t>Akumulasi Penyusutan Inventaris Ruangan</t>
        </is>
      </c>
      <c r="L326" s="5">
        <f>Penyusutan!M326</f>
        <v/>
      </c>
      <c r="M326" s="3">
        <f>IF(E326="","","Penyusutan "&amp;E326&amp;" periode "&amp;C326)</f>
        <v/>
      </c>
    </row>
    <row r="327">
      <c r="A327" s="3">
        <f>IF(Penyusutan!D327="","","JRN-"&amp;TEXT(ROW()-1,"0000"))</f>
        <v/>
      </c>
      <c r="B327" s="4" t="n">
        <v>46022</v>
      </c>
      <c r="C327" s="3">
        <f>Penyusutan!B327</f>
        <v/>
      </c>
      <c r="D327" s="3">
        <f>Penyusutan!C327</f>
        <v/>
      </c>
      <c r="E327" s="3">
        <f>Penyusutan!D327</f>
        <v/>
      </c>
      <c r="F327" s="3" t="inlineStr">
        <is>
          <t>Inventaris Ruangan</t>
        </is>
      </c>
      <c r="G327" s="3" t="inlineStr"/>
      <c r="H327" s="3" t="inlineStr">
        <is>
          <t>Beban Penyusutan Inventaris Ruangan</t>
        </is>
      </c>
      <c r="I327" s="5">
        <f>Penyusutan!M327</f>
        <v/>
      </c>
      <c r="J327" s="3" t="inlineStr"/>
      <c r="K327" s="3" t="inlineStr">
        <is>
          <t>Akumulasi Penyusutan Inventaris Ruangan</t>
        </is>
      </c>
      <c r="L327" s="5">
        <f>Penyusutan!M327</f>
        <v/>
      </c>
      <c r="M327" s="3">
        <f>IF(E327="","","Penyusutan "&amp;E327&amp;" periode "&amp;C327)</f>
        <v/>
      </c>
    </row>
    <row r="328">
      <c r="A328" s="3">
        <f>IF(Penyusutan!D328="","","JRN-"&amp;TEXT(ROW()-1,"0000"))</f>
        <v/>
      </c>
      <c r="B328" s="4" t="n">
        <v>46022</v>
      </c>
      <c r="C328" s="3">
        <f>Penyusutan!B328</f>
        <v/>
      </c>
      <c r="D328" s="3">
        <f>Penyusutan!C328</f>
        <v/>
      </c>
      <c r="E328" s="3">
        <f>Penyusutan!D328</f>
        <v/>
      </c>
      <c r="F328" s="3" t="inlineStr">
        <is>
          <t>Inventaris Ruangan</t>
        </is>
      </c>
      <c r="G328" s="3" t="inlineStr"/>
      <c r="H328" s="3" t="inlineStr">
        <is>
          <t>Beban Penyusutan Inventaris Ruangan</t>
        </is>
      </c>
      <c r="I328" s="5">
        <f>Penyusutan!M328</f>
        <v/>
      </c>
      <c r="J328" s="3" t="inlineStr"/>
      <c r="K328" s="3" t="inlineStr">
        <is>
          <t>Akumulasi Penyusutan Inventaris Ruangan</t>
        </is>
      </c>
      <c r="L328" s="5">
        <f>Penyusutan!M328</f>
        <v/>
      </c>
      <c r="M328" s="3">
        <f>IF(E328="","","Penyusutan "&amp;E328&amp;" periode "&amp;C328)</f>
        <v/>
      </c>
    </row>
    <row r="329">
      <c r="A329" s="3">
        <f>IF(Penyusutan!D329="","","JRN-"&amp;TEXT(ROW()-1,"0000"))</f>
        <v/>
      </c>
      <c r="B329" s="4" t="n">
        <v>46022</v>
      </c>
      <c r="C329" s="3">
        <f>Penyusutan!B329</f>
        <v/>
      </c>
      <c r="D329" s="3">
        <f>Penyusutan!C329</f>
        <v/>
      </c>
      <c r="E329" s="3">
        <f>Penyusutan!D329</f>
        <v/>
      </c>
      <c r="F329" s="3" t="inlineStr">
        <is>
          <t>Inventaris Ruangan</t>
        </is>
      </c>
      <c r="G329" s="3" t="inlineStr"/>
      <c r="H329" s="3" t="inlineStr">
        <is>
          <t>Beban Penyusutan Inventaris Ruangan</t>
        </is>
      </c>
      <c r="I329" s="5">
        <f>Penyusutan!M329</f>
        <v/>
      </c>
      <c r="J329" s="3" t="inlineStr"/>
      <c r="K329" s="3" t="inlineStr">
        <is>
          <t>Akumulasi Penyusutan Inventaris Ruangan</t>
        </is>
      </c>
      <c r="L329" s="5">
        <f>Penyusutan!M329</f>
        <v/>
      </c>
      <c r="M329" s="3">
        <f>IF(E329="","","Penyusutan "&amp;E329&amp;" periode "&amp;C329)</f>
        <v/>
      </c>
    </row>
    <row r="330">
      <c r="A330" s="3">
        <f>IF(Penyusutan!D330="","","JRN-"&amp;TEXT(ROW()-1,"0000"))</f>
        <v/>
      </c>
      <c r="B330" s="4" t="n">
        <v>46022</v>
      </c>
      <c r="C330" s="3">
        <f>Penyusutan!B330</f>
        <v/>
      </c>
      <c r="D330" s="3">
        <f>Penyusutan!C330</f>
        <v/>
      </c>
      <c r="E330" s="3">
        <f>Penyusutan!D330</f>
        <v/>
      </c>
      <c r="F330" s="3" t="inlineStr">
        <is>
          <t>Inventaris Ruangan</t>
        </is>
      </c>
      <c r="G330" s="3" t="inlineStr"/>
      <c r="H330" s="3" t="inlineStr">
        <is>
          <t>Beban Penyusutan Inventaris Ruangan</t>
        </is>
      </c>
      <c r="I330" s="5">
        <f>Penyusutan!M330</f>
        <v/>
      </c>
      <c r="J330" s="3" t="inlineStr"/>
      <c r="K330" s="3" t="inlineStr">
        <is>
          <t>Akumulasi Penyusutan Inventaris Ruangan</t>
        </is>
      </c>
      <c r="L330" s="5">
        <f>Penyusutan!M330</f>
        <v/>
      </c>
      <c r="M330" s="3">
        <f>IF(E330="","","Penyusutan "&amp;E330&amp;" periode "&amp;C330)</f>
        <v/>
      </c>
    </row>
    <row r="331">
      <c r="A331" s="3">
        <f>IF(Penyusutan!D331="","","JRN-"&amp;TEXT(ROW()-1,"0000"))</f>
        <v/>
      </c>
      <c r="B331" s="4" t="n">
        <v>46022</v>
      </c>
      <c r="C331" s="3">
        <f>Penyusutan!B331</f>
        <v/>
      </c>
      <c r="D331" s="3">
        <f>Penyusutan!C331</f>
        <v/>
      </c>
      <c r="E331" s="3">
        <f>Penyusutan!D331</f>
        <v/>
      </c>
      <c r="F331" s="3" t="inlineStr">
        <is>
          <t>Inventaris Ruangan</t>
        </is>
      </c>
      <c r="G331" s="3" t="inlineStr"/>
      <c r="H331" s="3" t="inlineStr">
        <is>
          <t>Beban Penyusutan Inventaris Ruangan</t>
        </is>
      </c>
      <c r="I331" s="5">
        <f>Penyusutan!M331</f>
        <v/>
      </c>
      <c r="J331" s="3" t="inlineStr"/>
      <c r="K331" s="3" t="inlineStr">
        <is>
          <t>Akumulasi Penyusutan Inventaris Ruangan</t>
        </is>
      </c>
      <c r="L331" s="5">
        <f>Penyusutan!M331</f>
        <v/>
      </c>
      <c r="M331" s="3">
        <f>IF(E331="","","Penyusutan "&amp;E331&amp;" periode "&amp;C331)</f>
        <v/>
      </c>
    </row>
    <row r="332">
      <c r="A332" s="3">
        <f>IF(Penyusutan!D332="","","JRN-"&amp;TEXT(ROW()-1,"0000"))</f>
        <v/>
      </c>
      <c r="B332" s="4" t="n">
        <v>46022</v>
      </c>
      <c r="C332" s="3">
        <f>Penyusutan!B332</f>
        <v/>
      </c>
      <c r="D332" s="3">
        <f>Penyusutan!C332</f>
        <v/>
      </c>
      <c r="E332" s="3">
        <f>Penyusutan!D332</f>
        <v/>
      </c>
      <c r="F332" s="3" t="inlineStr">
        <is>
          <t>Inventaris Ruangan</t>
        </is>
      </c>
      <c r="G332" s="3" t="inlineStr"/>
      <c r="H332" s="3" t="inlineStr">
        <is>
          <t>Beban Penyusutan Inventaris Ruangan</t>
        </is>
      </c>
      <c r="I332" s="5">
        <f>Penyusutan!M332</f>
        <v/>
      </c>
      <c r="J332" s="3" t="inlineStr"/>
      <c r="K332" s="3" t="inlineStr">
        <is>
          <t>Akumulasi Penyusutan Inventaris Ruangan</t>
        </is>
      </c>
      <c r="L332" s="5">
        <f>Penyusutan!M332</f>
        <v/>
      </c>
      <c r="M332" s="3">
        <f>IF(E332="","","Penyusutan "&amp;E332&amp;" periode "&amp;C332)</f>
        <v/>
      </c>
    </row>
    <row r="333">
      <c r="A333" s="3">
        <f>IF(Penyusutan!D333="","","JRN-"&amp;TEXT(ROW()-1,"0000"))</f>
        <v/>
      </c>
      <c r="B333" s="4" t="n">
        <v>46022</v>
      </c>
      <c r="C333" s="3">
        <f>Penyusutan!B333</f>
        <v/>
      </c>
      <c r="D333" s="3">
        <f>Penyusutan!C333</f>
        <v/>
      </c>
      <c r="E333" s="3">
        <f>Penyusutan!D333</f>
        <v/>
      </c>
      <c r="F333" s="3" t="inlineStr">
        <is>
          <t>Inventaris Ruangan</t>
        </is>
      </c>
      <c r="G333" s="3" t="inlineStr"/>
      <c r="H333" s="3" t="inlineStr">
        <is>
          <t>Beban Penyusutan Inventaris Ruangan</t>
        </is>
      </c>
      <c r="I333" s="5">
        <f>Penyusutan!M333</f>
        <v/>
      </c>
      <c r="J333" s="3" t="inlineStr"/>
      <c r="K333" s="3" t="inlineStr">
        <is>
          <t>Akumulasi Penyusutan Inventaris Ruangan</t>
        </is>
      </c>
      <c r="L333" s="5">
        <f>Penyusutan!M333</f>
        <v/>
      </c>
      <c r="M333" s="3">
        <f>IF(E333="","","Penyusutan "&amp;E333&amp;" periode "&amp;C333)</f>
        <v/>
      </c>
    </row>
    <row r="334">
      <c r="A334" s="3">
        <f>IF(Penyusutan!D334="","","JRN-"&amp;TEXT(ROW()-1,"0000"))</f>
        <v/>
      </c>
      <c r="B334" s="4" t="n">
        <v>46022</v>
      </c>
      <c r="C334" s="3">
        <f>Penyusutan!B334</f>
        <v/>
      </c>
      <c r="D334" s="3">
        <f>Penyusutan!C334</f>
        <v/>
      </c>
      <c r="E334" s="3">
        <f>Penyusutan!D334</f>
        <v/>
      </c>
      <c r="F334" s="3" t="inlineStr">
        <is>
          <t>Inventaris Ruangan</t>
        </is>
      </c>
      <c r="G334" s="3" t="inlineStr"/>
      <c r="H334" s="3" t="inlineStr">
        <is>
          <t>Beban Penyusutan Inventaris Ruangan</t>
        </is>
      </c>
      <c r="I334" s="5">
        <f>Penyusutan!M334</f>
        <v/>
      </c>
      <c r="J334" s="3" t="inlineStr"/>
      <c r="K334" s="3" t="inlineStr">
        <is>
          <t>Akumulasi Penyusutan Inventaris Ruangan</t>
        </is>
      </c>
      <c r="L334" s="5">
        <f>Penyusutan!M334</f>
        <v/>
      </c>
      <c r="M334" s="3">
        <f>IF(E334="","","Penyusutan "&amp;E334&amp;" periode "&amp;C334)</f>
        <v/>
      </c>
    </row>
    <row r="335">
      <c r="A335" s="3">
        <f>IF(Penyusutan!D335="","","JRN-"&amp;TEXT(ROW()-1,"0000"))</f>
        <v/>
      </c>
      <c r="B335" s="4" t="n">
        <v>46022</v>
      </c>
      <c r="C335" s="3">
        <f>Penyusutan!B335</f>
        <v/>
      </c>
      <c r="D335" s="3">
        <f>Penyusutan!C335</f>
        <v/>
      </c>
      <c r="E335" s="3">
        <f>Penyusutan!D335</f>
        <v/>
      </c>
      <c r="F335" s="3" t="inlineStr">
        <is>
          <t>Inventaris Ruangan</t>
        </is>
      </c>
      <c r="G335" s="3" t="inlineStr"/>
      <c r="H335" s="3" t="inlineStr">
        <is>
          <t>Beban Penyusutan Inventaris Ruangan</t>
        </is>
      </c>
      <c r="I335" s="5">
        <f>Penyusutan!M335</f>
        <v/>
      </c>
      <c r="J335" s="3" t="inlineStr"/>
      <c r="K335" s="3" t="inlineStr">
        <is>
          <t>Akumulasi Penyusutan Inventaris Ruangan</t>
        </is>
      </c>
      <c r="L335" s="5">
        <f>Penyusutan!M335</f>
        <v/>
      </c>
      <c r="M335" s="3">
        <f>IF(E335="","","Penyusutan "&amp;E335&amp;" periode "&amp;C335)</f>
        <v/>
      </c>
    </row>
    <row r="336">
      <c r="A336" s="3">
        <f>IF(Penyusutan!D336="","","JRN-"&amp;TEXT(ROW()-1,"0000"))</f>
        <v/>
      </c>
      <c r="B336" s="4" t="n">
        <v>46022</v>
      </c>
      <c r="C336" s="3">
        <f>Penyusutan!B336</f>
        <v/>
      </c>
      <c r="D336" s="3">
        <f>Penyusutan!C336</f>
        <v/>
      </c>
      <c r="E336" s="3">
        <f>Penyusutan!D336</f>
        <v/>
      </c>
      <c r="F336" s="3" t="inlineStr">
        <is>
          <t>Inventaris Ruangan</t>
        </is>
      </c>
      <c r="G336" s="3" t="inlineStr"/>
      <c r="H336" s="3" t="inlineStr">
        <is>
          <t>Beban Penyusutan Inventaris Ruangan</t>
        </is>
      </c>
      <c r="I336" s="5">
        <f>Penyusutan!M336</f>
        <v/>
      </c>
      <c r="J336" s="3" t="inlineStr"/>
      <c r="K336" s="3" t="inlineStr">
        <is>
          <t>Akumulasi Penyusutan Inventaris Ruangan</t>
        </is>
      </c>
      <c r="L336" s="5">
        <f>Penyusutan!M336</f>
        <v/>
      </c>
      <c r="M336" s="3">
        <f>IF(E336="","","Penyusutan "&amp;E336&amp;" periode "&amp;C336)</f>
        <v/>
      </c>
    </row>
    <row r="337">
      <c r="A337" s="3">
        <f>IF(Penyusutan!D337="","","JRN-"&amp;TEXT(ROW()-1,"0000"))</f>
        <v/>
      </c>
      <c r="B337" s="4" t="n">
        <v>46022</v>
      </c>
      <c r="C337" s="3">
        <f>Penyusutan!B337</f>
        <v/>
      </c>
      <c r="D337" s="3">
        <f>Penyusutan!C337</f>
        <v/>
      </c>
      <c r="E337" s="3">
        <f>Penyusutan!D337</f>
        <v/>
      </c>
      <c r="F337" s="3" t="inlineStr">
        <is>
          <t>Inventaris Ruangan</t>
        </is>
      </c>
      <c r="G337" s="3" t="inlineStr"/>
      <c r="H337" s="3" t="inlineStr">
        <is>
          <t>Beban Penyusutan Inventaris Ruangan</t>
        </is>
      </c>
      <c r="I337" s="5">
        <f>Penyusutan!M337</f>
        <v/>
      </c>
      <c r="J337" s="3" t="inlineStr"/>
      <c r="K337" s="3" t="inlineStr">
        <is>
          <t>Akumulasi Penyusutan Inventaris Ruangan</t>
        </is>
      </c>
      <c r="L337" s="5">
        <f>Penyusutan!M337</f>
        <v/>
      </c>
      <c r="M337" s="3">
        <f>IF(E337="","","Penyusutan "&amp;E337&amp;" periode "&amp;C337)</f>
        <v/>
      </c>
    </row>
    <row r="338">
      <c r="A338" s="3">
        <f>IF(Penyusutan!D338="","","JRN-"&amp;TEXT(ROW()-1,"0000"))</f>
        <v/>
      </c>
      <c r="B338" s="4" t="n">
        <v>46022</v>
      </c>
      <c r="C338" s="3">
        <f>Penyusutan!B338</f>
        <v/>
      </c>
      <c r="D338" s="3">
        <f>Penyusutan!C338</f>
        <v/>
      </c>
      <c r="E338" s="3">
        <f>Penyusutan!D338</f>
        <v/>
      </c>
      <c r="F338" s="3" t="inlineStr">
        <is>
          <t>Inventaris Ruangan</t>
        </is>
      </c>
      <c r="G338" s="3" t="inlineStr"/>
      <c r="H338" s="3" t="inlineStr">
        <is>
          <t>Beban Penyusutan Inventaris Ruangan</t>
        </is>
      </c>
      <c r="I338" s="5">
        <f>Penyusutan!M338</f>
        <v/>
      </c>
      <c r="J338" s="3" t="inlineStr"/>
      <c r="K338" s="3" t="inlineStr">
        <is>
          <t>Akumulasi Penyusutan Inventaris Ruangan</t>
        </is>
      </c>
      <c r="L338" s="5">
        <f>Penyusutan!M338</f>
        <v/>
      </c>
      <c r="M338" s="3">
        <f>IF(E338="","","Penyusutan "&amp;E338&amp;" periode "&amp;C338)</f>
        <v/>
      </c>
    </row>
    <row r="339">
      <c r="A339" s="3">
        <f>IF(Penyusutan!D339="","","JRN-"&amp;TEXT(ROW()-1,"0000"))</f>
        <v/>
      </c>
      <c r="B339" s="4" t="n">
        <v>46022</v>
      </c>
      <c r="C339" s="3">
        <f>Penyusutan!B339</f>
        <v/>
      </c>
      <c r="D339" s="3">
        <f>Penyusutan!C339</f>
        <v/>
      </c>
      <c r="E339" s="3">
        <f>Penyusutan!D339</f>
        <v/>
      </c>
      <c r="F339" s="3" t="inlineStr">
        <is>
          <t>Inventaris Ruangan</t>
        </is>
      </c>
      <c r="G339" s="3" t="inlineStr"/>
      <c r="H339" s="3" t="inlineStr">
        <is>
          <t>Beban Penyusutan Inventaris Ruangan</t>
        </is>
      </c>
      <c r="I339" s="5">
        <f>Penyusutan!M339</f>
        <v/>
      </c>
      <c r="J339" s="3" t="inlineStr"/>
      <c r="K339" s="3" t="inlineStr">
        <is>
          <t>Akumulasi Penyusutan Inventaris Ruangan</t>
        </is>
      </c>
      <c r="L339" s="5">
        <f>Penyusutan!M339</f>
        <v/>
      </c>
      <c r="M339" s="3">
        <f>IF(E339="","","Penyusutan "&amp;E339&amp;" periode "&amp;C339)</f>
        <v/>
      </c>
    </row>
    <row r="340">
      <c r="A340" s="3">
        <f>IF(Penyusutan!D340="","","JRN-"&amp;TEXT(ROW()-1,"0000"))</f>
        <v/>
      </c>
      <c r="B340" s="4" t="n">
        <v>46022</v>
      </c>
      <c r="C340" s="3">
        <f>Penyusutan!B340</f>
        <v/>
      </c>
      <c r="D340" s="3">
        <f>Penyusutan!C340</f>
        <v/>
      </c>
      <c r="E340" s="3">
        <f>Penyusutan!D340</f>
        <v/>
      </c>
      <c r="F340" s="3" t="inlineStr">
        <is>
          <t>Inventaris Ruangan</t>
        </is>
      </c>
      <c r="G340" s="3" t="inlineStr"/>
      <c r="H340" s="3" t="inlineStr">
        <is>
          <t>Beban Penyusutan Inventaris Ruangan</t>
        </is>
      </c>
      <c r="I340" s="5">
        <f>Penyusutan!M340</f>
        <v/>
      </c>
      <c r="J340" s="3" t="inlineStr"/>
      <c r="K340" s="3" t="inlineStr">
        <is>
          <t>Akumulasi Penyusutan Inventaris Ruangan</t>
        </is>
      </c>
      <c r="L340" s="5">
        <f>Penyusutan!M340</f>
        <v/>
      </c>
      <c r="M340" s="3">
        <f>IF(E340="","","Penyusutan "&amp;E340&amp;" periode "&amp;C340)</f>
        <v/>
      </c>
    </row>
    <row r="341">
      <c r="A341" s="3">
        <f>IF(Penyusutan!D341="","","JRN-"&amp;TEXT(ROW()-1,"0000"))</f>
        <v/>
      </c>
      <c r="B341" s="4" t="n">
        <v>46022</v>
      </c>
      <c r="C341" s="3">
        <f>Penyusutan!B341</f>
        <v/>
      </c>
      <c r="D341" s="3">
        <f>Penyusutan!C341</f>
        <v/>
      </c>
      <c r="E341" s="3">
        <f>Penyusutan!D341</f>
        <v/>
      </c>
      <c r="F341" s="3" t="inlineStr">
        <is>
          <t>Inventaris Ruangan</t>
        </is>
      </c>
      <c r="G341" s="3" t="inlineStr"/>
      <c r="H341" s="3" t="inlineStr">
        <is>
          <t>Beban Penyusutan Inventaris Ruangan</t>
        </is>
      </c>
      <c r="I341" s="5">
        <f>Penyusutan!M341</f>
        <v/>
      </c>
      <c r="J341" s="3" t="inlineStr"/>
      <c r="K341" s="3" t="inlineStr">
        <is>
          <t>Akumulasi Penyusutan Inventaris Ruangan</t>
        </is>
      </c>
      <c r="L341" s="5">
        <f>Penyusutan!M341</f>
        <v/>
      </c>
      <c r="M341" s="3">
        <f>IF(E341="","","Penyusutan "&amp;E341&amp;" periode "&amp;C341)</f>
        <v/>
      </c>
    </row>
    <row r="342">
      <c r="A342" s="3">
        <f>IF(Penyusutan!D342="","","JRN-"&amp;TEXT(ROW()-1,"0000"))</f>
        <v/>
      </c>
      <c r="B342" s="4" t="n">
        <v>46022</v>
      </c>
      <c r="C342" s="3">
        <f>Penyusutan!B342</f>
        <v/>
      </c>
      <c r="D342" s="3">
        <f>Penyusutan!C342</f>
        <v/>
      </c>
      <c r="E342" s="3">
        <f>Penyusutan!D342</f>
        <v/>
      </c>
      <c r="F342" s="3" t="inlineStr">
        <is>
          <t>Inventaris Ruangan</t>
        </is>
      </c>
      <c r="G342" s="3" t="inlineStr"/>
      <c r="H342" s="3" t="inlineStr">
        <is>
          <t>Beban Penyusutan Inventaris Ruangan</t>
        </is>
      </c>
      <c r="I342" s="5">
        <f>Penyusutan!M342</f>
        <v/>
      </c>
      <c r="J342" s="3" t="inlineStr"/>
      <c r="K342" s="3" t="inlineStr">
        <is>
          <t>Akumulasi Penyusutan Inventaris Ruangan</t>
        </is>
      </c>
      <c r="L342" s="5">
        <f>Penyusutan!M342</f>
        <v/>
      </c>
      <c r="M342" s="3">
        <f>IF(E342="","","Penyusutan "&amp;E342&amp;" periode "&amp;C342)</f>
        <v/>
      </c>
    </row>
    <row r="343">
      <c r="A343" s="3">
        <f>IF(Penyusutan!D343="","","JRN-"&amp;TEXT(ROW()-1,"0000"))</f>
        <v/>
      </c>
      <c r="B343" s="4" t="n">
        <v>46022</v>
      </c>
      <c r="C343" s="3">
        <f>Penyusutan!B343</f>
        <v/>
      </c>
      <c r="D343" s="3">
        <f>Penyusutan!C343</f>
        <v/>
      </c>
      <c r="E343" s="3">
        <f>Penyusutan!D343</f>
        <v/>
      </c>
      <c r="F343" s="3" t="inlineStr">
        <is>
          <t>Inventaris Ruangan</t>
        </is>
      </c>
      <c r="G343" s="3" t="inlineStr"/>
      <c r="H343" s="3" t="inlineStr">
        <is>
          <t>Beban Penyusutan Inventaris Ruangan</t>
        </is>
      </c>
      <c r="I343" s="5">
        <f>Penyusutan!M343</f>
        <v/>
      </c>
      <c r="J343" s="3" t="inlineStr"/>
      <c r="K343" s="3" t="inlineStr">
        <is>
          <t>Akumulasi Penyusutan Inventaris Ruangan</t>
        </is>
      </c>
      <c r="L343" s="5">
        <f>Penyusutan!M343</f>
        <v/>
      </c>
      <c r="M343" s="3">
        <f>IF(E343="","","Penyusutan "&amp;E343&amp;" periode "&amp;C343)</f>
        <v/>
      </c>
    </row>
    <row r="344">
      <c r="A344" s="3">
        <f>IF(Penyusutan!D344="","","JRN-"&amp;TEXT(ROW()-1,"0000"))</f>
        <v/>
      </c>
      <c r="B344" s="4" t="n">
        <v>46022</v>
      </c>
      <c r="C344" s="3">
        <f>Penyusutan!B344</f>
        <v/>
      </c>
      <c r="D344" s="3">
        <f>Penyusutan!C344</f>
        <v/>
      </c>
      <c r="E344" s="3">
        <f>Penyusutan!D344</f>
        <v/>
      </c>
      <c r="F344" s="3" t="inlineStr">
        <is>
          <t>Inventaris Ruangan</t>
        </is>
      </c>
      <c r="G344" s="3" t="inlineStr"/>
      <c r="H344" s="3" t="inlineStr">
        <is>
          <t>Beban Penyusutan Inventaris Ruangan</t>
        </is>
      </c>
      <c r="I344" s="5">
        <f>Penyusutan!M344</f>
        <v/>
      </c>
      <c r="J344" s="3" t="inlineStr"/>
      <c r="K344" s="3" t="inlineStr">
        <is>
          <t>Akumulasi Penyusutan Inventaris Ruangan</t>
        </is>
      </c>
      <c r="L344" s="5">
        <f>Penyusutan!M344</f>
        <v/>
      </c>
      <c r="M344" s="3">
        <f>IF(E344="","","Penyusutan "&amp;E344&amp;" periode "&amp;C344)</f>
        <v/>
      </c>
    </row>
    <row r="345">
      <c r="A345" s="3">
        <f>IF(Penyusutan!D345="","","JRN-"&amp;TEXT(ROW()-1,"0000"))</f>
        <v/>
      </c>
      <c r="B345" s="4" t="n">
        <v>46022</v>
      </c>
      <c r="C345" s="3">
        <f>Penyusutan!B345</f>
        <v/>
      </c>
      <c r="D345" s="3">
        <f>Penyusutan!C345</f>
        <v/>
      </c>
      <c r="E345" s="3">
        <f>Penyusutan!D345</f>
        <v/>
      </c>
      <c r="F345" s="3" t="inlineStr">
        <is>
          <t>Inventaris Ruangan</t>
        </is>
      </c>
      <c r="G345" s="3" t="inlineStr"/>
      <c r="H345" s="3" t="inlineStr">
        <is>
          <t>Beban Penyusutan Inventaris Ruangan</t>
        </is>
      </c>
      <c r="I345" s="5">
        <f>Penyusutan!M345</f>
        <v/>
      </c>
      <c r="J345" s="3" t="inlineStr"/>
      <c r="K345" s="3" t="inlineStr">
        <is>
          <t>Akumulasi Penyusutan Inventaris Ruangan</t>
        </is>
      </c>
      <c r="L345" s="5">
        <f>Penyusutan!M345</f>
        <v/>
      </c>
      <c r="M345" s="3">
        <f>IF(E345="","","Penyusutan "&amp;E345&amp;" periode "&amp;C345)</f>
        <v/>
      </c>
    </row>
    <row r="346">
      <c r="A346" s="3">
        <f>IF(Penyusutan!D346="","","JRN-"&amp;TEXT(ROW()-1,"0000"))</f>
        <v/>
      </c>
      <c r="B346" s="4" t="n">
        <v>46022</v>
      </c>
      <c r="C346" s="3">
        <f>Penyusutan!B346</f>
        <v/>
      </c>
      <c r="D346" s="3">
        <f>Penyusutan!C346</f>
        <v/>
      </c>
      <c r="E346" s="3">
        <f>Penyusutan!D346</f>
        <v/>
      </c>
      <c r="F346" s="3" t="inlineStr">
        <is>
          <t>Inventaris Ruangan</t>
        </is>
      </c>
      <c r="G346" s="3" t="inlineStr"/>
      <c r="H346" s="3" t="inlineStr">
        <is>
          <t>Beban Penyusutan Inventaris Ruangan</t>
        </is>
      </c>
      <c r="I346" s="5">
        <f>Penyusutan!M346</f>
        <v/>
      </c>
      <c r="J346" s="3" t="inlineStr"/>
      <c r="K346" s="3" t="inlineStr">
        <is>
          <t>Akumulasi Penyusutan Inventaris Ruangan</t>
        </is>
      </c>
      <c r="L346" s="5">
        <f>Penyusutan!M346</f>
        <v/>
      </c>
      <c r="M346" s="3">
        <f>IF(E346="","","Penyusutan "&amp;E346&amp;" periode "&amp;C346)</f>
        <v/>
      </c>
    </row>
    <row r="347">
      <c r="A347" s="3">
        <f>IF(Penyusutan!D347="","","JRN-"&amp;TEXT(ROW()-1,"0000"))</f>
        <v/>
      </c>
      <c r="B347" s="4" t="n">
        <v>46022</v>
      </c>
      <c r="C347" s="3">
        <f>Penyusutan!B347</f>
        <v/>
      </c>
      <c r="D347" s="3">
        <f>Penyusutan!C347</f>
        <v/>
      </c>
      <c r="E347" s="3">
        <f>Penyusutan!D347</f>
        <v/>
      </c>
      <c r="F347" s="3" t="inlineStr">
        <is>
          <t>Inventaris Ruangan</t>
        </is>
      </c>
      <c r="G347" s="3" t="inlineStr"/>
      <c r="H347" s="3" t="inlineStr">
        <is>
          <t>Beban Penyusutan Inventaris Ruangan</t>
        </is>
      </c>
      <c r="I347" s="5">
        <f>Penyusutan!M347</f>
        <v/>
      </c>
      <c r="J347" s="3" t="inlineStr"/>
      <c r="K347" s="3" t="inlineStr">
        <is>
          <t>Akumulasi Penyusutan Inventaris Ruangan</t>
        </is>
      </c>
      <c r="L347" s="5">
        <f>Penyusutan!M347</f>
        <v/>
      </c>
      <c r="M347" s="3">
        <f>IF(E347="","","Penyusutan "&amp;E347&amp;" periode "&amp;C347)</f>
        <v/>
      </c>
    </row>
    <row r="348">
      <c r="A348" s="3">
        <f>IF(Penyusutan!D348="","","JRN-"&amp;TEXT(ROW()-1,"0000"))</f>
        <v/>
      </c>
      <c r="B348" s="4" t="n">
        <v>46022</v>
      </c>
      <c r="C348" s="3">
        <f>Penyusutan!B348</f>
        <v/>
      </c>
      <c r="D348" s="3">
        <f>Penyusutan!C348</f>
        <v/>
      </c>
      <c r="E348" s="3">
        <f>Penyusutan!D348</f>
        <v/>
      </c>
      <c r="F348" s="3" t="inlineStr">
        <is>
          <t>Inventaris Ruangan</t>
        </is>
      </c>
      <c r="G348" s="3" t="inlineStr"/>
      <c r="H348" s="3" t="inlineStr">
        <is>
          <t>Beban Penyusutan Inventaris Ruangan</t>
        </is>
      </c>
      <c r="I348" s="5">
        <f>Penyusutan!M348</f>
        <v/>
      </c>
      <c r="J348" s="3" t="inlineStr"/>
      <c r="K348" s="3" t="inlineStr">
        <is>
          <t>Akumulasi Penyusutan Inventaris Ruangan</t>
        </is>
      </c>
      <c r="L348" s="5">
        <f>Penyusutan!M348</f>
        <v/>
      </c>
      <c r="M348" s="3">
        <f>IF(E348="","","Penyusutan "&amp;E348&amp;" periode "&amp;C348)</f>
        <v/>
      </c>
    </row>
    <row r="349">
      <c r="A349" s="3">
        <f>IF(Penyusutan!D349="","","JRN-"&amp;TEXT(ROW()-1,"0000"))</f>
        <v/>
      </c>
      <c r="B349" s="4" t="n">
        <v>46022</v>
      </c>
      <c r="C349" s="3">
        <f>Penyusutan!B349</f>
        <v/>
      </c>
      <c r="D349" s="3">
        <f>Penyusutan!C349</f>
        <v/>
      </c>
      <c r="E349" s="3">
        <f>Penyusutan!D349</f>
        <v/>
      </c>
      <c r="F349" s="3" t="inlineStr">
        <is>
          <t>Inventaris Ruangan</t>
        </is>
      </c>
      <c r="G349" s="3" t="inlineStr"/>
      <c r="H349" s="3" t="inlineStr">
        <is>
          <t>Beban Penyusutan Inventaris Ruangan</t>
        </is>
      </c>
      <c r="I349" s="5">
        <f>Penyusutan!M349</f>
        <v/>
      </c>
      <c r="J349" s="3" t="inlineStr"/>
      <c r="K349" s="3" t="inlineStr">
        <is>
          <t>Akumulasi Penyusutan Inventaris Ruangan</t>
        </is>
      </c>
      <c r="L349" s="5">
        <f>Penyusutan!M349</f>
        <v/>
      </c>
      <c r="M349" s="3">
        <f>IF(E349="","","Penyusutan "&amp;E349&amp;" periode "&amp;C349)</f>
        <v/>
      </c>
    </row>
    <row r="350">
      <c r="A350" s="3">
        <f>IF(Penyusutan!D350="","","JRN-"&amp;TEXT(ROW()-1,"0000"))</f>
        <v/>
      </c>
      <c r="B350" s="4" t="n">
        <v>46022</v>
      </c>
      <c r="C350" s="3">
        <f>Penyusutan!B350</f>
        <v/>
      </c>
      <c r="D350" s="3">
        <f>Penyusutan!C350</f>
        <v/>
      </c>
      <c r="E350" s="3">
        <f>Penyusutan!D350</f>
        <v/>
      </c>
      <c r="F350" s="3" t="inlineStr">
        <is>
          <t>Inventaris Ruangan</t>
        </is>
      </c>
      <c r="G350" s="3" t="inlineStr"/>
      <c r="H350" s="3" t="inlineStr">
        <is>
          <t>Beban Penyusutan Inventaris Ruangan</t>
        </is>
      </c>
      <c r="I350" s="5">
        <f>Penyusutan!M350</f>
        <v/>
      </c>
      <c r="J350" s="3" t="inlineStr"/>
      <c r="K350" s="3" t="inlineStr">
        <is>
          <t>Akumulasi Penyusutan Inventaris Ruangan</t>
        </is>
      </c>
      <c r="L350" s="5">
        <f>Penyusutan!M350</f>
        <v/>
      </c>
      <c r="M350" s="3">
        <f>IF(E350="","","Penyusutan "&amp;E350&amp;" periode "&amp;C350)</f>
        <v/>
      </c>
    </row>
    <row r="351">
      <c r="A351" s="3">
        <f>IF(Penyusutan!D351="","","JRN-"&amp;TEXT(ROW()-1,"0000"))</f>
        <v/>
      </c>
      <c r="B351" s="4" t="n">
        <v>46022</v>
      </c>
      <c r="C351" s="3">
        <f>Penyusutan!B351</f>
        <v/>
      </c>
      <c r="D351" s="3">
        <f>Penyusutan!C351</f>
        <v/>
      </c>
      <c r="E351" s="3">
        <f>Penyusutan!D351</f>
        <v/>
      </c>
      <c r="F351" s="3" t="inlineStr">
        <is>
          <t>Inventaris Ruangan</t>
        </is>
      </c>
      <c r="G351" s="3" t="inlineStr"/>
      <c r="H351" s="3" t="inlineStr">
        <is>
          <t>Beban Penyusutan Inventaris Ruangan</t>
        </is>
      </c>
      <c r="I351" s="5">
        <f>Penyusutan!M351</f>
        <v/>
      </c>
      <c r="J351" s="3" t="inlineStr"/>
      <c r="K351" s="3" t="inlineStr">
        <is>
          <t>Akumulasi Penyusutan Inventaris Ruangan</t>
        </is>
      </c>
      <c r="L351" s="5">
        <f>Penyusutan!M351</f>
        <v/>
      </c>
      <c r="M351" s="3">
        <f>IF(E351="","","Penyusutan "&amp;E351&amp;" periode "&amp;C351)</f>
        <v/>
      </c>
    </row>
    <row r="352">
      <c r="A352" s="3">
        <f>IF(Penyusutan!D352="","","JRN-"&amp;TEXT(ROW()-1,"0000"))</f>
        <v/>
      </c>
      <c r="B352" s="4" t="n">
        <v>46022</v>
      </c>
      <c r="C352" s="3">
        <f>Penyusutan!B352</f>
        <v/>
      </c>
      <c r="D352" s="3">
        <f>Penyusutan!C352</f>
        <v/>
      </c>
      <c r="E352" s="3">
        <f>Penyusutan!D352</f>
        <v/>
      </c>
      <c r="F352" s="3" t="inlineStr">
        <is>
          <t>Inventaris Ruangan</t>
        </is>
      </c>
      <c r="G352" s="3" t="inlineStr"/>
      <c r="H352" s="3" t="inlineStr">
        <is>
          <t>Beban Penyusutan Inventaris Ruangan</t>
        </is>
      </c>
      <c r="I352" s="5">
        <f>Penyusutan!M352</f>
        <v/>
      </c>
      <c r="J352" s="3" t="inlineStr"/>
      <c r="K352" s="3" t="inlineStr">
        <is>
          <t>Akumulasi Penyusutan Inventaris Ruangan</t>
        </is>
      </c>
      <c r="L352" s="5">
        <f>Penyusutan!M352</f>
        <v/>
      </c>
      <c r="M352" s="3">
        <f>IF(E352="","","Penyusutan "&amp;E352&amp;" periode "&amp;C352)</f>
        <v/>
      </c>
    </row>
    <row r="353">
      <c r="A353" s="3">
        <f>IF(Penyusutan!D353="","","JRN-"&amp;TEXT(ROW()-1,"0000"))</f>
        <v/>
      </c>
      <c r="B353" s="4" t="n">
        <v>46022</v>
      </c>
      <c r="C353" s="3">
        <f>Penyusutan!B353</f>
        <v/>
      </c>
      <c r="D353" s="3">
        <f>Penyusutan!C353</f>
        <v/>
      </c>
      <c r="E353" s="3">
        <f>Penyusutan!D353</f>
        <v/>
      </c>
      <c r="F353" s="3" t="inlineStr">
        <is>
          <t>Inventaris Ruangan</t>
        </is>
      </c>
      <c r="G353" s="3" t="inlineStr"/>
      <c r="H353" s="3" t="inlineStr">
        <is>
          <t>Beban Penyusutan Inventaris Ruangan</t>
        </is>
      </c>
      <c r="I353" s="5">
        <f>Penyusutan!M353</f>
        <v/>
      </c>
      <c r="J353" s="3" t="inlineStr"/>
      <c r="K353" s="3" t="inlineStr">
        <is>
          <t>Akumulasi Penyusutan Inventaris Ruangan</t>
        </is>
      </c>
      <c r="L353" s="5">
        <f>Penyusutan!M353</f>
        <v/>
      </c>
      <c r="M353" s="3">
        <f>IF(E353="","","Penyusutan "&amp;E353&amp;" periode "&amp;C353)</f>
        <v/>
      </c>
    </row>
    <row r="354">
      <c r="A354" s="3">
        <f>IF(Penyusutan!D354="","","JRN-"&amp;TEXT(ROW()-1,"0000"))</f>
        <v/>
      </c>
      <c r="B354" s="4" t="n">
        <v>46022</v>
      </c>
      <c r="C354" s="3">
        <f>Penyusutan!B354</f>
        <v/>
      </c>
      <c r="D354" s="3">
        <f>Penyusutan!C354</f>
        <v/>
      </c>
      <c r="E354" s="3">
        <f>Penyusutan!D354</f>
        <v/>
      </c>
      <c r="F354" s="3" t="inlineStr">
        <is>
          <t>Inventaris Ruangan</t>
        </is>
      </c>
      <c r="G354" s="3" t="inlineStr"/>
      <c r="H354" s="3" t="inlineStr">
        <is>
          <t>Beban Penyusutan Inventaris Ruangan</t>
        </is>
      </c>
      <c r="I354" s="5">
        <f>Penyusutan!M354</f>
        <v/>
      </c>
      <c r="J354" s="3" t="inlineStr"/>
      <c r="K354" s="3" t="inlineStr">
        <is>
          <t>Akumulasi Penyusutan Inventaris Ruangan</t>
        </is>
      </c>
      <c r="L354" s="5">
        <f>Penyusutan!M354</f>
        <v/>
      </c>
      <c r="M354" s="3">
        <f>IF(E354="","","Penyusutan "&amp;E354&amp;" periode "&amp;C354)</f>
        <v/>
      </c>
    </row>
    <row r="355">
      <c r="A355" s="3">
        <f>IF(Penyusutan!D355="","","JRN-"&amp;TEXT(ROW()-1,"0000"))</f>
        <v/>
      </c>
      <c r="B355" s="4" t="n">
        <v>46022</v>
      </c>
      <c r="C355" s="3">
        <f>Penyusutan!B355</f>
        <v/>
      </c>
      <c r="D355" s="3">
        <f>Penyusutan!C355</f>
        <v/>
      </c>
      <c r="E355" s="3">
        <f>Penyusutan!D355</f>
        <v/>
      </c>
      <c r="F355" s="3" t="inlineStr">
        <is>
          <t>Inventaris Ruangan</t>
        </is>
      </c>
      <c r="G355" s="3" t="inlineStr"/>
      <c r="H355" s="3" t="inlineStr">
        <is>
          <t>Beban Penyusutan Inventaris Ruangan</t>
        </is>
      </c>
      <c r="I355" s="5">
        <f>Penyusutan!M355</f>
        <v/>
      </c>
      <c r="J355" s="3" t="inlineStr"/>
      <c r="K355" s="3" t="inlineStr">
        <is>
          <t>Akumulasi Penyusutan Inventaris Ruangan</t>
        </is>
      </c>
      <c r="L355" s="5">
        <f>Penyusutan!M355</f>
        <v/>
      </c>
      <c r="M355" s="3">
        <f>IF(E355="","","Penyusutan "&amp;E355&amp;" periode "&amp;C355)</f>
        <v/>
      </c>
    </row>
    <row r="356">
      <c r="A356" s="3">
        <f>IF(Penyusutan!D356="","","JRN-"&amp;TEXT(ROW()-1,"0000"))</f>
        <v/>
      </c>
      <c r="B356" s="4" t="n">
        <v>46022</v>
      </c>
      <c r="C356" s="3">
        <f>Penyusutan!B356</f>
        <v/>
      </c>
      <c r="D356" s="3">
        <f>Penyusutan!C356</f>
        <v/>
      </c>
      <c r="E356" s="3">
        <f>Penyusutan!D356</f>
        <v/>
      </c>
      <c r="F356" s="3" t="inlineStr">
        <is>
          <t>Inventaris Ruangan</t>
        </is>
      </c>
      <c r="G356" s="3" t="inlineStr"/>
      <c r="H356" s="3" t="inlineStr">
        <is>
          <t>Beban Penyusutan Inventaris Ruangan</t>
        </is>
      </c>
      <c r="I356" s="5">
        <f>Penyusutan!M356</f>
        <v/>
      </c>
      <c r="J356" s="3" t="inlineStr"/>
      <c r="K356" s="3" t="inlineStr">
        <is>
          <t>Akumulasi Penyusutan Inventaris Ruangan</t>
        </is>
      </c>
      <c r="L356" s="5">
        <f>Penyusutan!M356</f>
        <v/>
      </c>
      <c r="M356" s="3">
        <f>IF(E356="","","Penyusutan "&amp;E356&amp;" periode "&amp;C356)</f>
        <v/>
      </c>
    </row>
    <row r="357">
      <c r="A357" s="3">
        <f>IF(Penyusutan!D357="","","JRN-"&amp;TEXT(ROW()-1,"0000"))</f>
        <v/>
      </c>
      <c r="B357" s="4" t="n">
        <v>46022</v>
      </c>
      <c r="C357" s="3">
        <f>Penyusutan!B357</f>
        <v/>
      </c>
      <c r="D357" s="3">
        <f>Penyusutan!C357</f>
        <v/>
      </c>
      <c r="E357" s="3">
        <f>Penyusutan!D357</f>
        <v/>
      </c>
      <c r="F357" s="3" t="inlineStr">
        <is>
          <t>Inventaris Ruangan</t>
        </is>
      </c>
      <c r="G357" s="3" t="inlineStr"/>
      <c r="H357" s="3" t="inlineStr">
        <is>
          <t>Beban Penyusutan Inventaris Ruangan</t>
        </is>
      </c>
      <c r="I357" s="5">
        <f>Penyusutan!M357</f>
        <v/>
      </c>
      <c r="J357" s="3" t="inlineStr"/>
      <c r="K357" s="3" t="inlineStr">
        <is>
          <t>Akumulasi Penyusutan Inventaris Ruangan</t>
        </is>
      </c>
      <c r="L357" s="5">
        <f>Penyusutan!M357</f>
        <v/>
      </c>
      <c r="M357" s="3">
        <f>IF(E357="","","Penyusutan "&amp;E357&amp;" periode "&amp;C357)</f>
        <v/>
      </c>
    </row>
    <row r="358">
      <c r="A358" s="3">
        <f>IF(Penyusutan!D358="","","JRN-"&amp;TEXT(ROW()-1,"0000"))</f>
        <v/>
      </c>
      <c r="B358" s="4" t="n">
        <v>46022</v>
      </c>
      <c r="C358" s="3">
        <f>Penyusutan!B358</f>
        <v/>
      </c>
      <c r="D358" s="3">
        <f>Penyusutan!C358</f>
        <v/>
      </c>
      <c r="E358" s="3">
        <f>Penyusutan!D358</f>
        <v/>
      </c>
      <c r="F358" s="3" t="inlineStr">
        <is>
          <t>Inventaris Ruangan</t>
        </is>
      </c>
      <c r="G358" s="3" t="inlineStr"/>
      <c r="H358" s="3" t="inlineStr">
        <is>
          <t>Beban Penyusutan Inventaris Ruangan</t>
        </is>
      </c>
      <c r="I358" s="5">
        <f>Penyusutan!M358</f>
        <v/>
      </c>
      <c r="J358" s="3" t="inlineStr"/>
      <c r="K358" s="3" t="inlineStr">
        <is>
          <t>Akumulasi Penyusutan Inventaris Ruangan</t>
        </is>
      </c>
      <c r="L358" s="5">
        <f>Penyusutan!M358</f>
        <v/>
      </c>
      <c r="M358" s="3">
        <f>IF(E358="","","Penyusutan "&amp;E358&amp;" periode "&amp;C358)</f>
        <v/>
      </c>
    </row>
    <row r="359">
      <c r="A359" s="3">
        <f>IF(Penyusutan!D359="","","JRN-"&amp;TEXT(ROW()-1,"0000"))</f>
        <v/>
      </c>
      <c r="B359" s="4" t="n">
        <v>46022</v>
      </c>
      <c r="C359" s="3">
        <f>Penyusutan!B359</f>
        <v/>
      </c>
      <c r="D359" s="3">
        <f>Penyusutan!C359</f>
        <v/>
      </c>
      <c r="E359" s="3">
        <f>Penyusutan!D359</f>
        <v/>
      </c>
      <c r="F359" s="3" t="inlineStr">
        <is>
          <t>Inventaris Ruangan</t>
        </is>
      </c>
      <c r="G359" s="3" t="inlineStr"/>
      <c r="H359" s="3" t="inlineStr">
        <is>
          <t>Beban Penyusutan Inventaris Ruangan</t>
        </is>
      </c>
      <c r="I359" s="5">
        <f>Penyusutan!M359</f>
        <v/>
      </c>
      <c r="J359" s="3" t="inlineStr"/>
      <c r="K359" s="3" t="inlineStr">
        <is>
          <t>Akumulasi Penyusutan Inventaris Ruangan</t>
        </is>
      </c>
      <c r="L359" s="5">
        <f>Penyusutan!M359</f>
        <v/>
      </c>
      <c r="M359" s="3">
        <f>IF(E359="","","Penyusutan "&amp;E359&amp;" periode "&amp;C359)</f>
        <v/>
      </c>
    </row>
    <row r="360">
      <c r="A360" s="3">
        <f>IF(Penyusutan!D360="","","JRN-"&amp;TEXT(ROW()-1,"0000"))</f>
        <v/>
      </c>
      <c r="B360" s="4" t="n">
        <v>46022</v>
      </c>
      <c r="C360" s="3">
        <f>Penyusutan!B360</f>
        <v/>
      </c>
      <c r="D360" s="3">
        <f>Penyusutan!C360</f>
        <v/>
      </c>
      <c r="E360" s="3">
        <f>Penyusutan!D360</f>
        <v/>
      </c>
      <c r="F360" s="3" t="inlineStr">
        <is>
          <t>Inventaris Ruangan</t>
        </is>
      </c>
      <c r="G360" s="3" t="inlineStr"/>
      <c r="H360" s="3" t="inlineStr">
        <is>
          <t>Beban Penyusutan Inventaris Ruangan</t>
        </is>
      </c>
      <c r="I360" s="5">
        <f>Penyusutan!M360</f>
        <v/>
      </c>
      <c r="J360" s="3" t="inlineStr"/>
      <c r="K360" s="3" t="inlineStr">
        <is>
          <t>Akumulasi Penyusutan Inventaris Ruangan</t>
        </is>
      </c>
      <c r="L360" s="5">
        <f>Penyusutan!M360</f>
        <v/>
      </c>
      <c r="M360" s="3">
        <f>IF(E360="","","Penyusutan "&amp;E360&amp;" periode "&amp;C360)</f>
        <v/>
      </c>
    </row>
    <row r="361">
      <c r="A361" s="3">
        <f>IF(Penyusutan!D361="","","JRN-"&amp;TEXT(ROW()-1,"0000"))</f>
        <v/>
      </c>
      <c r="B361" s="4" t="n">
        <v>46022</v>
      </c>
      <c r="C361" s="3">
        <f>Penyusutan!B361</f>
        <v/>
      </c>
      <c r="D361" s="3">
        <f>Penyusutan!C361</f>
        <v/>
      </c>
      <c r="E361" s="3">
        <f>Penyusutan!D361</f>
        <v/>
      </c>
      <c r="F361" s="3" t="inlineStr">
        <is>
          <t>Inventaris Ruangan</t>
        </is>
      </c>
      <c r="G361" s="3" t="inlineStr"/>
      <c r="H361" s="3" t="inlineStr">
        <is>
          <t>Beban Penyusutan Inventaris Ruangan</t>
        </is>
      </c>
      <c r="I361" s="5">
        <f>Penyusutan!M361</f>
        <v/>
      </c>
      <c r="J361" s="3" t="inlineStr"/>
      <c r="K361" s="3" t="inlineStr">
        <is>
          <t>Akumulasi Penyusutan Inventaris Ruangan</t>
        </is>
      </c>
      <c r="L361" s="5">
        <f>Penyusutan!M361</f>
        <v/>
      </c>
      <c r="M361" s="3">
        <f>IF(E361="","","Penyusutan "&amp;E361&amp;" periode "&amp;C361)</f>
        <v/>
      </c>
    </row>
    <row r="362">
      <c r="A362" s="3">
        <f>IF(Penyusutan!D362="","","JRN-"&amp;TEXT(ROW()-1,"0000"))</f>
        <v/>
      </c>
      <c r="B362" s="4" t="n">
        <v>46022</v>
      </c>
      <c r="C362" s="3">
        <f>Penyusutan!B362</f>
        <v/>
      </c>
      <c r="D362" s="3">
        <f>Penyusutan!C362</f>
        <v/>
      </c>
      <c r="E362" s="3">
        <f>Penyusutan!D362</f>
        <v/>
      </c>
      <c r="F362" s="3" t="inlineStr">
        <is>
          <t>Inventaris Ruangan</t>
        </is>
      </c>
      <c r="G362" s="3" t="inlineStr"/>
      <c r="H362" s="3" t="inlineStr">
        <is>
          <t>Beban Penyusutan Inventaris Ruangan</t>
        </is>
      </c>
      <c r="I362" s="5">
        <f>Penyusutan!M362</f>
        <v/>
      </c>
      <c r="J362" s="3" t="inlineStr"/>
      <c r="K362" s="3" t="inlineStr">
        <is>
          <t>Akumulasi Penyusutan Inventaris Ruangan</t>
        </is>
      </c>
      <c r="L362" s="5">
        <f>Penyusutan!M362</f>
        <v/>
      </c>
      <c r="M362" s="3">
        <f>IF(E362="","","Penyusutan "&amp;E362&amp;" periode "&amp;C362)</f>
        <v/>
      </c>
    </row>
    <row r="363">
      <c r="A363" s="3">
        <f>IF(Penyusutan!D363="","","JRN-"&amp;TEXT(ROW()-1,"0000"))</f>
        <v/>
      </c>
      <c r="B363" s="4" t="n">
        <v>46022</v>
      </c>
      <c r="C363" s="3">
        <f>Penyusutan!B363</f>
        <v/>
      </c>
      <c r="D363" s="3">
        <f>Penyusutan!C363</f>
        <v/>
      </c>
      <c r="E363" s="3">
        <f>Penyusutan!D363</f>
        <v/>
      </c>
      <c r="F363" s="3" t="inlineStr">
        <is>
          <t>Inventaris Ruangan</t>
        </is>
      </c>
      <c r="G363" s="3" t="inlineStr"/>
      <c r="H363" s="3" t="inlineStr">
        <is>
          <t>Beban Penyusutan Inventaris Ruangan</t>
        </is>
      </c>
      <c r="I363" s="5">
        <f>Penyusutan!M363</f>
        <v/>
      </c>
      <c r="J363" s="3" t="inlineStr"/>
      <c r="K363" s="3" t="inlineStr">
        <is>
          <t>Akumulasi Penyusutan Inventaris Ruangan</t>
        </is>
      </c>
      <c r="L363" s="5">
        <f>Penyusutan!M363</f>
        <v/>
      </c>
      <c r="M363" s="3">
        <f>IF(E363="","","Penyusutan "&amp;E363&amp;" periode "&amp;C363)</f>
        <v/>
      </c>
    </row>
    <row r="364">
      <c r="A364" s="3">
        <f>IF(Penyusutan!D364="","","JRN-"&amp;TEXT(ROW()-1,"0000"))</f>
        <v/>
      </c>
      <c r="B364" s="4" t="n">
        <v>46022</v>
      </c>
      <c r="C364" s="3">
        <f>Penyusutan!B364</f>
        <v/>
      </c>
      <c r="D364" s="3">
        <f>Penyusutan!C364</f>
        <v/>
      </c>
      <c r="E364" s="3">
        <f>Penyusutan!D364</f>
        <v/>
      </c>
      <c r="F364" s="3" t="inlineStr">
        <is>
          <t>Inventaris Ruangan</t>
        </is>
      </c>
      <c r="G364" s="3" t="inlineStr"/>
      <c r="H364" s="3" t="inlineStr">
        <is>
          <t>Beban Penyusutan Inventaris Ruangan</t>
        </is>
      </c>
      <c r="I364" s="5">
        <f>Penyusutan!M364</f>
        <v/>
      </c>
      <c r="J364" s="3" t="inlineStr"/>
      <c r="K364" s="3" t="inlineStr">
        <is>
          <t>Akumulasi Penyusutan Inventaris Ruangan</t>
        </is>
      </c>
      <c r="L364" s="5">
        <f>Penyusutan!M364</f>
        <v/>
      </c>
      <c r="M364" s="3">
        <f>IF(E364="","","Penyusutan "&amp;E364&amp;" periode "&amp;C364)</f>
        <v/>
      </c>
    </row>
    <row r="365">
      <c r="A365" s="3">
        <f>IF(Penyusutan!D365="","","JRN-"&amp;TEXT(ROW()-1,"0000"))</f>
        <v/>
      </c>
      <c r="B365" s="4" t="n">
        <v>46022</v>
      </c>
      <c r="C365" s="3">
        <f>Penyusutan!B365</f>
        <v/>
      </c>
      <c r="D365" s="3">
        <f>Penyusutan!C365</f>
        <v/>
      </c>
      <c r="E365" s="3">
        <f>Penyusutan!D365</f>
        <v/>
      </c>
      <c r="F365" s="3" t="inlineStr">
        <is>
          <t>Inventaris Ruangan</t>
        </is>
      </c>
      <c r="G365" s="3" t="inlineStr"/>
      <c r="H365" s="3" t="inlineStr">
        <is>
          <t>Beban Penyusutan Inventaris Ruangan</t>
        </is>
      </c>
      <c r="I365" s="5">
        <f>Penyusutan!M365</f>
        <v/>
      </c>
      <c r="J365" s="3" t="inlineStr"/>
      <c r="K365" s="3" t="inlineStr">
        <is>
          <t>Akumulasi Penyusutan Inventaris Ruangan</t>
        </is>
      </c>
      <c r="L365" s="5">
        <f>Penyusutan!M365</f>
        <v/>
      </c>
      <c r="M365" s="3">
        <f>IF(E365="","","Penyusutan "&amp;E365&amp;" periode "&amp;C365)</f>
        <v/>
      </c>
    </row>
    <row r="366">
      <c r="A366" s="3">
        <f>IF(Penyusutan!D366="","","JRN-"&amp;TEXT(ROW()-1,"0000"))</f>
        <v/>
      </c>
      <c r="B366" s="4" t="n">
        <v>46022</v>
      </c>
      <c r="C366" s="3">
        <f>Penyusutan!B366</f>
        <v/>
      </c>
      <c r="D366" s="3">
        <f>Penyusutan!C366</f>
        <v/>
      </c>
      <c r="E366" s="3">
        <f>Penyusutan!D366</f>
        <v/>
      </c>
      <c r="F366" s="3" t="inlineStr">
        <is>
          <t>Inventaris Ruangan</t>
        </is>
      </c>
      <c r="G366" s="3" t="inlineStr"/>
      <c r="H366" s="3" t="inlineStr">
        <is>
          <t>Beban Penyusutan Inventaris Ruangan</t>
        </is>
      </c>
      <c r="I366" s="5">
        <f>Penyusutan!M366</f>
        <v/>
      </c>
      <c r="J366" s="3" t="inlineStr"/>
      <c r="K366" s="3" t="inlineStr">
        <is>
          <t>Akumulasi Penyusutan Inventaris Ruangan</t>
        </is>
      </c>
      <c r="L366" s="5">
        <f>Penyusutan!M366</f>
        <v/>
      </c>
      <c r="M366" s="3">
        <f>IF(E366="","","Penyusutan "&amp;E366&amp;" periode "&amp;C366)</f>
        <v/>
      </c>
    </row>
    <row r="367">
      <c r="A367" s="3">
        <f>IF(Penyusutan!D367="","","JRN-"&amp;TEXT(ROW()-1,"0000"))</f>
        <v/>
      </c>
      <c r="B367" s="4" t="n">
        <v>46022</v>
      </c>
      <c r="C367" s="3">
        <f>Penyusutan!B367</f>
        <v/>
      </c>
      <c r="D367" s="3">
        <f>Penyusutan!C367</f>
        <v/>
      </c>
      <c r="E367" s="3">
        <f>Penyusutan!D367</f>
        <v/>
      </c>
      <c r="F367" s="3" t="inlineStr">
        <is>
          <t>Inventaris Ruangan</t>
        </is>
      </c>
      <c r="G367" s="3" t="inlineStr"/>
      <c r="H367" s="3" t="inlineStr">
        <is>
          <t>Beban Penyusutan Inventaris Ruangan</t>
        </is>
      </c>
      <c r="I367" s="5">
        <f>Penyusutan!M367</f>
        <v/>
      </c>
      <c r="J367" s="3" t="inlineStr"/>
      <c r="K367" s="3" t="inlineStr">
        <is>
          <t>Akumulasi Penyusutan Inventaris Ruangan</t>
        </is>
      </c>
      <c r="L367" s="5">
        <f>Penyusutan!M367</f>
        <v/>
      </c>
      <c r="M367" s="3">
        <f>IF(E367="","","Penyusutan "&amp;E367&amp;" periode "&amp;C367)</f>
        <v/>
      </c>
    </row>
    <row r="368">
      <c r="A368" s="3">
        <f>IF(Penyusutan!D368="","","JRN-"&amp;TEXT(ROW()-1,"0000"))</f>
        <v/>
      </c>
      <c r="B368" s="4" t="n">
        <v>46022</v>
      </c>
      <c r="C368" s="3">
        <f>Penyusutan!B368</f>
        <v/>
      </c>
      <c r="D368" s="3">
        <f>Penyusutan!C368</f>
        <v/>
      </c>
      <c r="E368" s="3">
        <f>Penyusutan!D368</f>
        <v/>
      </c>
      <c r="F368" s="3" t="inlineStr">
        <is>
          <t>Inventaris Ruangan</t>
        </is>
      </c>
      <c r="G368" s="3" t="inlineStr"/>
      <c r="H368" s="3" t="inlineStr">
        <is>
          <t>Beban Penyusutan Inventaris Ruangan</t>
        </is>
      </c>
      <c r="I368" s="5">
        <f>Penyusutan!M368</f>
        <v/>
      </c>
      <c r="J368" s="3" t="inlineStr"/>
      <c r="K368" s="3" t="inlineStr">
        <is>
          <t>Akumulasi Penyusutan Inventaris Ruangan</t>
        </is>
      </c>
      <c r="L368" s="5">
        <f>Penyusutan!M368</f>
        <v/>
      </c>
      <c r="M368" s="3">
        <f>IF(E368="","","Penyusutan "&amp;E368&amp;" periode "&amp;C368)</f>
        <v/>
      </c>
    </row>
    <row r="369">
      <c r="A369" s="3">
        <f>IF(Penyusutan!D369="","","JRN-"&amp;TEXT(ROW()-1,"0000"))</f>
        <v/>
      </c>
      <c r="B369" s="4" t="n">
        <v>46022</v>
      </c>
      <c r="C369" s="3">
        <f>Penyusutan!B369</f>
        <v/>
      </c>
      <c r="D369" s="3">
        <f>Penyusutan!C369</f>
        <v/>
      </c>
      <c r="E369" s="3">
        <f>Penyusutan!D369</f>
        <v/>
      </c>
      <c r="F369" s="3" t="inlineStr">
        <is>
          <t>Inventaris Ruangan</t>
        </is>
      </c>
      <c r="G369" s="3" t="inlineStr"/>
      <c r="H369" s="3" t="inlineStr">
        <is>
          <t>Beban Penyusutan Inventaris Ruangan</t>
        </is>
      </c>
      <c r="I369" s="5">
        <f>Penyusutan!M369</f>
        <v/>
      </c>
      <c r="J369" s="3" t="inlineStr"/>
      <c r="K369" s="3" t="inlineStr">
        <is>
          <t>Akumulasi Penyusutan Inventaris Ruangan</t>
        </is>
      </c>
      <c r="L369" s="5">
        <f>Penyusutan!M369</f>
        <v/>
      </c>
      <c r="M369" s="3">
        <f>IF(E369="","","Penyusutan "&amp;E369&amp;" periode "&amp;C369)</f>
        <v/>
      </c>
    </row>
    <row r="370">
      <c r="A370" s="3">
        <f>IF(Penyusutan!D370="","","JRN-"&amp;TEXT(ROW()-1,"0000"))</f>
        <v/>
      </c>
      <c r="B370" s="4" t="n">
        <v>46022</v>
      </c>
      <c r="C370" s="3">
        <f>Penyusutan!B370</f>
        <v/>
      </c>
      <c r="D370" s="3">
        <f>Penyusutan!C370</f>
        <v/>
      </c>
      <c r="E370" s="3">
        <f>Penyusutan!D370</f>
        <v/>
      </c>
      <c r="F370" s="3" t="inlineStr">
        <is>
          <t>Inventaris Ruangan</t>
        </is>
      </c>
      <c r="G370" s="3" t="inlineStr"/>
      <c r="H370" s="3" t="inlineStr">
        <is>
          <t>Beban Penyusutan Inventaris Ruangan</t>
        </is>
      </c>
      <c r="I370" s="5">
        <f>Penyusutan!M370</f>
        <v/>
      </c>
      <c r="J370" s="3" t="inlineStr"/>
      <c r="K370" s="3" t="inlineStr">
        <is>
          <t>Akumulasi Penyusutan Inventaris Ruangan</t>
        </is>
      </c>
      <c r="L370" s="5">
        <f>Penyusutan!M370</f>
        <v/>
      </c>
      <c r="M370" s="3">
        <f>IF(E370="","","Penyusutan "&amp;E370&amp;" periode "&amp;C370)</f>
        <v/>
      </c>
    </row>
    <row r="371">
      <c r="A371" s="3">
        <f>IF(Penyusutan!D371="","","JRN-"&amp;TEXT(ROW()-1,"0000"))</f>
        <v/>
      </c>
      <c r="B371" s="4" t="n">
        <v>46022</v>
      </c>
      <c r="C371" s="3">
        <f>Penyusutan!B371</f>
        <v/>
      </c>
      <c r="D371" s="3">
        <f>Penyusutan!C371</f>
        <v/>
      </c>
      <c r="E371" s="3">
        <f>Penyusutan!D371</f>
        <v/>
      </c>
      <c r="F371" s="3" t="inlineStr">
        <is>
          <t>Inventaris Ruangan</t>
        </is>
      </c>
      <c r="G371" s="3" t="inlineStr"/>
      <c r="H371" s="3" t="inlineStr">
        <is>
          <t>Beban Penyusutan Inventaris Ruangan</t>
        </is>
      </c>
      <c r="I371" s="5">
        <f>Penyusutan!M371</f>
        <v/>
      </c>
      <c r="J371" s="3" t="inlineStr"/>
      <c r="K371" s="3" t="inlineStr">
        <is>
          <t>Akumulasi Penyusutan Inventaris Ruangan</t>
        </is>
      </c>
      <c r="L371" s="5">
        <f>Penyusutan!M371</f>
        <v/>
      </c>
      <c r="M371" s="3">
        <f>IF(E371="","","Penyusutan "&amp;E371&amp;" periode "&amp;C371)</f>
        <v/>
      </c>
    </row>
    <row r="372">
      <c r="A372" s="3">
        <f>IF(Penyusutan!D372="","","JRN-"&amp;TEXT(ROW()-1,"0000"))</f>
        <v/>
      </c>
      <c r="B372" s="4" t="n">
        <v>46022</v>
      </c>
      <c r="C372" s="3">
        <f>Penyusutan!B372</f>
        <v/>
      </c>
      <c r="D372" s="3">
        <f>Penyusutan!C372</f>
        <v/>
      </c>
      <c r="E372" s="3">
        <f>Penyusutan!D372</f>
        <v/>
      </c>
      <c r="F372" s="3" t="inlineStr">
        <is>
          <t>Inventaris Ruangan</t>
        </is>
      </c>
      <c r="G372" s="3" t="inlineStr"/>
      <c r="H372" s="3" t="inlineStr">
        <is>
          <t>Beban Penyusutan Inventaris Ruangan</t>
        </is>
      </c>
      <c r="I372" s="5">
        <f>Penyusutan!M372</f>
        <v/>
      </c>
      <c r="J372" s="3" t="inlineStr"/>
      <c r="K372" s="3" t="inlineStr">
        <is>
          <t>Akumulasi Penyusutan Inventaris Ruangan</t>
        </is>
      </c>
      <c r="L372" s="5">
        <f>Penyusutan!M372</f>
        <v/>
      </c>
      <c r="M372" s="3">
        <f>IF(E372="","","Penyusutan "&amp;E372&amp;" periode "&amp;C372)</f>
        <v/>
      </c>
    </row>
    <row r="373">
      <c r="A373" s="3">
        <f>IF(Penyusutan!D373="","","JRN-"&amp;TEXT(ROW()-1,"0000"))</f>
        <v/>
      </c>
      <c r="B373" s="4" t="n">
        <v>46022</v>
      </c>
      <c r="C373" s="3">
        <f>Penyusutan!B373</f>
        <v/>
      </c>
      <c r="D373" s="3">
        <f>Penyusutan!C373</f>
        <v/>
      </c>
      <c r="E373" s="3">
        <f>Penyusutan!D373</f>
        <v/>
      </c>
      <c r="F373" s="3" t="inlineStr">
        <is>
          <t>Inventaris Ruangan</t>
        </is>
      </c>
      <c r="G373" s="3" t="inlineStr"/>
      <c r="H373" s="3" t="inlineStr">
        <is>
          <t>Beban Penyusutan Inventaris Ruangan</t>
        </is>
      </c>
      <c r="I373" s="5">
        <f>Penyusutan!M373</f>
        <v/>
      </c>
      <c r="J373" s="3" t="inlineStr"/>
      <c r="K373" s="3" t="inlineStr">
        <is>
          <t>Akumulasi Penyusutan Inventaris Ruangan</t>
        </is>
      </c>
      <c r="L373" s="5">
        <f>Penyusutan!M373</f>
        <v/>
      </c>
      <c r="M373" s="3">
        <f>IF(E373="","","Penyusutan "&amp;E373&amp;" periode "&amp;C373)</f>
        <v/>
      </c>
    </row>
    <row r="374">
      <c r="A374" s="3">
        <f>IF(Penyusutan!D374="","","JRN-"&amp;TEXT(ROW()-1,"0000"))</f>
        <v/>
      </c>
      <c r="B374" s="4" t="n">
        <v>46022</v>
      </c>
      <c r="C374" s="3">
        <f>Penyusutan!B374</f>
        <v/>
      </c>
      <c r="D374" s="3">
        <f>Penyusutan!C374</f>
        <v/>
      </c>
      <c r="E374" s="3">
        <f>Penyusutan!D374</f>
        <v/>
      </c>
      <c r="F374" s="3" t="inlineStr">
        <is>
          <t>Inventaris Ruangan</t>
        </is>
      </c>
      <c r="G374" s="3" t="inlineStr"/>
      <c r="H374" s="3" t="inlineStr">
        <is>
          <t>Beban Penyusutan Inventaris Ruangan</t>
        </is>
      </c>
      <c r="I374" s="5">
        <f>Penyusutan!M374</f>
        <v/>
      </c>
      <c r="J374" s="3" t="inlineStr"/>
      <c r="K374" s="3" t="inlineStr">
        <is>
          <t>Akumulasi Penyusutan Inventaris Ruangan</t>
        </is>
      </c>
      <c r="L374" s="5">
        <f>Penyusutan!M374</f>
        <v/>
      </c>
      <c r="M374" s="3">
        <f>IF(E374="","","Penyusutan "&amp;E374&amp;" periode "&amp;C374)</f>
        <v/>
      </c>
    </row>
    <row r="375">
      <c r="A375" s="3">
        <f>IF(Penyusutan!D375="","","JRN-"&amp;TEXT(ROW()-1,"0000"))</f>
        <v/>
      </c>
      <c r="B375" s="4" t="n">
        <v>46022</v>
      </c>
      <c r="C375" s="3">
        <f>Penyusutan!B375</f>
        <v/>
      </c>
      <c r="D375" s="3">
        <f>Penyusutan!C375</f>
        <v/>
      </c>
      <c r="E375" s="3">
        <f>Penyusutan!D375</f>
        <v/>
      </c>
      <c r="F375" s="3" t="inlineStr">
        <is>
          <t>Inventaris Ruangan</t>
        </is>
      </c>
      <c r="G375" s="3" t="inlineStr"/>
      <c r="H375" s="3" t="inlineStr">
        <is>
          <t>Beban Penyusutan Inventaris Ruangan</t>
        </is>
      </c>
      <c r="I375" s="5">
        <f>Penyusutan!M375</f>
        <v/>
      </c>
      <c r="J375" s="3" t="inlineStr"/>
      <c r="K375" s="3" t="inlineStr">
        <is>
          <t>Akumulasi Penyusutan Inventaris Ruangan</t>
        </is>
      </c>
      <c r="L375" s="5">
        <f>Penyusutan!M375</f>
        <v/>
      </c>
      <c r="M375" s="3">
        <f>IF(E375="","","Penyusutan "&amp;E375&amp;" periode "&amp;C375)</f>
        <v/>
      </c>
    </row>
    <row r="376">
      <c r="A376" s="3">
        <f>IF(Penyusutan!D376="","","JRN-"&amp;TEXT(ROW()-1,"0000"))</f>
        <v/>
      </c>
      <c r="B376" s="4" t="n">
        <v>46022</v>
      </c>
      <c r="C376" s="3">
        <f>Penyusutan!B376</f>
        <v/>
      </c>
      <c r="D376" s="3">
        <f>Penyusutan!C376</f>
        <v/>
      </c>
      <c r="E376" s="3">
        <f>Penyusutan!D376</f>
        <v/>
      </c>
      <c r="F376" s="3" t="inlineStr">
        <is>
          <t>Inventaris Ruangan</t>
        </is>
      </c>
      <c r="G376" s="3" t="inlineStr"/>
      <c r="H376" s="3" t="inlineStr">
        <is>
          <t>Beban Penyusutan Inventaris Ruangan</t>
        </is>
      </c>
      <c r="I376" s="5">
        <f>Penyusutan!M376</f>
        <v/>
      </c>
      <c r="J376" s="3" t="inlineStr"/>
      <c r="K376" s="3" t="inlineStr">
        <is>
          <t>Akumulasi Penyusutan Inventaris Ruangan</t>
        </is>
      </c>
      <c r="L376" s="5">
        <f>Penyusutan!M376</f>
        <v/>
      </c>
      <c r="M376" s="3">
        <f>IF(E376="","","Penyusutan "&amp;E376&amp;" periode "&amp;C376)</f>
        <v/>
      </c>
    </row>
    <row r="377">
      <c r="A377" s="3">
        <f>IF(Penyusutan!D377="","","JRN-"&amp;TEXT(ROW()-1,"0000"))</f>
        <v/>
      </c>
      <c r="B377" s="4" t="n">
        <v>46022</v>
      </c>
      <c r="C377" s="3">
        <f>Penyusutan!B377</f>
        <v/>
      </c>
      <c r="D377" s="3">
        <f>Penyusutan!C377</f>
        <v/>
      </c>
      <c r="E377" s="3">
        <f>Penyusutan!D377</f>
        <v/>
      </c>
      <c r="F377" s="3" t="inlineStr">
        <is>
          <t>Inventaris Ruangan</t>
        </is>
      </c>
      <c r="G377" s="3" t="inlineStr"/>
      <c r="H377" s="3" t="inlineStr">
        <is>
          <t>Beban Penyusutan Inventaris Ruangan</t>
        </is>
      </c>
      <c r="I377" s="5">
        <f>Penyusutan!M377</f>
        <v/>
      </c>
      <c r="J377" s="3" t="inlineStr"/>
      <c r="K377" s="3" t="inlineStr">
        <is>
          <t>Akumulasi Penyusutan Inventaris Ruangan</t>
        </is>
      </c>
      <c r="L377" s="5">
        <f>Penyusutan!M377</f>
        <v/>
      </c>
      <c r="M377" s="3">
        <f>IF(E377="","","Penyusutan "&amp;E377&amp;" periode "&amp;C377)</f>
        <v/>
      </c>
    </row>
    <row r="378">
      <c r="A378" s="3">
        <f>IF(Penyusutan!D378="","","JRN-"&amp;TEXT(ROW()-1,"0000"))</f>
        <v/>
      </c>
      <c r="B378" s="4" t="n">
        <v>46022</v>
      </c>
      <c r="C378" s="3">
        <f>Penyusutan!B378</f>
        <v/>
      </c>
      <c r="D378" s="3">
        <f>Penyusutan!C378</f>
        <v/>
      </c>
      <c r="E378" s="3">
        <f>Penyusutan!D378</f>
        <v/>
      </c>
      <c r="F378" s="3" t="inlineStr">
        <is>
          <t>Inventaris Ruangan</t>
        </is>
      </c>
      <c r="G378" s="3" t="inlineStr"/>
      <c r="H378" s="3" t="inlineStr">
        <is>
          <t>Beban Penyusutan Inventaris Ruangan</t>
        </is>
      </c>
      <c r="I378" s="5">
        <f>Penyusutan!M378</f>
        <v/>
      </c>
      <c r="J378" s="3" t="inlineStr"/>
      <c r="K378" s="3" t="inlineStr">
        <is>
          <t>Akumulasi Penyusutan Inventaris Ruangan</t>
        </is>
      </c>
      <c r="L378" s="5">
        <f>Penyusutan!M378</f>
        <v/>
      </c>
      <c r="M378" s="3">
        <f>IF(E378="","","Penyusutan "&amp;E378&amp;" periode "&amp;C378)</f>
        <v/>
      </c>
    </row>
    <row r="379">
      <c r="A379" s="3">
        <f>IF(Penyusutan!D379="","","JRN-"&amp;TEXT(ROW()-1,"0000"))</f>
        <v/>
      </c>
      <c r="B379" s="4" t="n">
        <v>46022</v>
      </c>
      <c r="C379" s="3">
        <f>Penyusutan!B379</f>
        <v/>
      </c>
      <c r="D379" s="3">
        <f>Penyusutan!C379</f>
        <v/>
      </c>
      <c r="E379" s="3">
        <f>Penyusutan!D379</f>
        <v/>
      </c>
      <c r="F379" s="3" t="inlineStr">
        <is>
          <t>Inventaris Ruangan</t>
        </is>
      </c>
      <c r="G379" s="3" t="inlineStr"/>
      <c r="H379" s="3" t="inlineStr">
        <is>
          <t>Beban Penyusutan Inventaris Ruangan</t>
        </is>
      </c>
      <c r="I379" s="5">
        <f>Penyusutan!M379</f>
        <v/>
      </c>
      <c r="J379" s="3" t="inlineStr"/>
      <c r="K379" s="3" t="inlineStr">
        <is>
          <t>Akumulasi Penyusutan Inventaris Ruangan</t>
        </is>
      </c>
      <c r="L379" s="5">
        <f>Penyusutan!M379</f>
        <v/>
      </c>
      <c r="M379" s="3">
        <f>IF(E379="","","Penyusutan "&amp;E379&amp;" periode "&amp;C379)</f>
        <v/>
      </c>
    </row>
    <row r="380">
      <c r="A380" s="3">
        <f>IF(Penyusutan!D380="","","JRN-"&amp;TEXT(ROW()-1,"0000"))</f>
        <v/>
      </c>
      <c r="B380" s="4" t="n">
        <v>46022</v>
      </c>
      <c r="C380" s="3">
        <f>Penyusutan!B380</f>
        <v/>
      </c>
      <c r="D380" s="3">
        <f>Penyusutan!C380</f>
        <v/>
      </c>
      <c r="E380" s="3">
        <f>Penyusutan!D380</f>
        <v/>
      </c>
      <c r="F380" s="3" t="inlineStr">
        <is>
          <t>Inventaris Ruangan</t>
        </is>
      </c>
      <c r="G380" s="3" t="inlineStr"/>
      <c r="H380" s="3" t="inlineStr">
        <is>
          <t>Beban Penyusutan Inventaris Ruangan</t>
        </is>
      </c>
      <c r="I380" s="5">
        <f>Penyusutan!M380</f>
        <v/>
      </c>
      <c r="J380" s="3" t="inlineStr"/>
      <c r="K380" s="3" t="inlineStr">
        <is>
          <t>Akumulasi Penyusutan Inventaris Ruangan</t>
        </is>
      </c>
      <c r="L380" s="5">
        <f>Penyusutan!M380</f>
        <v/>
      </c>
      <c r="M380" s="3">
        <f>IF(E380="","","Penyusutan "&amp;E380&amp;" periode "&amp;C380)</f>
        <v/>
      </c>
    </row>
    <row r="381">
      <c r="A381" s="3">
        <f>IF(Penyusutan!D381="","","JRN-"&amp;TEXT(ROW()-1,"0000"))</f>
        <v/>
      </c>
      <c r="B381" s="4" t="n">
        <v>46022</v>
      </c>
      <c r="C381" s="3">
        <f>Penyusutan!B381</f>
        <v/>
      </c>
      <c r="D381" s="3">
        <f>Penyusutan!C381</f>
        <v/>
      </c>
      <c r="E381" s="3">
        <f>Penyusutan!D381</f>
        <v/>
      </c>
      <c r="F381" s="3" t="inlineStr">
        <is>
          <t>Inventaris Ruangan</t>
        </is>
      </c>
      <c r="G381" s="3" t="inlineStr"/>
      <c r="H381" s="3" t="inlineStr">
        <is>
          <t>Beban Penyusutan Inventaris Ruangan</t>
        </is>
      </c>
      <c r="I381" s="5">
        <f>Penyusutan!M381</f>
        <v/>
      </c>
      <c r="J381" s="3" t="inlineStr"/>
      <c r="K381" s="3" t="inlineStr">
        <is>
          <t>Akumulasi Penyusutan Inventaris Ruangan</t>
        </is>
      </c>
      <c r="L381" s="5">
        <f>Penyusutan!M381</f>
        <v/>
      </c>
      <c r="M381" s="3">
        <f>IF(E381="","","Penyusutan "&amp;E381&amp;" periode "&amp;C381)</f>
        <v/>
      </c>
    </row>
    <row r="382">
      <c r="A382" s="3">
        <f>IF(Penyusutan!D382="","","JRN-"&amp;TEXT(ROW()-1,"0000"))</f>
        <v/>
      </c>
      <c r="B382" s="4" t="n">
        <v>46022</v>
      </c>
      <c r="C382" s="3">
        <f>Penyusutan!B382</f>
        <v/>
      </c>
      <c r="D382" s="3">
        <f>Penyusutan!C382</f>
        <v/>
      </c>
      <c r="E382" s="3">
        <f>Penyusutan!D382</f>
        <v/>
      </c>
      <c r="F382" s="3" t="inlineStr">
        <is>
          <t>Inventaris Ruangan</t>
        </is>
      </c>
      <c r="G382" s="3" t="inlineStr"/>
      <c r="H382" s="3" t="inlineStr">
        <is>
          <t>Beban Penyusutan Inventaris Ruangan</t>
        </is>
      </c>
      <c r="I382" s="5">
        <f>Penyusutan!M382</f>
        <v/>
      </c>
      <c r="J382" s="3" t="inlineStr"/>
      <c r="K382" s="3" t="inlineStr">
        <is>
          <t>Akumulasi Penyusutan Inventaris Ruangan</t>
        </is>
      </c>
      <c r="L382" s="5">
        <f>Penyusutan!M382</f>
        <v/>
      </c>
      <c r="M382" s="3">
        <f>IF(E382="","","Penyusutan "&amp;E382&amp;" periode "&amp;C382)</f>
        <v/>
      </c>
    </row>
    <row r="383">
      <c r="A383" s="3">
        <f>IF(Penyusutan!D383="","","JRN-"&amp;TEXT(ROW()-1,"0000"))</f>
        <v/>
      </c>
      <c r="B383" s="4" t="n">
        <v>46022</v>
      </c>
      <c r="C383" s="3">
        <f>Penyusutan!B383</f>
        <v/>
      </c>
      <c r="D383" s="3">
        <f>Penyusutan!C383</f>
        <v/>
      </c>
      <c r="E383" s="3">
        <f>Penyusutan!D383</f>
        <v/>
      </c>
      <c r="F383" s="3" t="inlineStr">
        <is>
          <t>Inventaris Ruangan</t>
        </is>
      </c>
      <c r="G383" s="3" t="inlineStr"/>
      <c r="H383" s="3" t="inlineStr">
        <is>
          <t>Beban Penyusutan Inventaris Ruangan</t>
        </is>
      </c>
      <c r="I383" s="5">
        <f>Penyusutan!M383</f>
        <v/>
      </c>
      <c r="J383" s="3" t="inlineStr"/>
      <c r="K383" s="3" t="inlineStr">
        <is>
          <t>Akumulasi Penyusutan Inventaris Ruangan</t>
        </is>
      </c>
      <c r="L383" s="5">
        <f>Penyusutan!M383</f>
        <v/>
      </c>
      <c r="M383" s="3">
        <f>IF(E383="","","Penyusutan "&amp;E383&amp;" periode "&amp;C383)</f>
        <v/>
      </c>
    </row>
    <row r="384">
      <c r="A384" s="3">
        <f>IF(Penyusutan!D384="","","JRN-"&amp;TEXT(ROW()-1,"0000"))</f>
        <v/>
      </c>
      <c r="B384" s="4" t="n">
        <v>46022</v>
      </c>
      <c r="C384" s="3">
        <f>Penyusutan!B384</f>
        <v/>
      </c>
      <c r="D384" s="3">
        <f>Penyusutan!C384</f>
        <v/>
      </c>
      <c r="E384" s="3">
        <f>Penyusutan!D384</f>
        <v/>
      </c>
      <c r="F384" s="3" t="inlineStr">
        <is>
          <t>Inventaris Ruangan</t>
        </is>
      </c>
      <c r="G384" s="3" t="inlineStr"/>
      <c r="H384" s="3" t="inlineStr">
        <is>
          <t>Beban Penyusutan Inventaris Ruangan</t>
        </is>
      </c>
      <c r="I384" s="5">
        <f>Penyusutan!M384</f>
        <v/>
      </c>
      <c r="J384" s="3" t="inlineStr"/>
      <c r="K384" s="3" t="inlineStr">
        <is>
          <t>Akumulasi Penyusutan Inventaris Ruangan</t>
        </is>
      </c>
      <c r="L384" s="5">
        <f>Penyusutan!M384</f>
        <v/>
      </c>
      <c r="M384" s="3">
        <f>IF(E384="","","Penyusutan "&amp;E384&amp;" periode "&amp;C384)</f>
        <v/>
      </c>
    </row>
    <row r="385">
      <c r="A385" s="3">
        <f>IF(Penyusutan!D385="","","JRN-"&amp;TEXT(ROW()-1,"0000"))</f>
        <v/>
      </c>
      <c r="B385" s="4" t="n">
        <v>46022</v>
      </c>
      <c r="C385" s="3">
        <f>Penyusutan!B385</f>
        <v/>
      </c>
      <c r="D385" s="3">
        <f>Penyusutan!C385</f>
        <v/>
      </c>
      <c r="E385" s="3">
        <f>Penyusutan!D385</f>
        <v/>
      </c>
      <c r="F385" s="3" t="inlineStr">
        <is>
          <t>Inventaris Ruangan</t>
        </is>
      </c>
      <c r="G385" s="3" t="inlineStr"/>
      <c r="H385" s="3" t="inlineStr">
        <is>
          <t>Beban Penyusutan Inventaris Ruangan</t>
        </is>
      </c>
      <c r="I385" s="5">
        <f>Penyusutan!M385</f>
        <v/>
      </c>
      <c r="J385" s="3" t="inlineStr"/>
      <c r="K385" s="3" t="inlineStr">
        <is>
          <t>Akumulasi Penyusutan Inventaris Ruangan</t>
        </is>
      </c>
      <c r="L385" s="5">
        <f>Penyusutan!M385</f>
        <v/>
      </c>
      <c r="M385" s="3">
        <f>IF(E385="","","Penyusutan "&amp;E385&amp;" periode "&amp;C385)</f>
        <v/>
      </c>
    </row>
    <row r="386">
      <c r="A386" s="3">
        <f>IF(Penyusutan!D386="","","JRN-"&amp;TEXT(ROW()-1,"0000"))</f>
        <v/>
      </c>
      <c r="B386" s="4" t="n">
        <v>46022</v>
      </c>
      <c r="C386" s="3">
        <f>Penyusutan!B386</f>
        <v/>
      </c>
      <c r="D386" s="3">
        <f>Penyusutan!C386</f>
        <v/>
      </c>
      <c r="E386" s="3">
        <f>Penyusutan!D386</f>
        <v/>
      </c>
      <c r="F386" s="3" t="inlineStr">
        <is>
          <t>Inventaris Ruangan</t>
        </is>
      </c>
      <c r="G386" s="3" t="inlineStr"/>
      <c r="H386" s="3" t="inlineStr">
        <is>
          <t>Beban Penyusutan Inventaris Ruangan</t>
        </is>
      </c>
      <c r="I386" s="5">
        <f>Penyusutan!M386</f>
        <v/>
      </c>
      <c r="J386" s="3" t="inlineStr"/>
      <c r="K386" s="3" t="inlineStr">
        <is>
          <t>Akumulasi Penyusutan Inventaris Ruangan</t>
        </is>
      </c>
      <c r="L386" s="5">
        <f>Penyusutan!M386</f>
        <v/>
      </c>
      <c r="M386" s="3">
        <f>IF(E386="","","Penyusutan "&amp;E386&amp;" periode "&amp;C386)</f>
        <v/>
      </c>
    </row>
    <row r="387">
      <c r="A387" s="3">
        <f>IF(Penyusutan!D387="","","JRN-"&amp;TEXT(ROW()-1,"0000"))</f>
        <v/>
      </c>
      <c r="B387" s="4" t="n">
        <v>46022</v>
      </c>
      <c r="C387" s="3">
        <f>Penyusutan!B387</f>
        <v/>
      </c>
      <c r="D387" s="3">
        <f>Penyusutan!C387</f>
        <v/>
      </c>
      <c r="E387" s="3">
        <f>Penyusutan!D387</f>
        <v/>
      </c>
      <c r="F387" s="3" t="inlineStr">
        <is>
          <t>Inventaris Ruangan</t>
        </is>
      </c>
      <c r="G387" s="3" t="inlineStr"/>
      <c r="H387" s="3" t="inlineStr">
        <is>
          <t>Beban Penyusutan Inventaris Ruangan</t>
        </is>
      </c>
      <c r="I387" s="5">
        <f>Penyusutan!M387</f>
        <v/>
      </c>
      <c r="J387" s="3" t="inlineStr"/>
      <c r="K387" s="3" t="inlineStr">
        <is>
          <t>Akumulasi Penyusutan Inventaris Ruangan</t>
        </is>
      </c>
      <c r="L387" s="5">
        <f>Penyusutan!M387</f>
        <v/>
      </c>
      <c r="M387" s="3">
        <f>IF(E387="","","Penyusutan "&amp;E387&amp;" periode "&amp;C387)</f>
        <v/>
      </c>
    </row>
    <row r="388">
      <c r="A388" s="3">
        <f>IF(Penyusutan!D388="","","JRN-"&amp;TEXT(ROW()-1,"0000"))</f>
        <v/>
      </c>
      <c r="B388" s="4" t="n">
        <v>46022</v>
      </c>
      <c r="C388" s="3">
        <f>Penyusutan!B388</f>
        <v/>
      </c>
      <c r="D388" s="3">
        <f>Penyusutan!C388</f>
        <v/>
      </c>
      <c r="E388" s="3">
        <f>Penyusutan!D388</f>
        <v/>
      </c>
      <c r="F388" s="3" t="inlineStr">
        <is>
          <t>Inventaris Ruangan</t>
        </is>
      </c>
      <c r="G388" s="3" t="inlineStr"/>
      <c r="H388" s="3" t="inlineStr">
        <is>
          <t>Beban Penyusutan Inventaris Ruangan</t>
        </is>
      </c>
      <c r="I388" s="5">
        <f>Penyusutan!M388</f>
        <v/>
      </c>
      <c r="J388" s="3" t="inlineStr"/>
      <c r="K388" s="3" t="inlineStr">
        <is>
          <t>Akumulasi Penyusutan Inventaris Ruangan</t>
        </is>
      </c>
      <c r="L388" s="5">
        <f>Penyusutan!M388</f>
        <v/>
      </c>
      <c r="M388" s="3">
        <f>IF(E388="","","Penyusutan "&amp;E388&amp;" periode "&amp;C388)</f>
        <v/>
      </c>
    </row>
    <row r="389">
      <c r="A389" s="3">
        <f>IF(Penyusutan!D389="","","JRN-"&amp;TEXT(ROW()-1,"0000"))</f>
        <v/>
      </c>
      <c r="B389" s="4" t="n">
        <v>46022</v>
      </c>
      <c r="C389" s="3">
        <f>Penyusutan!B389</f>
        <v/>
      </c>
      <c r="D389" s="3">
        <f>Penyusutan!C389</f>
        <v/>
      </c>
      <c r="E389" s="3">
        <f>Penyusutan!D389</f>
        <v/>
      </c>
      <c r="F389" s="3" t="inlineStr">
        <is>
          <t>Inventaris Ruangan</t>
        </is>
      </c>
      <c r="G389" s="3" t="inlineStr"/>
      <c r="H389" s="3" t="inlineStr">
        <is>
          <t>Beban Penyusutan Inventaris Ruangan</t>
        </is>
      </c>
      <c r="I389" s="5">
        <f>Penyusutan!M389</f>
        <v/>
      </c>
      <c r="J389" s="3" t="inlineStr"/>
      <c r="K389" s="3" t="inlineStr">
        <is>
          <t>Akumulasi Penyusutan Inventaris Ruangan</t>
        </is>
      </c>
      <c r="L389" s="5">
        <f>Penyusutan!M389</f>
        <v/>
      </c>
      <c r="M389" s="3">
        <f>IF(E389="","","Penyusutan "&amp;E389&amp;" periode "&amp;C389)</f>
        <v/>
      </c>
    </row>
    <row r="390">
      <c r="A390" s="3">
        <f>IF(Penyusutan!D390="","","JRN-"&amp;TEXT(ROW()-1,"0000"))</f>
        <v/>
      </c>
      <c r="B390" s="4" t="n">
        <v>46022</v>
      </c>
      <c r="C390" s="3">
        <f>Penyusutan!B390</f>
        <v/>
      </c>
      <c r="D390" s="3">
        <f>Penyusutan!C390</f>
        <v/>
      </c>
      <c r="E390" s="3">
        <f>Penyusutan!D390</f>
        <v/>
      </c>
      <c r="F390" s="3" t="inlineStr">
        <is>
          <t>Inventaris Ruangan</t>
        </is>
      </c>
      <c r="G390" s="3" t="inlineStr"/>
      <c r="H390" s="3" t="inlineStr">
        <is>
          <t>Beban Penyusutan Inventaris Ruangan</t>
        </is>
      </c>
      <c r="I390" s="5">
        <f>Penyusutan!M390</f>
        <v/>
      </c>
      <c r="J390" s="3" t="inlineStr"/>
      <c r="K390" s="3" t="inlineStr">
        <is>
          <t>Akumulasi Penyusutan Inventaris Ruangan</t>
        </is>
      </c>
      <c r="L390" s="5">
        <f>Penyusutan!M390</f>
        <v/>
      </c>
      <c r="M390" s="3">
        <f>IF(E390="","","Penyusutan "&amp;E390&amp;" periode "&amp;C390)</f>
        <v/>
      </c>
    </row>
    <row r="391">
      <c r="A391" s="3">
        <f>IF(Penyusutan!D391="","","JRN-"&amp;TEXT(ROW()-1,"0000"))</f>
        <v/>
      </c>
      <c r="B391" s="4" t="n">
        <v>46022</v>
      </c>
      <c r="C391" s="3">
        <f>Penyusutan!B391</f>
        <v/>
      </c>
      <c r="D391" s="3">
        <f>Penyusutan!C391</f>
        <v/>
      </c>
      <c r="E391" s="3">
        <f>Penyusutan!D391</f>
        <v/>
      </c>
      <c r="F391" s="3" t="inlineStr">
        <is>
          <t>Inventaris Ruangan</t>
        </is>
      </c>
      <c r="G391" s="3" t="inlineStr"/>
      <c r="H391" s="3" t="inlineStr">
        <is>
          <t>Beban Penyusutan Inventaris Ruangan</t>
        </is>
      </c>
      <c r="I391" s="5">
        <f>Penyusutan!M391</f>
        <v/>
      </c>
      <c r="J391" s="3" t="inlineStr"/>
      <c r="K391" s="3" t="inlineStr">
        <is>
          <t>Akumulasi Penyusutan Inventaris Ruangan</t>
        </is>
      </c>
      <c r="L391" s="5">
        <f>Penyusutan!M391</f>
        <v/>
      </c>
      <c r="M391" s="3">
        <f>IF(E391="","","Penyusutan "&amp;E391&amp;" periode "&amp;C391)</f>
        <v/>
      </c>
    </row>
    <row r="392">
      <c r="A392" s="3">
        <f>IF(Penyusutan!D392="","","JRN-"&amp;TEXT(ROW()-1,"0000"))</f>
        <v/>
      </c>
      <c r="B392" s="4" t="n">
        <v>46022</v>
      </c>
      <c r="C392" s="3">
        <f>Penyusutan!B392</f>
        <v/>
      </c>
      <c r="D392" s="3">
        <f>Penyusutan!C392</f>
        <v/>
      </c>
      <c r="E392" s="3">
        <f>Penyusutan!D392</f>
        <v/>
      </c>
      <c r="F392" s="3" t="inlineStr">
        <is>
          <t>Inventaris Ruangan</t>
        </is>
      </c>
      <c r="G392" s="3" t="inlineStr"/>
      <c r="H392" s="3" t="inlineStr">
        <is>
          <t>Beban Penyusutan Inventaris Ruangan</t>
        </is>
      </c>
      <c r="I392" s="5">
        <f>Penyusutan!M392</f>
        <v/>
      </c>
      <c r="J392" s="3" t="inlineStr"/>
      <c r="K392" s="3" t="inlineStr">
        <is>
          <t>Akumulasi Penyusutan Inventaris Ruangan</t>
        </is>
      </c>
      <c r="L392" s="5">
        <f>Penyusutan!M392</f>
        <v/>
      </c>
      <c r="M392" s="3">
        <f>IF(E392="","","Penyusutan "&amp;E392&amp;" periode "&amp;C392)</f>
        <v/>
      </c>
    </row>
    <row r="393">
      <c r="A393" s="3">
        <f>IF(Penyusutan!D393="","","JRN-"&amp;TEXT(ROW()-1,"0000"))</f>
        <v/>
      </c>
      <c r="B393" s="4" t="n">
        <v>46022</v>
      </c>
      <c r="C393" s="3">
        <f>Penyusutan!B393</f>
        <v/>
      </c>
      <c r="D393" s="3">
        <f>Penyusutan!C393</f>
        <v/>
      </c>
      <c r="E393" s="3">
        <f>Penyusutan!D393</f>
        <v/>
      </c>
      <c r="F393" s="3" t="inlineStr">
        <is>
          <t>Inventaris Ruangan</t>
        </is>
      </c>
      <c r="G393" s="3" t="inlineStr"/>
      <c r="H393" s="3" t="inlineStr">
        <is>
          <t>Beban Penyusutan Inventaris Ruangan</t>
        </is>
      </c>
      <c r="I393" s="5">
        <f>Penyusutan!M393</f>
        <v/>
      </c>
      <c r="J393" s="3" t="inlineStr"/>
      <c r="K393" s="3" t="inlineStr">
        <is>
          <t>Akumulasi Penyusutan Inventaris Ruangan</t>
        </is>
      </c>
      <c r="L393" s="5">
        <f>Penyusutan!M393</f>
        <v/>
      </c>
      <c r="M393" s="3">
        <f>IF(E393="","","Penyusutan "&amp;E393&amp;" periode "&amp;C393)</f>
        <v/>
      </c>
    </row>
    <row r="394">
      <c r="A394" s="3">
        <f>IF(Penyusutan!D394="","","JRN-"&amp;TEXT(ROW()-1,"0000"))</f>
        <v/>
      </c>
      <c r="B394" s="4" t="n">
        <v>46022</v>
      </c>
      <c r="C394" s="3">
        <f>Penyusutan!B394</f>
        <v/>
      </c>
      <c r="D394" s="3">
        <f>Penyusutan!C394</f>
        <v/>
      </c>
      <c r="E394" s="3">
        <f>Penyusutan!D394</f>
        <v/>
      </c>
      <c r="F394" s="3" t="inlineStr">
        <is>
          <t>Inventaris Ruangan</t>
        </is>
      </c>
      <c r="G394" s="3" t="inlineStr"/>
      <c r="H394" s="3" t="inlineStr">
        <is>
          <t>Beban Penyusutan Inventaris Ruangan</t>
        </is>
      </c>
      <c r="I394" s="5">
        <f>Penyusutan!M394</f>
        <v/>
      </c>
      <c r="J394" s="3" t="inlineStr"/>
      <c r="K394" s="3" t="inlineStr">
        <is>
          <t>Akumulasi Penyusutan Inventaris Ruangan</t>
        </is>
      </c>
      <c r="L394" s="5">
        <f>Penyusutan!M394</f>
        <v/>
      </c>
      <c r="M394" s="3">
        <f>IF(E394="","","Penyusutan "&amp;E394&amp;" periode "&amp;C394)</f>
        <v/>
      </c>
    </row>
    <row r="395">
      <c r="A395" s="3">
        <f>IF(Penyusutan!D395="","","JRN-"&amp;TEXT(ROW()-1,"0000"))</f>
        <v/>
      </c>
      <c r="B395" s="4" t="n">
        <v>46022</v>
      </c>
      <c r="C395" s="3">
        <f>Penyusutan!B395</f>
        <v/>
      </c>
      <c r="D395" s="3">
        <f>Penyusutan!C395</f>
        <v/>
      </c>
      <c r="E395" s="3">
        <f>Penyusutan!D395</f>
        <v/>
      </c>
      <c r="F395" s="3" t="inlineStr">
        <is>
          <t>Inventaris Ruangan</t>
        </is>
      </c>
      <c r="G395" s="3" t="inlineStr"/>
      <c r="H395" s="3" t="inlineStr">
        <is>
          <t>Beban Penyusutan Inventaris Ruangan</t>
        </is>
      </c>
      <c r="I395" s="5">
        <f>Penyusutan!M395</f>
        <v/>
      </c>
      <c r="J395" s="3" t="inlineStr"/>
      <c r="K395" s="3" t="inlineStr">
        <is>
          <t>Akumulasi Penyusutan Inventaris Ruangan</t>
        </is>
      </c>
      <c r="L395" s="5">
        <f>Penyusutan!M395</f>
        <v/>
      </c>
      <c r="M395" s="3">
        <f>IF(E395="","","Penyusutan "&amp;E395&amp;" periode "&amp;C395)</f>
        <v/>
      </c>
    </row>
    <row r="396">
      <c r="A396" s="3">
        <f>IF(Penyusutan!D396="","","JRN-"&amp;TEXT(ROW()-1,"0000"))</f>
        <v/>
      </c>
      <c r="B396" s="4" t="n">
        <v>46022</v>
      </c>
      <c r="C396" s="3">
        <f>Penyusutan!B396</f>
        <v/>
      </c>
      <c r="D396" s="3">
        <f>Penyusutan!C396</f>
        <v/>
      </c>
      <c r="E396" s="3">
        <f>Penyusutan!D396</f>
        <v/>
      </c>
      <c r="F396" s="3" t="inlineStr">
        <is>
          <t>Inventaris Ruangan</t>
        </is>
      </c>
      <c r="G396" s="3" t="inlineStr"/>
      <c r="H396" s="3" t="inlineStr">
        <is>
          <t>Beban Penyusutan Inventaris Ruangan</t>
        </is>
      </c>
      <c r="I396" s="5">
        <f>Penyusutan!M396</f>
        <v/>
      </c>
      <c r="J396" s="3" t="inlineStr"/>
      <c r="K396" s="3" t="inlineStr">
        <is>
          <t>Akumulasi Penyusutan Inventaris Ruangan</t>
        </is>
      </c>
      <c r="L396" s="5">
        <f>Penyusutan!M396</f>
        <v/>
      </c>
      <c r="M396" s="3">
        <f>IF(E396="","","Penyusutan "&amp;E396&amp;" periode "&amp;C396)</f>
        <v/>
      </c>
    </row>
    <row r="397">
      <c r="A397" s="3">
        <f>IF(Penyusutan!D397="","","JRN-"&amp;TEXT(ROW()-1,"0000"))</f>
        <v/>
      </c>
      <c r="B397" s="4" t="n">
        <v>46022</v>
      </c>
      <c r="C397" s="3">
        <f>Penyusutan!B397</f>
        <v/>
      </c>
      <c r="D397" s="3">
        <f>Penyusutan!C397</f>
        <v/>
      </c>
      <c r="E397" s="3">
        <f>Penyusutan!D397</f>
        <v/>
      </c>
      <c r="F397" s="3" t="inlineStr">
        <is>
          <t>Inventaris Ruangan</t>
        </is>
      </c>
      <c r="G397" s="3" t="inlineStr"/>
      <c r="H397" s="3" t="inlineStr">
        <is>
          <t>Beban Penyusutan Inventaris Ruangan</t>
        </is>
      </c>
      <c r="I397" s="5">
        <f>Penyusutan!M397</f>
        <v/>
      </c>
      <c r="J397" s="3" t="inlineStr"/>
      <c r="K397" s="3" t="inlineStr">
        <is>
          <t>Akumulasi Penyusutan Inventaris Ruangan</t>
        </is>
      </c>
      <c r="L397" s="5">
        <f>Penyusutan!M397</f>
        <v/>
      </c>
      <c r="M397" s="3">
        <f>IF(E397="","","Penyusutan "&amp;E397&amp;" periode "&amp;C397)</f>
        <v/>
      </c>
    </row>
    <row r="398">
      <c r="A398" s="3">
        <f>IF(Penyusutan!D398="","","JRN-"&amp;TEXT(ROW()-1,"0000"))</f>
        <v/>
      </c>
      <c r="B398" s="4" t="n">
        <v>46022</v>
      </c>
      <c r="C398" s="3">
        <f>Penyusutan!B398</f>
        <v/>
      </c>
      <c r="D398" s="3">
        <f>Penyusutan!C398</f>
        <v/>
      </c>
      <c r="E398" s="3">
        <f>Penyusutan!D398</f>
        <v/>
      </c>
      <c r="F398" s="3" t="inlineStr">
        <is>
          <t>Inventaris Ruangan</t>
        </is>
      </c>
      <c r="G398" s="3" t="inlineStr"/>
      <c r="H398" s="3" t="inlineStr">
        <is>
          <t>Beban Penyusutan Inventaris Ruangan</t>
        </is>
      </c>
      <c r="I398" s="5">
        <f>Penyusutan!M398</f>
        <v/>
      </c>
      <c r="J398" s="3" t="inlineStr"/>
      <c r="K398" s="3" t="inlineStr">
        <is>
          <t>Akumulasi Penyusutan Inventaris Ruangan</t>
        </is>
      </c>
      <c r="L398" s="5">
        <f>Penyusutan!M398</f>
        <v/>
      </c>
      <c r="M398" s="3">
        <f>IF(E398="","","Penyusutan "&amp;E398&amp;" periode "&amp;C398)</f>
        <v/>
      </c>
    </row>
    <row r="399">
      <c r="A399" s="3">
        <f>IF(Penyusutan!D399="","","JRN-"&amp;TEXT(ROW()-1,"0000"))</f>
        <v/>
      </c>
      <c r="B399" s="4" t="n">
        <v>46022</v>
      </c>
      <c r="C399" s="3">
        <f>Penyusutan!B399</f>
        <v/>
      </c>
      <c r="D399" s="3">
        <f>Penyusutan!C399</f>
        <v/>
      </c>
      <c r="E399" s="3">
        <f>Penyusutan!D399</f>
        <v/>
      </c>
      <c r="F399" s="3" t="inlineStr">
        <is>
          <t>Inventaris Ruangan</t>
        </is>
      </c>
      <c r="G399" s="3" t="inlineStr"/>
      <c r="H399" s="3" t="inlineStr">
        <is>
          <t>Beban Penyusutan Inventaris Ruangan</t>
        </is>
      </c>
      <c r="I399" s="5">
        <f>Penyusutan!M399</f>
        <v/>
      </c>
      <c r="J399" s="3" t="inlineStr"/>
      <c r="K399" s="3" t="inlineStr">
        <is>
          <t>Akumulasi Penyusutan Inventaris Ruangan</t>
        </is>
      </c>
      <c r="L399" s="5">
        <f>Penyusutan!M399</f>
        <v/>
      </c>
      <c r="M399" s="3">
        <f>IF(E399="","","Penyusutan "&amp;E399&amp;" periode "&amp;C399)</f>
        <v/>
      </c>
    </row>
    <row r="400">
      <c r="A400" s="3">
        <f>IF(Penyusutan!D400="","","JRN-"&amp;TEXT(ROW()-1,"0000"))</f>
        <v/>
      </c>
      <c r="B400" s="4" t="n">
        <v>46022</v>
      </c>
      <c r="C400" s="3">
        <f>Penyusutan!B400</f>
        <v/>
      </c>
      <c r="D400" s="3">
        <f>Penyusutan!C400</f>
        <v/>
      </c>
      <c r="E400" s="3">
        <f>Penyusutan!D400</f>
        <v/>
      </c>
      <c r="F400" s="3" t="inlineStr">
        <is>
          <t>Inventaris Ruangan</t>
        </is>
      </c>
      <c r="G400" s="3" t="inlineStr"/>
      <c r="H400" s="3" t="inlineStr">
        <is>
          <t>Beban Penyusutan Inventaris Ruangan</t>
        </is>
      </c>
      <c r="I400" s="5">
        <f>Penyusutan!M400</f>
        <v/>
      </c>
      <c r="J400" s="3" t="inlineStr"/>
      <c r="K400" s="3" t="inlineStr">
        <is>
          <t>Akumulasi Penyusutan Inventaris Ruangan</t>
        </is>
      </c>
      <c r="L400" s="5">
        <f>Penyusutan!M400</f>
        <v/>
      </c>
      <c r="M400" s="3">
        <f>IF(E400="","","Penyusutan "&amp;E400&amp;" periode "&amp;C400)</f>
        <v/>
      </c>
    </row>
    <row r="401">
      <c r="A401" s="3">
        <f>IF(Penyusutan!D401="","","JRN-"&amp;TEXT(ROW()-1,"0000"))</f>
        <v/>
      </c>
      <c r="B401" s="4" t="n">
        <v>46022</v>
      </c>
      <c r="C401" s="3">
        <f>Penyusutan!B401</f>
        <v/>
      </c>
      <c r="D401" s="3">
        <f>Penyusutan!C401</f>
        <v/>
      </c>
      <c r="E401" s="3">
        <f>Penyusutan!D401</f>
        <v/>
      </c>
      <c r="F401" s="3" t="inlineStr">
        <is>
          <t>Inventaris Ruangan</t>
        </is>
      </c>
      <c r="G401" s="3" t="inlineStr"/>
      <c r="H401" s="3" t="inlineStr">
        <is>
          <t>Beban Penyusutan Inventaris Ruangan</t>
        </is>
      </c>
      <c r="I401" s="5">
        <f>Penyusutan!M401</f>
        <v/>
      </c>
      <c r="J401" s="3" t="inlineStr"/>
      <c r="K401" s="3" t="inlineStr">
        <is>
          <t>Akumulasi Penyusutan Inventaris Ruangan</t>
        </is>
      </c>
      <c r="L401" s="5">
        <f>Penyusutan!M401</f>
        <v/>
      </c>
      <c r="M401" s="3">
        <f>IF(E401="","","Penyusutan "&amp;E401&amp;" periode "&amp;C401)</f>
        <v/>
      </c>
    </row>
    <row r="402">
      <c r="A402" s="3">
        <f>IF(Penyusutan!D402="","","JRN-"&amp;TEXT(ROW()-1,"0000"))</f>
        <v/>
      </c>
      <c r="B402" s="4" t="n">
        <v>46022</v>
      </c>
      <c r="C402" s="3">
        <f>Penyusutan!B402</f>
        <v/>
      </c>
      <c r="D402" s="3">
        <f>Penyusutan!C402</f>
        <v/>
      </c>
      <c r="E402" s="3">
        <f>Penyusutan!D402</f>
        <v/>
      </c>
      <c r="F402" s="3" t="inlineStr">
        <is>
          <t>Inventaris Ruangan</t>
        </is>
      </c>
      <c r="G402" s="3" t="inlineStr"/>
      <c r="H402" s="3" t="inlineStr">
        <is>
          <t>Beban Penyusutan Inventaris Ruangan</t>
        </is>
      </c>
      <c r="I402" s="5">
        <f>Penyusutan!M402</f>
        <v/>
      </c>
      <c r="J402" s="3" t="inlineStr"/>
      <c r="K402" s="3" t="inlineStr">
        <is>
          <t>Akumulasi Penyusutan Inventaris Ruangan</t>
        </is>
      </c>
      <c r="L402" s="5">
        <f>Penyusutan!M402</f>
        <v/>
      </c>
      <c r="M402" s="3">
        <f>IF(E402="","","Penyusutan "&amp;E402&amp;" periode "&amp;C402)</f>
        <v/>
      </c>
    </row>
    <row r="403">
      <c r="A403" s="3">
        <f>IF(Penyusutan!D403="","","JRN-"&amp;TEXT(ROW()-1,"0000"))</f>
        <v/>
      </c>
      <c r="B403" s="4" t="n">
        <v>46022</v>
      </c>
      <c r="C403" s="3">
        <f>Penyusutan!B403</f>
        <v/>
      </c>
      <c r="D403" s="3">
        <f>Penyusutan!C403</f>
        <v/>
      </c>
      <c r="E403" s="3">
        <f>Penyusutan!D403</f>
        <v/>
      </c>
      <c r="F403" s="3" t="inlineStr">
        <is>
          <t>Inventaris Ruangan</t>
        </is>
      </c>
      <c r="G403" s="3" t="inlineStr"/>
      <c r="H403" s="3" t="inlineStr">
        <is>
          <t>Beban Penyusutan Inventaris Ruangan</t>
        </is>
      </c>
      <c r="I403" s="5">
        <f>Penyusutan!M403</f>
        <v/>
      </c>
      <c r="J403" s="3" t="inlineStr"/>
      <c r="K403" s="3" t="inlineStr">
        <is>
          <t>Akumulasi Penyusutan Inventaris Ruangan</t>
        </is>
      </c>
      <c r="L403" s="5">
        <f>Penyusutan!M403</f>
        <v/>
      </c>
      <c r="M403" s="3">
        <f>IF(E403="","","Penyusutan "&amp;E403&amp;" periode "&amp;C403)</f>
        <v/>
      </c>
    </row>
    <row r="404">
      <c r="A404" s="3">
        <f>IF(Penyusutan!D404="","","JRN-"&amp;TEXT(ROW()-1,"0000"))</f>
        <v/>
      </c>
      <c r="B404" s="4" t="n">
        <v>46022</v>
      </c>
      <c r="C404" s="3">
        <f>Penyusutan!B404</f>
        <v/>
      </c>
      <c r="D404" s="3">
        <f>Penyusutan!C404</f>
        <v/>
      </c>
      <c r="E404" s="3">
        <f>Penyusutan!D404</f>
        <v/>
      </c>
      <c r="F404" s="3" t="inlineStr">
        <is>
          <t>Inventaris Ruangan</t>
        </is>
      </c>
      <c r="G404" s="3" t="inlineStr"/>
      <c r="H404" s="3" t="inlineStr">
        <is>
          <t>Beban Penyusutan Inventaris Ruangan</t>
        </is>
      </c>
      <c r="I404" s="5">
        <f>Penyusutan!M404</f>
        <v/>
      </c>
      <c r="J404" s="3" t="inlineStr"/>
      <c r="K404" s="3" t="inlineStr">
        <is>
          <t>Akumulasi Penyusutan Inventaris Ruangan</t>
        </is>
      </c>
      <c r="L404" s="5">
        <f>Penyusutan!M404</f>
        <v/>
      </c>
      <c r="M404" s="3">
        <f>IF(E404="","","Penyusutan "&amp;E404&amp;" periode "&amp;C404)</f>
        <v/>
      </c>
    </row>
    <row r="405">
      <c r="A405" s="3">
        <f>IF(Penyusutan!D405="","","JRN-"&amp;TEXT(ROW()-1,"0000"))</f>
        <v/>
      </c>
      <c r="B405" s="4" t="n">
        <v>46022</v>
      </c>
      <c r="C405" s="3">
        <f>Penyusutan!B405</f>
        <v/>
      </c>
      <c r="D405" s="3">
        <f>Penyusutan!C405</f>
        <v/>
      </c>
      <c r="E405" s="3">
        <f>Penyusutan!D405</f>
        <v/>
      </c>
      <c r="F405" s="3" t="inlineStr">
        <is>
          <t>Inventaris Ruangan</t>
        </is>
      </c>
      <c r="G405" s="3" t="inlineStr"/>
      <c r="H405" s="3" t="inlineStr">
        <is>
          <t>Beban Penyusutan Inventaris Ruangan</t>
        </is>
      </c>
      <c r="I405" s="5">
        <f>Penyusutan!M405</f>
        <v/>
      </c>
      <c r="J405" s="3" t="inlineStr"/>
      <c r="K405" s="3" t="inlineStr">
        <is>
          <t>Akumulasi Penyusutan Inventaris Ruangan</t>
        </is>
      </c>
      <c r="L405" s="5">
        <f>Penyusutan!M405</f>
        <v/>
      </c>
      <c r="M405" s="3">
        <f>IF(E405="","","Penyusutan "&amp;E405&amp;" periode "&amp;C405)</f>
        <v/>
      </c>
    </row>
    <row r="406">
      <c r="A406" s="3">
        <f>IF(Penyusutan!D406="","","JRN-"&amp;TEXT(ROW()-1,"0000"))</f>
        <v/>
      </c>
      <c r="B406" s="4" t="n">
        <v>46022</v>
      </c>
      <c r="C406" s="3">
        <f>Penyusutan!B406</f>
        <v/>
      </c>
      <c r="D406" s="3">
        <f>Penyusutan!C406</f>
        <v/>
      </c>
      <c r="E406" s="3">
        <f>Penyusutan!D406</f>
        <v/>
      </c>
      <c r="F406" s="3" t="inlineStr">
        <is>
          <t>Inventaris Ruangan</t>
        </is>
      </c>
      <c r="G406" s="3" t="inlineStr"/>
      <c r="H406" s="3" t="inlineStr">
        <is>
          <t>Beban Penyusutan Inventaris Ruangan</t>
        </is>
      </c>
      <c r="I406" s="5">
        <f>Penyusutan!M406</f>
        <v/>
      </c>
      <c r="J406" s="3" t="inlineStr"/>
      <c r="K406" s="3" t="inlineStr">
        <is>
          <t>Akumulasi Penyusutan Inventaris Ruangan</t>
        </is>
      </c>
      <c r="L406" s="5">
        <f>Penyusutan!M406</f>
        <v/>
      </c>
      <c r="M406" s="3">
        <f>IF(E406="","","Penyusutan "&amp;E406&amp;" periode "&amp;C406)</f>
        <v/>
      </c>
    </row>
    <row r="407">
      <c r="A407" s="3">
        <f>IF(Penyusutan!D407="","","JRN-"&amp;TEXT(ROW()-1,"0000"))</f>
        <v/>
      </c>
      <c r="B407" s="4" t="n">
        <v>46022</v>
      </c>
      <c r="C407" s="3">
        <f>Penyusutan!B407</f>
        <v/>
      </c>
      <c r="D407" s="3">
        <f>Penyusutan!C407</f>
        <v/>
      </c>
      <c r="E407" s="3">
        <f>Penyusutan!D407</f>
        <v/>
      </c>
      <c r="F407" s="3" t="inlineStr">
        <is>
          <t>Inventaris Ruangan</t>
        </is>
      </c>
      <c r="G407" s="3" t="inlineStr"/>
      <c r="H407" s="3" t="inlineStr">
        <is>
          <t>Beban Penyusutan Inventaris Ruangan</t>
        </is>
      </c>
      <c r="I407" s="5">
        <f>Penyusutan!M407</f>
        <v/>
      </c>
      <c r="J407" s="3" t="inlineStr"/>
      <c r="K407" s="3" t="inlineStr">
        <is>
          <t>Akumulasi Penyusutan Inventaris Ruangan</t>
        </is>
      </c>
      <c r="L407" s="5">
        <f>Penyusutan!M407</f>
        <v/>
      </c>
      <c r="M407" s="3">
        <f>IF(E407="","","Penyusutan "&amp;E407&amp;" periode "&amp;C407)</f>
        <v/>
      </c>
    </row>
    <row r="408">
      <c r="A408" s="3">
        <f>IF(Penyusutan!D408="","","JRN-"&amp;TEXT(ROW()-1,"0000"))</f>
        <v/>
      </c>
      <c r="B408" s="4" t="n">
        <v>46022</v>
      </c>
      <c r="C408" s="3">
        <f>Penyusutan!B408</f>
        <v/>
      </c>
      <c r="D408" s="3">
        <f>Penyusutan!C408</f>
        <v/>
      </c>
      <c r="E408" s="3">
        <f>Penyusutan!D408</f>
        <v/>
      </c>
      <c r="F408" s="3" t="inlineStr">
        <is>
          <t>Inventaris Ruangan</t>
        </is>
      </c>
      <c r="G408" s="3" t="inlineStr"/>
      <c r="H408" s="3" t="inlineStr">
        <is>
          <t>Beban Penyusutan Inventaris Ruangan</t>
        </is>
      </c>
      <c r="I408" s="5">
        <f>Penyusutan!M408</f>
        <v/>
      </c>
      <c r="J408" s="3" t="inlineStr"/>
      <c r="K408" s="3" t="inlineStr">
        <is>
          <t>Akumulasi Penyusutan Inventaris Ruangan</t>
        </is>
      </c>
      <c r="L408" s="5">
        <f>Penyusutan!M408</f>
        <v/>
      </c>
      <c r="M408" s="3">
        <f>IF(E408="","","Penyusutan "&amp;E408&amp;" periode "&amp;C408)</f>
        <v/>
      </c>
    </row>
    <row r="409">
      <c r="A409" s="3">
        <f>IF(Penyusutan!D409="","","JRN-"&amp;TEXT(ROW()-1,"0000"))</f>
        <v/>
      </c>
      <c r="B409" s="4" t="n">
        <v>46022</v>
      </c>
      <c r="C409" s="3">
        <f>Penyusutan!B409</f>
        <v/>
      </c>
      <c r="D409" s="3">
        <f>Penyusutan!C409</f>
        <v/>
      </c>
      <c r="E409" s="3">
        <f>Penyusutan!D409</f>
        <v/>
      </c>
      <c r="F409" s="3" t="inlineStr">
        <is>
          <t>Inventaris Ruangan</t>
        </is>
      </c>
      <c r="G409" s="3" t="inlineStr"/>
      <c r="H409" s="3" t="inlineStr">
        <is>
          <t>Beban Penyusutan Inventaris Ruangan</t>
        </is>
      </c>
      <c r="I409" s="5">
        <f>Penyusutan!M409</f>
        <v/>
      </c>
      <c r="J409" s="3" t="inlineStr"/>
      <c r="K409" s="3" t="inlineStr">
        <is>
          <t>Akumulasi Penyusutan Inventaris Ruangan</t>
        </is>
      </c>
      <c r="L409" s="5">
        <f>Penyusutan!M409</f>
        <v/>
      </c>
      <c r="M409" s="3">
        <f>IF(E409="","","Penyusutan "&amp;E409&amp;" periode "&amp;C409)</f>
        <v/>
      </c>
    </row>
    <row r="410">
      <c r="A410" s="3">
        <f>IF(Penyusutan!D410="","","JRN-"&amp;TEXT(ROW()-1,"0000"))</f>
        <v/>
      </c>
      <c r="B410" s="4" t="n">
        <v>46022</v>
      </c>
      <c r="C410" s="3">
        <f>Penyusutan!B410</f>
        <v/>
      </c>
      <c r="D410" s="3">
        <f>Penyusutan!C410</f>
        <v/>
      </c>
      <c r="E410" s="3">
        <f>Penyusutan!D410</f>
        <v/>
      </c>
      <c r="F410" s="3" t="inlineStr">
        <is>
          <t>Inventaris Ruangan</t>
        </is>
      </c>
      <c r="G410" s="3" t="inlineStr"/>
      <c r="H410" s="3" t="inlineStr">
        <is>
          <t>Beban Penyusutan Inventaris Ruangan</t>
        </is>
      </c>
      <c r="I410" s="5">
        <f>Penyusutan!M410</f>
        <v/>
      </c>
      <c r="J410" s="3" t="inlineStr"/>
      <c r="K410" s="3" t="inlineStr">
        <is>
          <t>Akumulasi Penyusutan Inventaris Ruangan</t>
        </is>
      </c>
      <c r="L410" s="5">
        <f>Penyusutan!M410</f>
        <v/>
      </c>
      <c r="M410" s="3">
        <f>IF(E410="","","Penyusutan "&amp;E410&amp;" periode "&amp;C410)</f>
        <v/>
      </c>
    </row>
    <row r="411">
      <c r="A411" s="3">
        <f>IF(Penyusutan!D411="","","JRN-"&amp;TEXT(ROW()-1,"0000"))</f>
        <v/>
      </c>
      <c r="B411" s="4" t="n">
        <v>46022</v>
      </c>
      <c r="C411" s="3">
        <f>Penyusutan!B411</f>
        <v/>
      </c>
      <c r="D411" s="3">
        <f>Penyusutan!C411</f>
        <v/>
      </c>
      <c r="E411" s="3">
        <f>Penyusutan!D411</f>
        <v/>
      </c>
      <c r="F411" s="3" t="inlineStr">
        <is>
          <t>Inventaris Ruangan</t>
        </is>
      </c>
      <c r="G411" s="3" t="inlineStr"/>
      <c r="H411" s="3" t="inlineStr">
        <is>
          <t>Beban Penyusutan Inventaris Ruangan</t>
        </is>
      </c>
      <c r="I411" s="5">
        <f>Penyusutan!M411</f>
        <v/>
      </c>
      <c r="J411" s="3" t="inlineStr"/>
      <c r="K411" s="3" t="inlineStr">
        <is>
          <t>Akumulasi Penyusutan Inventaris Ruangan</t>
        </is>
      </c>
      <c r="L411" s="5">
        <f>Penyusutan!M411</f>
        <v/>
      </c>
      <c r="M411" s="3">
        <f>IF(E411="","","Penyusutan "&amp;E411&amp;" periode "&amp;C411)</f>
        <v/>
      </c>
    </row>
    <row r="412">
      <c r="A412" s="3">
        <f>IF(Penyusutan!D412="","","JRN-"&amp;TEXT(ROW()-1,"0000"))</f>
        <v/>
      </c>
      <c r="B412" s="4" t="n">
        <v>46022</v>
      </c>
      <c r="C412" s="3">
        <f>Penyusutan!B412</f>
        <v/>
      </c>
      <c r="D412" s="3">
        <f>Penyusutan!C412</f>
        <v/>
      </c>
      <c r="E412" s="3">
        <f>Penyusutan!D412</f>
        <v/>
      </c>
      <c r="F412" s="3" t="inlineStr">
        <is>
          <t>Inventaris Ruangan</t>
        </is>
      </c>
      <c r="G412" s="3" t="inlineStr"/>
      <c r="H412" s="3" t="inlineStr">
        <is>
          <t>Beban Penyusutan Inventaris Ruangan</t>
        </is>
      </c>
      <c r="I412" s="5">
        <f>Penyusutan!M412</f>
        <v/>
      </c>
      <c r="J412" s="3" t="inlineStr"/>
      <c r="K412" s="3" t="inlineStr">
        <is>
          <t>Akumulasi Penyusutan Inventaris Ruangan</t>
        </is>
      </c>
      <c r="L412" s="5">
        <f>Penyusutan!M412</f>
        <v/>
      </c>
      <c r="M412" s="3">
        <f>IF(E412="","","Penyusutan "&amp;E412&amp;" periode "&amp;C412)</f>
        <v/>
      </c>
    </row>
    <row r="413">
      <c r="A413" s="3">
        <f>IF(Penyusutan!D413="","","JRN-"&amp;TEXT(ROW()-1,"0000"))</f>
        <v/>
      </c>
      <c r="B413" s="4" t="n">
        <v>46022</v>
      </c>
      <c r="C413" s="3">
        <f>Penyusutan!B413</f>
        <v/>
      </c>
      <c r="D413" s="3">
        <f>Penyusutan!C413</f>
        <v/>
      </c>
      <c r="E413" s="3">
        <f>Penyusutan!D413</f>
        <v/>
      </c>
      <c r="F413" s="3" t="inlineStr">
        <is>
          <t>Inventaris Ruangan</t>
        </is>
      </c>
      <c r="G413" s="3" t="inlineStr"/>
      <c r="H413" s="3" t="inlineStr">
        <is>
          <t>Beban Penyusutan Inventaris Ruangan</t>
        </is>
      </c>
      <c r="I413" s="5">
        <f>Penyusutan!M413</f>
        <v/>
      </c>
      <c r="J413" s="3" t="inlineStr"/>
      <c r="K413" s="3" t="inlineStr">
        <is>
          <t>Akumulasi Penyusutan Inventaris Ruangan</t>
        </is>
      </c>
      <c r="L413" s="5">
        <f>Penyusutan!M413</f>
        <v/>
      </c>
      <c r="M413" s="3">
        <f>IF(E413="","","Penyusutan "&amp;E413&amp;" periode "&amp;C413)</f>
        <v/>
      </c>
    </row>
    <row r="414">
      <c r="A414" s="3">
        <f>IF(Penyusutan!D414="","","JRN-"&amp;TEXT(ROW()-1,"0000"))</f>
        <v/>
      </c>
      <c r="B414" s="4" t="n">
        <v>46022</v>
      </c>
      <c r="C414" s="3">
        <f>Penyusutan!B414</f>
        <v/>
      </c>
      <c r="D414" s="3">
        <f>Penyusutan!C414</f>
        <v/>
      </c>
      <c r="E414" s="3">
        <f>Penyusutan!D414</f>
        <v/>
      </c>
      <c r="F414" s="3" t="inlineStr">
        <is>
          <t>Inventaris Ruangan</t>
        </is>
      </c>
      <c r="G414" s="3" t="inlineStr"/>
      <c r="H414" s="3" t="inlineStr">
        <is>
          <t>Beban Penyusutan Inventaris Ruangan</t>
        </is>
      </c>
      <c r="I414" s="5">
        <f>Penyusutan!M414</f>
        <v/>
      </c>
      <c r="J414" s="3" t="inlineStr"/>
      <c r="K414" s="3" t="inlineStr">
        <is>
          <t>Akumulasi Penyusutan Inventaris Ruangan</t>
        </is>
      </c>
      <c r="L414" s="5">
        <f>Penyusutan!M414</f>
        <v/>
      </c>
      <c r="M414" s="3">
        <f>IF(E414="","","Penyusutan "&amp;E414&amp;" periode "&amp;C414)</f>
        <v/>
      </c>
    </row>
    <row r="415">
      <c r="A415" s="3">
        <f>IF(Penyusutan!D415="","","JRN-"&amp;TEXT(ROW()-1,"0000"))</f>
        <v/>
      </c>
      <c r="B415" s="4" t="n">
        <v>46022</v>
      </c>
      <c r="C415" s="3">
        <f>Penyusutan!B415</f>
        <v/>
      </c>
      <c r="D415" s="3">
        <f>Penyusutan!C415</f>
        <v/>
      </c>
      <c r="E415" s="3">
        <f>Penyusutan!D415</f>
        <v/>
      </c>
      <c r="F415" s="3" t="inlineStr">
        <is>
          <t>Inventaris Ruangan</t>
        </is>
      </c>
      <c r="G415" s="3" t="inlineStr"/>
      <c r="H415" s="3" t="inlineStr">
        <is>
          <t>Beban Penyusutan Inventaris Ruangan</t>
        </is>
      </c>
      <c r="I415" s="5">
        <f>Penyusutan!M415</f>
        <v/>
      </c>
      <c r="J415" s="3" t="inlineStr"/>
      <c r="K415" s="3" t="inlineStr">
        <is>
          <t>Akumulasi Penyusutan Inventaris Ruangan</t>
        </is>
      </c>
      <c r="L415" s="5">
        <f>Penyusutan!M415</f>
        <v/>
      </c>
      <c r="M415" s="3">
        <f>IF(E415="","","Penyusutan "&amp;E415&amp;" periode "&amp;C415)</f>
        <v/>
      </c>
    </row>
    <row r="416">
      <c r="A416" s="3">
        <f>IF(Penyusutan!D416="","","JRN-"&amp;TEXT(ROW()-1,"0000"))</f>
        <v/>
      </c>
      <c r="B416" s="4" t="n">
        <v>46022</v>
      </c>
      <c r="C416" s="3">
        <f>Penyusutan!B416</f>
        <v/>
      </c>
      <c r="D416" s="3">
        <f>Penyusutan!C416</f>
        <v/>
      </c>
      <c r="E416" s="3">
        <f>Penyusutan!D416</f>
        <v/>
      </c>
      <c r="F416" s="3" t="inlineStr">
        <is>
          <t>Inventaris Ruangan</t>
        </is>
      </c>
      <c r="G416" s="3" t="inlineStr"/>
      <c r="H416" s="3" t="inlineStr">
        <is>
          <t>Beban Penyusutan Inventaris Ruangan</t>
        </is>
      </c>
      <c r="I416" s="5">
        <f>Penyusutan!M416</f>
        <v/>
      </c>
      <c r="J416" s="3" t="inlineStr"/>
      <c r="K416" s="3" t="inlineStr">
        <is>
          <t>Akumulasi Penyusutan Inventaris Ruangan</t>
        </is>
      </c>
      <c r="L416" s="5">
        <f>Penyusutan!M416</f>
        <v/>
      </c>
      <c r="M416" s="3">
        <f>IF(E416="","","Penyusutan "&amp;E416&amp;" periode "&amp;C416)</f>
        <v/>
      </c>
    </row>
    <row r="417">
      <c r="A417" s="3">
        <f>IF(Penyusutan!D417="","","JRN-"&amp;TEXT(ROW()-1,"0000"))</f>
        <v/>
      </c>
      <c r="B417" s="4" t="n">
        <v>46022</v>
      </c>
      <c r="C417" s="3">
        <f>Penyusutan!B417</f>
        <v/>
      </c>
      <c r="D417" s="3">
        <f>Penyusutan!C417</f>
        <v/>
      </c>
      <c r="E417" s="3">
        <f>Penyusutan!D417</f>
        <v/>
      </c>
      <c r="F417" s="3" t="inlineStr">
        <is>
          <t>Inventaris Ruangan</t>
        </is>
      </c>
      <c r="G417" s="3" t="inlineStr"/>
      <c r="H417" s="3" t="inlineStr">
        <is>
          <t>Beban Penyusutan Inventaris Ruangan</t>
        </is>
      </c>
      <c r="I417" s="5">
        <f>Penyusutan!M417</f>
        <v/>
      </c>
      <c r="J417" s="3" t="inlineStr"/>
      <c r="K417" s="3" t="inlineStr">
        <is>
          <t>Akumulasi Penyusutan Inventaris Ruangan</t>
        </is>
      </c>
      <c r="L417" s="5">
        <f>Penyusutan!M417</f>
        <v/>
      </c>
      <c r="M417" s="3">
        <f>IF(E417="","","Penyusutan "&amp;E417&amp;" periode "&amp;C417)</f>
        <v/>
      </c>
    </row>
    <row r="418">
      <c r="A418" s="3">
        <f>IF(Penyusutan!D418="","","JRN-"&amp;TEXT(ROW()-1,"0000"))</f>
        <v/>
      </c>
      <c r="B418" s="4" t="n">
        <v>46022</v>
      </c>
      <c r="C418" s="3">
        <f>Penyusutan!B418</f>
        <v/>
      </c>
      <c r="D418" s="3">
        <f>Penyusutan!C418</f>
        <v/>
      </c>
      <c r="E418" s="3">
        <f>Penyusutan!D418</f>
        <v/>
      </c>
      <c r="F418" s="3" t="inlineStr">
        <is>
          <t>Inventaris Ruangan</t>
        </is>
      </c>
      <c r="G418" s="3" t="inlineStr"/>
      <c r="H418" s="3" t="inlineStr">
        <is>
          <t>Beban Penyusutan Inventaris Ruangan</t>
        </is>
      </c>
      <c r="I418" s="5">
        <f>Penyusutan!M418</f>
        <v/>
      </c>
      <c r="J418" s="3" t="inlineStr"/>
      <c r="K418" s="3" t="inlineStr">
        <is>
          <t>Akumulasi Penyusutan Inventaris Ruangan</t>
        </is>
      </c>
      <c r="L418" s="5">
        <f>Penyusutan!M418</f>
        <v/>
      </c>
      <c r="M418" s="3">
        <f>IF(E418="","","Penyusutan "&amp;E418&amp;" periode "&amp;C418)</f>
        <v/>
      </c>
    </row>
    <row r="419">
      <c r="A419" s="3">
        <f>IF(Penyusutan!D419="","","JRN-"&amp;TEXT(ROW()-1,"0000"))</f>
        <v/>
      </c>
      <c r="B419" s="4" t="n">
        <v>46022</v>
      </c>
      <c r="C419" s="3">
        <f>Penyusutan!B419</f>
        <v/>
      </c>
      <c r="D419" s="3">
        <f>Penyusutan!C419</f>
        <v/>
      </c>
      <c r="E419" s="3">
        <f>Penyusutan!D419</f>
        <v/>
      </c>
      <c r="F419" s="3" t="inlineStr">
        <is>
          <t>Inventaris Ruangan</t>
        </is>
      </c>
      <c r="G419" s="3" t="inlineStr"/>
      <c r="H419" s="3" t="inlineStr">
        <is>
          <t>Beban Penyusutan Inventaris Ruangan</t>
        </is>
      </c>
      <c r="I419" s="5">
        <f>Penyusutan!M419</f>
        <v/>
      </c>
      <c r="J419" s="3" t="inlineStr"/>
      <c r="K419" s="3" t="inlineStr">
        <is>
          <t>Akumulasi Penyusutan Inventaris Ruangan</t>
        </is>
      </c>
      <c r="L419" s="5">
        <f>Penyusutan!M419</f>
        <v/>
      </c>
      <c r="M419" s="3">
        <f>IF(E419="","","Penyusutan "&amp;E419&amp;" periode "&amp;C419)</f>
        <v/>
      </c>
    </row>
    <row r="420">
      <c r="A420" s="3">
        <f>IF(Penyusutan!D420="","","JRN-"&amp;TEXT(ROW()-1,"0000"))</f>
        <v/>
      </c>
      <c r="B420" s="4" t="n">
        <v>46022</v>
      </c>
      <c r="C420" s="3">
        <f>Penyusutan!B420</f>
        <v/>
      </c>
      <c r="D420" s="3">
        <f>Penyusutan!C420</f>
        <v/>
      </c>
      <c r="E420" s="3">
        <f>Penyusutan!D420</f>
        <v/>
      </c>
      <c r="F420" s="3" t="inlineStr">
        <is>
          <t>Inventaris Ruangan</t>
        </is>
      </c>
      <c r="G420" s="3" t="inlineStr"/>
      <c r="H420" s="3" t="inlineStr">
        <is>
          <t>Beban Penyusutan Inventaris Ruangan</t>
        </is>
      </c>
      <c r="I420" s="5">
        <f>Penyusutan!M420</f>
        <v/>
      </c>
      <c r="J420" s="3" t="inlineStr"/>
      <c r="K420" s="3" t="inlineStr">
        <is>
          <t>Akumulasi Penyusutan Inventaris Ruangan</t>
        </is>
      </c>
      <c r="L420" s="5">
        <f>Penyusutan!M420</f>
        <v/>
      </c>
      <c r="M420" s="3">
        <f>IF(E420="","","Penyusutan "&amp;E420&amp;" periode "&amp;C420)</f>
        <v/>
      </c>
    </row>
    <row r="421">
      <c r="A421" s="3">
        <f>IF(Penyusutan!D421="","","JRN-"&amp;TEXT(ROW()-1,"0000"))</f>
        <v/>
      </c>
      <c r="B421" s="4" t="n">
        <v>46022</v>
      </c>
      <c r="C421" s="3">
        <f>Penyusutan!B421</f>
        <v/>
      </c>
      <c r="D421" s="3">
        <f>Penyusutan!C421</f>
        <v/>
      </c>
      <c r="E421" s="3">
        <f>Penyusutan!D421</f>
        <v/>
      </c>
      <c r="F421" s="3" t="inlineStr">
        <is>
          <t>Inventaris Ruangan</t>
        </is>
      </c>
      <c r="G421" s="3" t="inlineStr"/>
      <c r="H421" s="3" t="inlineStr">
        <is>
          <t>Beban Penyusutan Inventaris Ruangan</t>
        </is>
      </c>
      <c r="I421" s="5">
        <f>Penyusutan!M421</f>
        <v/>
      </c>
      <c r="J421" s="3" t="inlineStr"/>
      <c r="K421" s="3" t="inlineStr">
        <is>
          <t>Akumulasi Penyusutan Inventaris Ruangan</t>
        </is>
      </c>
      <c r="L421" s="5">
        <f>Penyusutan!M421</f>
        <v/>
      </c>
      <c r="M421" s="3">
        <f>IF(E421="","","Penyusutan "&amp;E421&amp;" periode "&amp;C421)</f>
        <v/>
      </c>
    </row>
    <row r="422">
      <c r="A422" s="3">
        <f>IF(Penyusutan!D422="","","JRN-"&amp;TEXT(ROW()-1,"0000"))</f>
        <v/>
      </c>
      <c r="B422" s="4" t="n">
        <v>46022</v>
      </c>
      <c r="C422" s="3">
        <f>Penyusutan!B422</f>
        <v/>
      </c>
      <c r="D422" s="3">
        <f>Penyusutan!C422</f>
        <v/>
      </c>
      <c r="E422" s="3">
        <f>Penyusutan!D422</f>
        <v/>
      </c>
      <c r="F422" s="3" t="inlineStr">
        <is>
          <t>Inventaris Ruangan</t>
        </is>
      </c>
      <c r="G422" s="3" t="inlineStr"/>
      <c r="H422" s="3" t="inlineStr">
        <is>
          <t>Beban Penyusutan Inventaris Ruangan</t>
        </is>
      </c>
      <c r="I422" s="5">
        <f>Penyusutan!M422</f>
        <v/>
      </c>
      <c r="J422" s="3" t="inlineStr"/>
      <c r="K422" s="3" t="inlineStr">
        <is>
          <t>Akumulasi Penyusutan Inventaris Ruangan</t>
        </is>
      </c>
      <c r="L422" s="5">
        <f>Penyusutan!M422</f>
        <v/>
      </c>
      <c r="M422" s="3">
        <f>IF(E422="","","Penyusutan "&amp;E422&amp;" periode "&amp;C422)</f>
        <v/>
      </c>
    </row>
    <row r="423">
      <c r="A423" s="3">
        <f>IF(Penyusutan!D423="","","JRN-"&amp;TEXT(ROW()-1,"0000"))</f>
        <v/>
      </c>
      <c r="B423" s="4" t="n">
        <v>46022</v>
      </c>
      <c r="C423" s="3">
        <f>Penyusutan!B423</f>
        <v/>
      </c>
      <c r="D423" s="3">
        <f>Penyusutan!C423</f>
        <v/>
      </c>
      <c r="E423" s="3">
        <f>Penyusutan!D423</f>
        <v/>
      </c>
      <c r="F423" s="3" t="inlineStr">
        <is>
          <t>Inventaris Ruangan</t>
        </is>
      </c>
      <c r="G423" s="3" t="inlineStr"/>
      <c r="H423" s="3" t="inlineStr">
        <is>
          <t>Beban Penyusutan Inventaris Ruangan</t>
        </is>
      </c>
      <c r="I423" s="5">
        <f>Penyusutan!M423</f>
        <v/>
      </c>
      <c r="J423" s="3" t="inlineStr"/>
      <c r="K423" s="3" t="inlineStr">
        <is>
          <t>Akumulasi Penyusutan Inventaris Ruangan</t>
        </is>
      </c>
      <c r="L423" s="5">
        <f>Penyusutan!M423</f>
        <v/>
      </c>
      <c r="M423" s="3">
        <f>IF(E423="","","Penyusutan "&amp;E423&amp;" periode "&amp;C423)</f>
        <v/>
      </c>
    </row>
    <row r="424">
      <c r="A424" s="3">
        <f>IF(Penyusutan!D424="","","JRN-"&amp;TEXT(ROW()-1,"0000"))</f>
        <v/>
      </c>
      <c r="B424" s="4" t="n">
        <v>46022</v>
      </c>
      <c r="C424" s="3">
        <f>Penyusutan!B424</f>
        <v/>
      </c>
      <c r="D424" s="3">
        <f>Penyusutan!C424</f>
        <v/>
      </c>
      <c r="E424" s="3">
        <f>Penyusutan!D424</f>
        <v/>
      </c>
      <c r="F424" s="3" t="inlineStr">
        <is>
          <t>Inventaris Ruangan</t>
        </is>
      </c>
      <c r="G424" s="3" t="inlineStr"/>
      <c r="H424" s="3" t="inlineStr">
        <is>
          <t>Beban Penyusutan Inventaris Ruangan</t>
        </is>
      </c>
      <c r="I424" s="5">
        <f>Penyusutan!M424</f>
        <v/>
      </c>
      <c r="J424" s="3" t="inlineStr"/>
      <c r="K424" s="3" t="inlineStr">
        <is>
          <t>Akumulasi Penyusutan Inventaris Ruangan</t>
        </is>
      </c>
      <c r="L424" s="5">
        <f>Penyusutan!M424</f>
        <v/>
      </c>
      <c r="M424" s="3">
        <f>IF(E424="","","Penyusutan "&amp;E424&amp;" periode "&amp;C424)</f>
        <v/>
      </c>
    </row>
    <row r="425">
      <c r="A425" s="3">
        <f>IF(Penyusutan!D425="","","JRN-"&amp;TEXT(ROW()-1,"0000"))</f>
        <v/>
      </c>
      <c r="B425" s="4" t="n">
        <v>46022</v>
      </c>
      <c r="C425" s="3">
        <f>Penyusutan!B425</f>
        <v/>
      </c>
      <c r="D425" s="3">
        <f>Penyusutan!C425</f>
        <v/>
      </c>
      <c r="E425" s="3">
        <f>Penyusutan!D425</f>
        <v/>
      </c>
      <c r="F425" s="3" t="inlineStr">
        <is>
          <t>Inventaris Ruangan</t>
        </is>
      </c>
      <c r="G425" s="3" t="inlineStr"/>
      <c r="H425" s="3" t="inlineStr">
        <is>
          <t>Beban Penyusutan Inventaris Ruangan</t>
        </is>
      </c>
      <c r="I425" s="5">
        <f>Penyusutan!M425</f>
        <v/>
      </c>
      <c r="J425" s="3" t="inlineStr"/>
      <c r="K425" s="3" t="inlineStr">
        <is>
          <t>Akumulasi Penyusutan Inventaris Ruangan</t>
        </is>
      </c>
      <c r="L425" s="5">
        <f>Penyusutan!M425</f>
        <v/>
      </c>
      <c r="M425" s="3">
        <f>IF(E425="","","Penyusutan "&amp;E425&amp;" periode "&amp;C425)</f>
        <v/>
      </c>
    </row>
    <row r="426">
      <c r="A426" s="3">
        <f>IF(Penyusutan!D426="","","JRN-"&amp;TEXT(ROW()-1,"0000"))</f>
        <v/>
      </c>
      <c r="B426" s="4" t="n">
        <v>46022</v>
      </c>
      <c r="C426" s="3">
        <f>Penyusutan!B426</f>
        <v/>
      </c>
      <c r="D426" s="3">
        <f>Penyusutan!C426</f>
        <v/>
      </c>
      <c r="E426" s="3">
        <f>Penyusutan!D426</f>
        <v/>
      </c>
      <c r="F426" s="3" t="inlineStr">
        <is>
          <t>Inventaris Ruangan</t>
        </is>
      </c>
      <c r="G426" s="3" t="inlineStr"/>
      <c r="H426" s="3" t="inlineStr">
        <is>
          <t>Beban Penyusutan Inventaris Ruangan</t>
        </is>
      </c>
      <c r="I426" s="5">
        <f>Penyusutan!M426</f>
        <v/>
      </c>
      <c r="J426" s="3" t="inlineStr"/>
      <c r="K426" s="3" t="inlineStr">
        <is>
          <t>Akumulasi Penyusutan Inventaris Ruangan</t>
        </is>
      </c>
      <c r="L426" s="5">
        <f>Penyusutan!M426</f>
        <v/>
      </c>
      <c r="M426" s="3">
        <f>IF(E426="","","Penyusutan "&amp;E426&amp;" periode "&amp;C426)</f>
        <v/>
      </c>
    </row>
    <row r="427">
      <c r="A427" s="3">
        <f>IF(Penyusutan!D427="","","JRN-"&amp;TEXT(ROW()-1,"0000"))</f>
        <v/>
      </c>
      <c r="B427" s="4" t="n">
        <v>46022</v>
      </c>
      <c r="C427" s="3">
        <f>Penyusutan!B427</f>
        <v/>
      </c>
      <c r="D427" s="3">
        <f>Penyusutan!C427</f>
        <v/>
      </c>
      <c r="E427" s="3">
        <f>Penyusutan!D427</f>
        <v/>
      </c>
      <c r="F427" s="3" t="inlineStr">
        <is>
          <t>Inventaris Ruangan</t>
        </is>
      </c>
      <c r="G427" s="3" t="inlineStr"/>
      <c r="H427" s="3" t="inlineStr">
        <is>
          <t>Beban Penyusutan Inventaris Ruangan</t>
        </is>
      </c>
      <c r="I427" s="5">
        <f>Penyusutan!M427</f>
        <v/>
      </c>
      <c r="J427" s="3" t="inlineStr"/>
      <c r="K427" s="3" t="inlineStr">
        <is>
          <t>Akumulasi Penyusutan Inventaris Ruangan</t>
        </is>
      </c>
      <c r="L427" s="5">
        <f>Penyusutan!M427</f>
        <v/>
      </c>
      <c r="M427" s="3">
        <f>IF(E427="","","Penyusutan "&amp;E427&amp;" periode "&amp;C427)</f>
        <v/>
      </c>
    </row>
    <row r="428">
      <c r="A428" s="3">
        <f>IF(Penyusutan!D428="","","JRN-"&amp;TEXT(ROW()-1,"0000"))</f>
        <v/>
      </c>
      <c r="B428" s="4" t="n">
        <v>46022</v>
      </c>
      <c r="C428" s="3">
        <f>Penyusutan!B428</f>
        <v/>
      </c>
      <c r="D428" s="3">
        <f>Penyusutan!C428</f>
        <v/>
      </c>
      <c r="E428" s="3">
        <f>Penyusutan!D428</f>
        <v/>
      </c>
      <c r="F428" s="3" t="inlineStr">
        <is>
          <t>Inventaris Ruangan</t>
        </is>
      </c>
      <c r="G428" s="3" t="inlineStr"/>
      <c r="H428" s="3" t="inlineStr">
        <is>
          <t>Beban Penyusutan Inventaris Ruangan</t>
        </is>
      </c>
      <c r="I428" s="5">
        <f>Penyusutan!M428</f>
        <v/>
      </c>
      <c r="J428" s="3" t="inlineStr"/>
      <c r="K428" s="3" t="inlineStr">
        <is>
          <t>Akumulasi Penyusutan Inventaris Ruangan</t>
        </is>
      </c>
      <c r="L428" s="5">
        <f>Penyusutan!M428</f>
        <v/>
      </c>
      <c r="M428" s="3">
        <f>IF(E428="","","Penyusutan "&amp;E428&amp;" periode "&amp;C428)</f>
        <v/>
      </c>
    </row>
    <row r="429">
      <c r="A429" s="3">
        <f>IF(Penyusutan!D429="","","JRN-"&amp;TEXT(ROW()-1,"0000"))</f>
        <v/>
      </c>
      <c r="B429" s="4" t="n">
        <v>46022</v>
      </c>
      <c r="C429" s="3">
        <f>Penyusutan!B429</f>
        <v/>
      </c>
      <c r="D429" s="3">
        <f>Penyusutan!C429</f>
        <v/>
      </c>
      <c r="E429" s="3">
        <f>Penyusutan!D429</f>
        <v/>
      </c>
      <c r="F429" s="3" t="inlineStr">
        <is>
          <t>Inventaris Ruangan</t>
        </is>
      </c>
      <c r="G429" s="3" t="inlineStr"/>
      <c r="H429" s="3" t="inlineStr">
        <is>
          <t>Beban Penyusutan Inventaris Ruangan</t>
        </is>
      </c>
      <c r="I429" s="5">
        <f>Penyusutan!M429</f>
        <v/>
      </c>
      <c r="J429" s="3" t="inlineStr"/>
      <c r="K429" s="3" t="inlineStr">
        <is>
          <t>Akumulasi Penyusutan Inventaris Ruangan</t>
        </is>
      </c>
      <c r="L429" s="5">
        <f>Penyusutan!M429</f>
        <v/>
      </c>
      <c r="M429" s="3">
        <f>IF(E429="","","Penyusutan "&amp;E429&amp;" periode "&amp;C429)</f>
        <v/>
      </c>
    </row>
    <row r="430">
      <c r="A430" s="3">
        <f>IF(Penyusutan!D430="","","JRN-"&amp;TEXT(ROW()-1,"0000"))</f>
        <v/>
      </c>
      <c r="B430" s="4" t="n">
        <v>46022</v>
      </c>
      <c r="C430" s="3">
        <f>Penyusutan!B430</f>
        <v/>
      </c>
      <c r="D430" s="3">
        <f>Penyusutan!C430</f>
        <v/>
      </c>
      <c r="E430" s="3">
        <f>Penyusutan!D430</f>
        <v/>
      </c>
      <c r="F430" s="3" t="inlineStr">
        <is>
          <t>Inventaris Ruangan</t>
        </is>
      </c>
      <c r="G430" s="3" t="inlineStr"/>
      <c r="H430" s="3" t="inlineStr">
        <is>
          <t>Beban Penyusutan Inventaris Ruangan</t>
        </is>
      </c>
      <c r="I430" s="5">
        <f>Penyusutan!M430</f>
        <v/>
      </c>
      <c r="J430" s="3" t="inlineStr"/>
      <c r="K430" s="3" t="inlineStr">
        <is>
          <t>Akumulasi Penyusutan Inventaris Ruangan</t>
        </is>
      </c>
      <c r="L430" s="5">
        <f>Penyusutan!M430</f>
        <v/>
      </c>
      <c r="M430" s="3">
        <f>IF(E430="","","Penyusutan "&amp;E430&amp;" periode "&amp;C430)</f>
        <v/>
      </c>
    </row>
    <row r="431">
      <c r="A431" s="3">
        <f>IF(Penyusutan!D431="","","JRN-"&amp;TEXT(ROW()-1,"0000"))</f>
        <v/>
      </c>
      <c r="B431" s="4" t="n">
        <v>46022</v>
      </c>
      <c r="C431" s="3">
        <f>Penyusutan!B431</f>
        <v/>
      </c>
      <c r="D431" s="3">
        <f>Penyusutan!C431</f>
        <v/>
      </c>
      <c r="E431" s="3">
        <f>Penyusutan!D431</f>
        <v/>
      </c>
      <c r="F431" s="3" t="inlineStr">
        <is>
          <t>Inventaris Ruangan</t>
        </is>
      </c>
      <c r="G431" s="3" t="inlineStr"/>
      <c r="H431" s="3" t="inlineStr">
        <is>
          <t>Beban Penyusutan Inventaris Ruangan</t>
        </is>
      </c>
      <c r="I431" s="5">
        <f>Penyusutan!M431</f>
        <v/>
      </c>
      <c r="J431" s="3" t="inlineStr"/>
      <c r="K431" s="3" t="inlineStr">
        <is>
          <t>Akumulasi Penyusutan Inventaris Ruangan</t>
        </is>
      </c>
      <c r="L431" s="5">
        <f>Penyusutan!M431</f>
        <v/>
      </c>
      <c r="M431" s="3">
        <f>IF(E431="","","Penyusutan "&amp;E431&amp;" periode "&amp;C431)</f>
        <v/>
      </c>
    </row>
    <row r="432">
      <c r="A432" s="3">
        <f>IF(Penyusutan!D432="","","JRN-"&amp;TEXT(ROW()-1,"0000"))</f>
        <v/>
      </c>
      <c r="B432" s="4" t="n">
        <v>46022</v>
      </c>
      <c r="C432" s="3">
        <f>Penyusutan!B432</f>
        <v/>
      </c>
      <c r="D432" s="3">
        <f>Penyusutan!C432</f>
        <v/>
      </c>
      <c r="E432" s="3">
        <f>Penyusutan!D432</f>
        <v/>
      </c>
      <c r="F432" s="3" t="inlineStr">
        <is>
          <t>Inventaris Ruangan</t>
        </is>
      </c>
      <c r="G432" s="3" t="inlineStr"/>
      <c r="H432" s="3" t="inlineStr">
        <is>
          <t>Beban Penyusutan Inventaris Ruangan</t>
        </is>
      </c>
      <c r="I432" s="5">
        <f>Penyusutan!M432</f>
        <v/>
      </c>
      <c r="J432" s="3" t="inlineStr"/>
      <c r="K432" s="3" t="inlineStr">
        <is>
          <t>Akumulasi Penyusutan Inventaris Ruangan</t>
        </is>
      </c>
      <c r="L432" s="5">
        <f>Penyusutan!M432</f>
        <v/>
      </c>
      <c r="M432" s="3">
        <f>IF(E432="","","Penyusutan "&amp;E432&amp;" periode "&amp;C432)</f>
        <v/>
      </c>
    </row>
    <row r="433">
      <c r="A433" s="3">
        <f>IF(Penyusutan!D433="","","JRN-"&amp;TEXT(ROW()-1,"0000"))</f>
        <v/>
      </c>
      <c r="B433" s="4" t="n">
        <v>46022</v>
      </c>
      <c r="C433" s="3">
        <f>Penyusutan!B433</f>
        <v/>
      </c>
      <c r="D433" s="3">
        <f>Penyusutan!C433</f>
        <v/>
      </c>
      <c r="E433" s="3">
        <f>Penyusutan!D433</f>
        <v/>
      </c>
      <c r="F433" s="3" t="inlineStr">
        <is>
          <t>Inventaris Ruangan</t>
        </is>
      </c>
      <c r="G433" s="3" t="inlineStr"/>
      <c r="H433" s="3" t="inlineStr">
        <is>
          <t>Beban Penyusutan Inventaris Ruangan</t>
        </is>
      </c>
      <c r="I433" s="5">
        <f>Penyusutan!M433</f>
        <v/>
      </c>
      <c r="J433" s="3" t="inlineStr"/>
      <c r="K433" s="3" t="inlineStr">
        <is>
          <t>Akumulasi Penyusutan Inventaris Ruangan</t>
        </is>
      </c>
      <c r="L433" s="5">
        <f>Penyusutan!M433</f>
        <v/>
      </c>
      <c r="M433" s="3">
        <f>IF(E433="","","Penyusutan "&amp;E433&amp;" periode "&amp;C433)</f>
        <v/>
      </c>
    </row>
    <row r="434">
      <c r="A434" s="3">
        <f>IF(Penyusutan!D434="","","JRN-"&amp;TEXT(ROW()-1,"0000"))</f>
        <v/>
      </c>
      <c r="B434" s="4" t="n">
        <v>46022</v>
      </c>
      <c r="C434" s="3">
        <f>Penyusutan!B434</f>
        <v/>
      </c>
      <c r="D434" s="3">
        <f>Penyusutan!C434</f>
        <v/>
      </c>
      <c r="E434" s="3">
        <f>Penyusutan!D434</f>
        <v/>
      </c>
      <c r="F434" s="3" t="inlineStr">
        <is>
          <t>Inventaris Ruangan</t>
        </is>
      </c>
      <c r="G434" s="3" t="inlineStr"/>
      <c r="H434" s="3" t="inlineStr">
        <is>
          <t>Beban Penyusutan Inventaris Ruangan</t>
        </is>
      </c>
      <c r="I434" s="5">
        <f>Penyusutan!M434</f>
        <v/>
      </c>
      <c r="J434" s="3" t="inlineStr"/>
      <c r="K434" s="3" t="inlineStr">
        <is>
          <t>Akumulasi Penyusutan Inventaris Ruangan</t>
        </is>
      </c>
      <c r="L434" s="5">
        <f>Penyusutan!M434</f>
        <v/>
      </c>
      <c r="M434" s="3">
        <f>IF(E434="","","Penyusutan "&amp;E434&amp;" periode "&amp;C434)</f>
        <v/>
      </c>
    </row>
    <row r="435">
      <c r="A435" s="3">
        <f>IF(Penyusutan!D435="","","JRN-"&amp;TEXT(ROW()-1,"0000"))</f>
        <v/>
      </c>
      <c r="B435" s="4" t="n">
        <v>46022</v>
      </c>
      <c r="C435" s="3">
        <f>Penyusutan!B435</f>
        <v/>
      </c>
      <c r="D435" s="3">
        <f>Penyusutan!C435</f>
        <v/>
      </c>
      <c r="E435" s="3">
        <f>Penyusutan!D435</f>
        <v/>
      </c>
      <c r="F435" s="3" t="inlineStr">
        <is>
          <t>Inventaris Ruangan</t>
        </is>
      </c>
      <c r="G435" s="3" t="inlineStr"/>
      <c r="H435" s="3" t="inlineStr">
        <is>
          <t>Beban Penyusutan Inventaris Ruangan</t>
        </is>
      </c>
      <c r="I435" s="5">
        <f>Penyusutan!M435</f>
        <v/>
      </c>
      <c r="J435" s="3" t="inlineStr"/>
      <c r="K435" s="3" t="inlineStr">
        <is>
          <t>Akumulasi Penyusutan Inventaris Ruangan</t>
        </is>
      </c>
      <c r="L435" s="5">
        <f>Penyusutan!M435</f>
        <v/>
      </c>
      <c r="M435" s="3">
        <f>IF(E435="","","Penyusutan "&amp;E435&amp;" periode "&amp;C435)</f>
        <v/>
      </c>
    </row>
    <row r="436">
      <c r="A436" s="3">
        <f>IF(Penyusutan!D436="","","JRN-"&amp;TEXT(ROW()-1,"0000"))</f>
        <v/>
      </c>
      <c r="B436" s="4" t="n">
        <v>46022</v>
      </c>
      <c r="C436" s="3">
        <f>Penyusutan!B436</f>
        <v/>
      </c>
      <c r="D436" s="3">
        <f>Penyusutan!C436</f>
        <v/>
      </c>
      <c r="E436" s="3">
        <f>Penyusutan!D436</f>
        <v/>
      </c>
      <c r="F436" s="3" t="inlineStr">
        <is>
          <t>Inventaris Ruangan</t>
        </is>
      </c>
      <c r="G436" s="3" t="inlineStr"/>
      <c r="H436" s="3" t="inlineStr">
        <is>
          <t>Beban Penyusutan Inventaris Ruangan</t>
        </is>
      </c>
      <c r="I436" s="5">
        <f>Penyusutan!M436</f>
        <v/>
      </c>
      <c r="J436" s="3" t="inlineStr"/>
      <c r="K436" s="3" t="inlineStr">
        <is>
          <t>Akumulasi Penyusutan Inventaris Ruangan</t>
        </is>
      </c>
      <c r="L436" s="5">
        <f>Penyusutan!M436</f>
        <v/>
      </c>
      <c r="M436" s="3">
        <f>IF(E436="","","Penyusutan "&amp;E436&amp;" periode "&amp;C436)</f>
        <v/>
      </c>
    </row>
    <row r="437">
      <c r="A437" s="3">
        <f>IF(Penyusutan!D437="","","JRN-"&amp;TEXT(ROW()-1,"0000"))</f>
        <v/>
      </c>
      <c r="B437" s="4" t="n">
        <v>46022</v>
      </c>
      <c r="C437" s="3">
        <f>Penyusutan!B437</f>
        <v/>
      </c>
      <c r="D437" s="3">
        <f>Penyusutan!C437</f>
        <v/>
      </c>
      <c r="E437" s="3">
        <f>Penyusutan!D437</f>
        <v/>
      </c>
      <c r="F437" s="3" t="inlineStr">
        <is>
          <t>Inventaris Ruangan</t>
        </is>
      </c>
      <c r="G437" s="3" t="inlineStr"/>
      <c r="H437" s="3" t="inlineStr">
        <is>
          <t>Beban Penyusutan Inventaris Ruangan</t>
        </is>
      </c>
      <c r="I437" s="5">
        <f>Penyusutan!M437</f>
        <v/>
      </c>
      <c r="J437" s="3" t="inlineStr"/>
      <c r="K437" s="3" t="inlineStr">
        <is>
          <t>Akumulasi Penyusutan Inventaris Ruangan</t>
        </is>
      </c>
      <c r="L437" s="5">
        <f>Penyusutan!M437</f>
        <v/>
      </c>
      <c r="M437" s="3">
        <f>IF(E437="","","Penyusutan "&amp;E437&amp;" periode "&amp;C437)</f>
        <v/>
      </c>
    </row>
    <row r="438">
      <c r="A438" s="3">
        <f>IF(Penyusutan!D438="","","JRN-"&amp;TEXT(ROW()-1,"0000"))</f>
        <v/>
      </c>
      <c r="B438" s="4" t="n">
        <v>46022</v>
      </c>
      <c r="C438" s="3">
        <f>Penyusutan!B438</f>
        <v/>
      </c>
      <c r="D438" s="3">
        <f>Penyusutan!C438</f>
        <v/>
      </c>
      <c r="E438" s="3">
        <f>Penyusutan!D438</f>
        <v/>
      </c>
      <c r="F438" s="3" t="inlineStr">
        <is>
          <t>Inventaris Ruangan</t>
        </is>
      </c>
      <c r="G438" s="3" t="inlineStr"/>
      <c r="H438" s="3" t="inlineStr">
        <is>
          <t>Beban Penyusutan Inventaris Ruangan</t>
        </is>
      </c>
      <c r="I438" s="5">
        <f>Penyusutan!M438</f>
        <v/>
      </c>
      <c r="J438" s="3" t="inlineStr"/>
      <c r="K438" s="3" t="inlineStr">
        <is>
          <t>Akumulasi Penyusutan Inventaris Ruangan</t>
        </is>
      </c>
      <c r="L438" s="5">
        <f>Penyusutan!M438</f>
        <v/>
      </c>
      <c r="M438" s="3">
        <f>IF(E438="","","Penyusutan "&amp;E438&amp;" periode "&amp;C438)</f>
        <v/>
      </c>
    </row>
    <row r="439">
      <c r="A439" s="3">
        <f>IF(Penyusutan!D439="","","JRN-"&amp;TEXT(ROW()-1,"0000"))</f>
        <v/>
      </c>
      <c r="B439" s="4" t="n">
        <v>46022</v>
      </c>
      <c r="C439" s="3">
        <f>Penyusutan!B439</f>
        <v/>
      </c>
      <c r="D439" s="3">
        <f>Penyusutan!C439</f>
        <v/>
      </c>
      <c r="E439" s="3">
        <f>Penyusutan!D439</f>
        <v/>
      </c>
      <c r="F439" s="3" t="inlineStr">
        <is>
          <t>Inventaris Ruangan</t>
        </is>
      </c>
      <c r="G439" s="3" t="inlineStr"/>
      <c r="H439" s="3" t="inlineStr">
        <is>
          <t>Beban Penyusutan Inventaris Ruangan</t>
        </is>
      </c>
      <c r="I439" s="5">
        <f>Penyusutan!M439</f>
        <v/>
      </c>
      <c r="J439" s="3" t="inlineStr"/>
      <c r="K439" s="3" t="inlineStr">
        <is>
          <t>Akumulasi Penyusutan Inventaris Ruangan</t>
        </is>
      </c>
      <c r="L439" s="5">
        <f>Penyusutan!M439</f>
        <v/>
      </c>
      <c r="M439" s="3">
        <f>IF(E439="","","Penyusutan "&amp;E439&amp;" periode "&amp;C439)</f>
        <v/>
      </c>
    </row>
    <row r="440">
      <c r="A440" s="3">
        <f>IF(Penyusutan!D440="","","JRN-"&amp;TEXT(ROW()-1,"0000"))</f>
        <v/>
      </c>
      <c r="B440" s="4" t="n">
        <v>46022</v>
      </c>
      <c r="C440" s="3">
        <f>Penyusutan!B440</f>
        <v/>
      </c>
      <c r="D440" s="3">
        <f>Penyusutan!C440</f>
        <v/>
      </c>
      <c r="E440" s="3">
        <f>Penyusutan!D440</f>
        <v/>
      </c>
      <c r="F440" s="3" t="inlineStr">
        <is>
          <t>Inventaris Ruangan</t>
        </is>
      </c>
      <c r="G440" s="3" t="inlineStr"/>
      <c r="H440" s="3" t="inlineStr">
        <is>
          <t>Beban Penyusutan Inventaris Ruangan</t>
        </is>
      </c>
      <c r="I440" s="5">
        <f>Penyusutan!M440</f>
        <v/>
      </c>
      <c r="J440" s="3" t="inlineStr"/>
      <c r="K440" s="3" t="inlineStr">
        <is>
          <t>Akumulasi Penyusutan Inventaris Ruangan</t>
        </is>
      </c>
      <c r="L440" s="5">
        <f>Penyusutan!M440</f>
        <v/>
      </c>
      <c r="M440" s="3">
        <f>IF(E440="","","Penyusutan "&amp;E440&amp;" periode "&amp;C440)</f>
        <v/>
      </c>
    </row>
    <row r="441">
      <c r="A441" s="3">
        <f>IF(Penyusutan!D441="","","JRN-"&amp;TEXT(ROW()-1,"0000"))</f>
        <v/>
      </c>
      <c r="B441" s="4" t="n">
        <v>46022</v>
      </c>
      <c r="C441" s="3">
        <f>Penyusutan!B441</f>
        <v/>
      </c>
      <c r="D441" s="3">
        <f>Penyusutan!C441</f>
        <v/>
      </c>
      <c r="E441" s="3">
        <f>Penyusutan!D441</f>
        <v/>
      </c>
      <c r="F441" s="3" t="inlineStr">
        <is>
          <t>Inventaris Ruangan</t>
        </is>
      </c>
      <c r="G441" s="3" t="inlineStr"/>
      <c r="H441" s="3" t="inlineStr">
        <is>
          <t>Beban Penyusutan Inventaris Ruangan</t>
        </is>
      </c>
      <c r="I441" s="5">
        <f>Penyusutan!M441</f>
        <v/>
      </c>
      <c r="J441" s="3" t="inlineStr"/>
      <c r="K441" s="3" t="inlineStr">
        <is>
          <t>Akumulasi Penyusutan Inventaris Ruangan</t>
        </is>
      </c>
      <c r="L441" s="5">
        <f>Penyusutan!M441</f>
        <v/>
      </c>
      <c r="M441" s="3">
        <f>IF(E441="","","Penyusutan "&amp;E441&amp;" periode "&amp;C441)</f>
        <v/>
      </c>
    </row>
    <row r="442">
      <c r="A442" s="3">
        <f>IF(Penyusutan!D442="","","JRN-"&amp;TEXT(ROW()-1,"0000"))</f>
        <v/>
      </c>
      <c r="B442" s="4" t="n">
        <v>46022</v>
      </c>
      <c r="C442" s="3">
        <f>Penyusutan!B442</f>
        <v/>
      </c>
      <c r="D442" s="3">
        <f>Penyusutan!C442</f>
        <v/>
      </c>
      <c r="E442" s="3">
        <f>Penyusutan!D442</f>
        <v/>
      </c>
      <c r="F442" s="3" t="inlineStr">
        <is>
          <t>Inventaris Ruangan</t>
        </is>
      </c>
      <c r="G442" s="3" t="inlineStr"/>
      <c r="H442" s="3" t="inlineStr">
        <is>
          <t>Beban Penyusutan Inventaris Ruangan</t>
        </is>
      </c>
      <c r="I442" s="5">
        <f>Penyusutan!M442</f>
        <v/>
      </c>
      <c r="J442" s="3" t="inlineStr"/>
      <c r="K442" s="3" t="inlineStr">
        <is>
          <t>Akumulasi Penyusutan Inventaris Ruangan</t>
        </is>
      </c>
      <c r="L442" s="5">
        <f>Penyusutan!M442</f>
        <v/>
      </c>
      <c r="M442" s="3">
        <f>IF(E442="","","Penyusutan "&amp;E442&amp;" periode "&amp;C442)</f>
        <v/>
      </c>
    </row>
    <row r="443">
      <c r="A443" s="3">
        <f>IF(Penyusutan!D443="","","JRN-"&amp;TEXT(ROW()-1,"0000"))</f>
        <v/>
      </c>
      <c r="B443" s="4" t="n">
        <v>46022</v>
      </c>
      <c r="C443" s="3">
        <f>Penyusutan!B443</f>
        <v/>
      </c>
      <c r="D443" s="3">
        <f>Penyusutan!C443</f>
        <v/>
      </c>
      <c r="E443" s="3">
        <f>Penyusutan!D443</f>
        <v/>
      </c>
      <c r="F443" s="3" t="inlineStr">
        <is>
          <t>Inventaris Ruangan</t>
        </is>
      </c>
      <c r="G443" s="3" t="inlineStr"/>
      <c r="H443" s="3" t="inlineStr">
        <is>
          <t>Beban Penyusutan Inventaris Ruangan</t>
        </is>
      </c>
      <c r="I443" s="5">
        <f>Penyusutan!M443</f>
        <v/>
      </c>
      <c r="J443" s="3" t="inlineStr"/>
      <c r="K443" s="3" t="inlineStr">
        <is>
          <t>Akumulasi Penyusutan Inventaris Ruangan</t>
        </is>
      </c>
      <c r="L443" s="5">
        <f>Penyusutan!M443</f>
        <v/>
      </c>
      <c r="M443" s="3">
        <f>IF(E443="","","Penyusutan "&amp;E443&amp;" periode "&amp;C443)</f>
        <v/>
      </c>
    </row>
    <row r="444">
      <c r="A444" s="3">
        <f>IF(Penyusutan!D444="","","JRN-"&amp;TEXT(ROW()-1,"0000"))</f>
        <v/>
      </c>
      <c r="B444" s="4" t="n">
        <v>46022</v>
      </c>
      <c r="C444" s="3">
        <f>Penyusutan!B444</f>
        <v/>
      </c>
      <c r="D444" s="3">
        <f>Penyusutan!C444</f>
        <v/>
      </c>
      <c r="E444" s="3">
        <f>Penyusutan!D444</f>
        <v/>
      </c>
      <c r="F444" s="3" t="inlineStr">
        <is>
          <t>Inventaris Ruangan</t>
        </is>
      </c>
      <c r="G444" s="3" t="inlineStr"/>
      <c r="H444" s="3" t="inlineStr">
        <is>
          <t>Beban Penyusutan Inventaris Ruangan</t>
        </is>
      </c>
      <c r="I444" s="5">
        <f>Penyusutan!M444</f>
        <v/>
      </c>
      <c r="J444" s="3" t="inlineStr"/>
      <c r="K444" s="3" t="inlineStr">
        <is>
          <t>Akumulasi Penyusutan Inventaris Ruangan</t>
        </is>
      </c>
      <c r="L444" s="5">
        <f>Penyusutan!M444</f>
        <v/>
      </c>
      <c r="M444" s="3">
        <f>IF(E444="","","Penyusutan "&amp;E444&amp;" periode "&amp;C444)</f>
        <v/>
      </c>
    </row>
    <row r="445">
      <c r="A445" s="3">
        <f>IF(Penyusutan!D445="","","JRN-"&amp;TEXT(ROW()-1,"0000"))</f>
        <v/>
      </c>
      <c r="B445" s="4" t="n">
        <v>46022</v>
      </c>
      <c r="C445" s="3">
        <f>Penyusutan!B445</f>
        <v/>
      </c>
      <c r="D445" s="3">
        <f>Penyusutan!C445</f>
        <v/>
      </c>
      <c r="E445" s="3">
        <f>Penyusutan!D445</f>
        <v/>
      </c>
      <c r="F445" s="3" t="inlineStr">
        <is>
          <t>Inventaris Ruangan</t>
        </is>
      </c>
      <c r="G445" s="3" t="inlineStr"/>
      <c r="H445" s="3" t="inlineStr">
        <is>
          <t>Beban Penyusutan Inventaris Ruangan</t>
        </is>
      </c>
      <c r="I445" s="5">
        <f>Penyusutan!M445</f>
        <v/>
      </c>
      <c r="J445" s="3" t="inlineStr"/>
      <c r="K445" s="3" t="inlineStr">
        <is>
          <t>Akumulasi Penyusutan Inventaris Ruangan</t>
        </is>
      </c>
      <c r="L445" s="5">
        <f>Penyusutan!M445</f>
        <v/>
      </c>
      <c r="M445" s="3">
        <f>IF(E445="","","Penyusutan "&amp;E445&amp;" periode "&amp;C445)</f>
        <v/>
      </c>
    </row>
    <row r="446">
      <c r="A446" s="3">
        <f>IF(Penyusutan!D446="","","JRN-"&amp;TEXT(ROW()-1,"0000"))</f>
        <v/>
      </c>
      <c r="B446" s="4" t="n">
        <v>46022</v>
      </c>
      <c r="C446" s="3">
        <f>Penyusutan!B446</f>
        <v/>
      </c>
      <c r="D446" s="3">
        <f>Penyusutan!C446</f>
        <v/>
      </c>
      <c r="E446" s="3">
        <f>Penyusutan!D446</f>
        <v/>
      </c>
      <c r="F446" s="3" t="inlineStr">
        <is>
          <t>Inventaris Ruangan</t>
        </is>
      </c>
      <c r="G446" s="3" t="inlineStr"/>
      <c r="H446" s="3" t="inlineStr">
        <is>
          <t>Beban Penyusutan Inventaris Ruangan</t>
        </is>
      </c>
      <c r="I446" s="5">
        <f>Penyusutan!M446</f>
        <v/>
      </c>
      <c r="J446" s="3" t="inlineStr"/>
      <c r="K446" s="3" t="inlineStr">
        <is>
          <t>Akumulasi Penyusutan Inventaris Ruangan</t>
        </is>
      </c>
      <c r="L446" s="5">
        <f>Penyusutan!M446</f>
        <v/>
      </c>
      <c r="M446" s="3">
        <f>IF(E446="","","Penyusutan "&amp;E446&amp;" periode "&amp;C446)</f>
        <v/>
      </c>
    </row>
    <row r="447">
      <c r="A447" s="3">
        <f>IF(Penyusutan!D447="","","JRN-"&amp;TEXT(ROW()-1,"0000"))</f>
        <v/>
      </c>
      <c r="B447" s="4" t="n">
        <v>46022</v>
      </c>
      <c r="C447" s="3">
        <f>Penyusutan!B447</f>
        <v/>
      </c>
      <c r="D447" s="3">
        <f>Penyusutan!C447</f>
        <v/>
      </c>
      <c r="E447" s="3">
        <f>Penyusutan!D447</f>
        <v/>
      </c>
      <c r="F447" s="3" t="inlineStr">
        <is>
          <t>Inventaris Ruangan</t>
        </is>
      </c>
      <c r="G447" s="3" t="inlineStr"/>
      <c r="H447" s="3" t="inlineStr">
        <is>
          <t>Beban Penyusutan Inventaris Ruangan</t>
        </is>
      </c>
      <c r="I447" s="5">
        <f>Penyusutan!M447</f>
        <v/>
      </c>
      <c r="J447" s="3" t="inlineStr"/>
      <c r="K447" s="3" t="inlineStr">
        <is>
          <t>Akumulasi Penyusutan Inventaris Ruangan</t>
        </is>
      </c>
      <c r="L447" s="5">
        <f>Penyusutan!M447</f>
        <v/>
      </c>
      <c r="M447" s="3">
        <f>IF(E447="","","Penyusutan "&amp;E447&amp;" periode "&amp;C447)</f>
        <v/>
      </c>
    </row>
    <row r="448">
      <c r="A448" s="3">
        <f>IF(Penyusutan!D448="","","JRN-"&amp;TEXT(ROW()-1,"0000"))</f>
        <v/>
      </c>
      <c r="B448" s="4" t="n">
        <v>46022</v>
      </c>
      <c r="C448" s="3">
        <f>Penyusutan!B448</f>
        <v/>
      </c>
      <c r="D448" s="3">
        <f>Penyusutan!C448</f>
        <v/>
      </c>
      <c r="E448" s="3">
        <f>Penyusutan!D448</f>
        <v/>
      </c>
      <c r="F448" s="3" t="inlineStr">
        <is>
          <t>Inventaris Ruangan</t>
        </is>
      </c>
      <c r="G448" s="3" t="inlineStr"/>
      <c r="H448" s="3" t="inlineStr">
        <is>
          <t>Beban Penyusutan Inventaris Ruangan</t>
        </is>
      </c>
      <c r="I448" s="5">
        <f>Penyusutan!M448</f>
        <v/>
      </c>
      <c r="J448" s="3" t="inlineStr"/>
      <c r="K448" s="3" t="inlineStr">
        <is>
          <t>Akumulasi Penyusutan Inventaris Ruangan</t>
        </is>
      </c>
      <c r="L448" s="5">
        <f>Penyusutan!M448</f>
        <v/>
      </c>
      <c r="M448" s="3">
        <f>IF(E448="","","Penyusutan "&amp;E448&amp;" periode "&amp;C448)</f>
        <v/>
      </c>
    </row>
    <row r="449">
      <c r="A449" s="3">
        <f>IF(Penyusutan!D449="","","JRN-"&amp;TEXT(ROW()-1,"0000"))</f>
        <v/>
      </c>
      <c r="B449" s="4" t="n">
        <v>46022</v>
      </c>
      <c r="C449" s="3">
        <f>Penyusutan!B449</f>
        <v/>
      </c>
      <c r="D449" s="3">
        <f>Penyusutan!C449</f>
        <v/>
      </c>
      <c r="E449" s="3">
        <f>Penyusutan!D449</f>
        <v/>
      </c>
      <c r="F449" s="3" t="inlineStr">
        <is>
          <t>Inventaris Ruangan</t>
        </is>
      </c>
      <c r="G449" s="3" t="inlineStr"/>
      <c r="H449" s="3" t="inlineStr">
        <is>
          <t>Beban Penyusutan Inventaris Ruangan</t>
        </is>
      </c>
      <c r="I449" s="5">
        <f>Penyusutan!M449</f>
        <v/>
      </c>
      <c r="J449" s="3" t="inlineStr"/>
      <c r="K449" s="3" t="inlineStr">
        <is>
          <t>Akumulasi Penyusutan Inventaris Ruangan</t>
        </is>
      </c>
      <c r="L449" s="5">
        <f>Penyusutan!M449</f>
        <v/>
      </c>
      <c r="M449" s="3">
        <f>IF(E449="","","Penyusutan "&amp;E449&amp;" periode "&amp;C449)</f>
        <v/>
      </c>
    </row>
    <row r="450">
      <c r="A450" s="3">
        <f>IF(Penyusutan!D450="","","JRN-"&amp;TEXT(ROW()-1,"0000"))</f>
        <v/>
      </c>
      <c r="B450" s="4" t="n">
        <v>46022</v>
      </c>
      <c r="C450" s="3">
        <f>Penyusutan!B450</f>
        <v/>
      </c>
      <c r="D450" s="3">
        <f>Penyusutan!C450</f>
        <v/>
      </c>
      <c r="E450" s="3">
        <f>Penyusutan!D450</f>
        <v/>
      </c>
      <c r="F450" s="3" t="inlineStr">
        <is>
          <t>Inventaris Ruangan</t>
        </is>
      </c>
      <c r="G450" s="3" t="inlineStr"/>
      <c r="H450" s="3" t="inlineStr">
        <is>
          <t>Beban Penyusutan Inventaris Ruangan</t>
        </is>
      </c>
      <c r="I450" s="5">
        <f>Penyusutan!M450</f>
        <v/>
      </c>
      <c r="J450" s="3" t="inlineStr"/>
      <c r="K450" s="3" t="inlineStr">
        <is>
          <t>Akumulasi Penyusutan Inventaris Ruangan</t>
        </is>
      </c>
      <c r="L450" s="5">
        <f>Penyusutan!M450</f>
        <v/>
      </c>
      <c r="M450" s="3">
        <f>IF(E450="","","Penyusutan "&amp;E450&amp;" periode "&amp;C450)</f>
        <v/>
      </c>
    </row>
    <row r="451">
      <c r="A451" s="3">
        <f>IF(Penyusutan!D451="","","JRN-"&amp;TEXT(ROW()-1,"0000"))</f>
        <v/>
      </c>
      <c r="B451" s="4" t="n">
        <v>46022</v>
      </c>
      <c r="C451" s="3">
        <f>Penyusutan!B451</f>
        <v/>
      </c>
      <c r="D451" s="3">
        <f>Penyusutan!C451</f>
        <v/>
      </c>
      <c r="E451" s="3">
        <f>Penyusutan!D451</f>
        <v/>
      </c>
      <c r="F451" s="3" t="inlineStr">
        <is>
          <t>Inventaris Ruangan</t>
        </is>
      </c>
      <c r="G451" s="3" t="inlineStr"/>
      <c r="H451" s="3" t="inlineStr">
        <is>
          <t>Beban Penyusutan Inventaris Ruangan</t>
        </is>
      </c>
      <c r="I451" s="5">
        <f>Penyusutan!M451</f>
        <v/>
      </c>
      <c r="J451" s="3" t="inlineStr"/>
      <c r="K451" s="3" t="inlineStr">
        <is>
          <t>Akumulasi Penyusutan Inventaris Ruangan</t>
        </is>
      </c>
      <c r="L451" s="5">
        <f>Penyusutan!M451</f>
        <v/>
      </c>
      <c r="M451" s="3">
        <f>IF(E451="","","Penyusutan "&amp;E451&amp;" periode "&amp;C451)</f>
        <v/>
      </c>
    </row>
    <row r="452">
      <c r="A452" s="3">
        <f>IF(Penyusutan!D452="","","JRN-"&amp;TEXT(ROW()-1,"0000"))</f>
        <v/>
      </c>
      <c r="B452" s="4" t="n">
        <v>46022</v>
      </c>
      <c r="C452" s="3">
        <f>Penyusutan!B452</f>
        <v/>
      </c>
      <c r="D452" s="3">
        <f>Penyusutan!C452</f>
        <v/>
      </c>
      <c r="E452" s="3">
        <f>Penyusutan!D452</f>
        <v/>
      </c>
      <c r="F452" s="3" t="inlineStr">
        <is>
          <t>Inventaris Ruangan</t>
        </is>
      </c>
      <c r="G452" s="3" t="inlineStr"/>
      <c r="H452" s="3" t="inlineStr">
        <is>
          <t>Beban Penyusutan Inventaris Ruangan</t>
        </is>
      </c>
      <c r="I452" s="5">
        <f>Penyusutan!M452</f>
        <v/>
      </c>
      <c r="J452" s="3" t="inlineStr"/>
      <c r="K452" s="3" t="inlineStr">
        <is>
          <t>Akumulasi Penyusutan Inventaris Ruangan</t>
        </is>
      </c>
      <c r="L452" s="5">
        <f>Penyusutan!M452</f>
        <v/>
      </c>
      <c r="M452" s="3">
        <f>IF(E452="","","Penyusutan "&amp;E452&amp;" periode "&amp;C452)</f>
        <v/>
      </c>
    </row>
    <row r="453">
      <c r="A453" s="3">
        <f>IF(Penyusutan!D453="","","JRN-"&amp;TEXT(ROW()-1,"0000"))</f>
        <v/>
      </c>
      <c r="B453" s="4" t="n">
        <v>46022</v>
      </c>
      <c r="C453" s="3">
        <f>Penyusutan!B453</f>
        <v/>
      </c>
      <c r="D453" s="3">
        <f>Penyusutan!C453</f>
        <v/>
      </c>
      <c r="E453" s="3">
        <f>Penyusutan!D453</f>
        <v/>
      </c>
      <c r="F453" s="3" t="inlineStr">
        <is>
          <t>Inventaris Ruangan</t>
        </is>
      </c>
      <c r="G453" s="3" t="inlineStr"/>
      <c r="H453" s="3" t="inlineStr">
        <is>
          <t>Beban Penyusutan Inventaris Ruangan</t>
        </is>
      </c>
      <c r="I453" s="5">
        <f>Penyusutan!M453</f>
        <v/>
      </c>
      <c r="J453" s="3" t="inlineStr"/>
      <c r="K453" s="3" t="inlineStr">
        <is>
          <t>Akumulasi Penyusutan Inventaris Ruangan</t>
        </is>
      </c>
      <c r="L453" s="5">
        <f>Penyusutan!M453</f>
        <v/>
      </c>
      <c r="M453" s="3">
        <f>IF(E453="","","Penyusutan "&amp;E453&amp;" periode "&amp;C453)</f>
        <v/>
      </c>
    </row>
    <row r="454">
      <c r="A454" s="3">
        <f>IF(Penyusutan!D454="","","JRN-"&amp;TEXT(ROW()-1,"0000"))</f>
        <v/>
      </c>
      <c r="B454" s="4" t="n">
        <v>46022</v>
      </c>
      <c r="C454" s="3">
        <f>Penyusutan!B454</f>
        <v/>
      </c>
      <c r="D454" s="3">
        <f>Penyusutan!C454</f>
        <v/>
      </c>
      <c r="E454" s="3">
        <f>Penyusutan!D454</f>
        <v/>
      </c>
      <c r="F454" s="3" t="inlineStr">
        <is>
          <t>Inventaris Ruangan</t>
        </is>
      </c>
      <c r="G454" s="3" t="inlineStr"/>
      <c r="H454" s="3" t="inlineStr">
        <is>
          <t>Beban Penyusutan Inventaris Ruangan</t>
        </is>
      </c>
      <c r="I454" s="5">
        <f>Penyusutan!M454</f>
        <v/>
      </c>
      <c r="J454" s="3" t="inlineStr"/>
      <c r="K454" s="3" t="inlineStr">
        <is>
          <t>Akumulasi Penyusutan Inventaris Ruangan</t>
        </is>
      </c>
      <c r="L454" s="5">
        <f>Penyusutan!M454</f>
        <v/>
      </c>
      <c r="M454" s="3">
        <f>IF(E454="","","Penyusutan "&amp;E454&amp;" periode "&amp;C454)</f>
        <v/>
      </c>
    </row>
    <row r="455">
      <c r="A455" s="3">
        <f>IF(Penyusutan!D455="","","JRN-"&amp;TEXT(ROW()-1,"0000"))</f>
        <v/>
      </c>
      <c r="B455" s="4" t="n">
        <v>46022</v>
      </c>
      <c r="C455" s="3">
        <f>Penyusutan!B455</f>
        <v/>
      </c>
      <c r="D455" s="3">
        <f>Penyusutan!C455</f>
        <v/>
      </c>
      <c r="E455" s="3">
        <f>Penyusutan!D455</f>
        <v/>
      </c>
      <c r="F455" s="3" t="inlineStr">
        <is>
          <t>Inventaris Ruangan</t>
        </is>
      </c>
      <c r="G455" s="3" t="inlineStr"/>
      <c r="H455" s="3" t="inlineStr">
        <is>
          <t>Beban Penyusutan Inventaris Ruangan</t>
        </is>
      </c>
      <c r="I455" s="5">
        <f>Penyusutan!M455</f>
        <v/>
      </c>
      <c r="J455" s="3" t="inlineStr"/>
      <c r="K455" s="3" t="inlineStr">
        <is>
          <t>Akumulasi Penyusutan Inventaris Ruangan</t>
        </is>
      </c>
      <c r="L455" s="5">
        <f>Penyusutan!M455</f>
        <v/>
      </c>
      <c r="M455" s="3">
        <f>IF(E455="","","Penyusutan "&amp;E455&amp;" periode "&amp;C455)</f>
        <v/>
      </c>
    </row>
    <row r="456">
      <c r="A456" s="3">
        <f>IF(Penyusutan!D456="","","JRN-"&amp;TEXT(ROW()-1,"0000"))</f>
        <v/>
      </c>
      <c r="B456" s="4" t="n">
        <v>46022</v>
      </c>
      <c r="C456" s="3">
        <f>Penyusutan!B456</f>
        <v/>
      </c>
      <c r="D456" s="3">
        <f>Penyusutan!C456</f>
        <v/>
      </c>
      <c r="E456" s="3">
        <f>Penyusutan!D456</f>
        <v/>
      </c>
      <c r="F456" s="3" t="inlineStr">
        <is>
          <t>Inventaris Ruangan</t>
        </is>
      </c>
      <c r="G456" s="3" t="inlineStr"/>
      <c r="H456" s="3" t="inlineStr">
        <is>
          <t>Beban Penyusutan Inventaris Ruangan</t>
        </is>
      </c>
      <c r="I456" s="5">
        <f>Penyusutan!M456</f>
        <v/>
      </c>
      <c r="J456" s="3" t="inlineStr"/>
      <c r="K456" s="3" t="inlineStr">
        <is>
          <t>Akumulasi Penyusutan Inventaris Ruangan</t>
        </is>
      </c>
      <c r="L456" s="5">
        <f>Penyusutan!M456</f>
        <v/>
      </c>
      <c r="M456" s="3">
        <f>IF(E456="","","Penyusutan "&amp;E456&amp;" periode "&amp;C456)</f>
        <v/>
      </c>
    </row>
    <row r="457">
      <c r="A457" s="3">
        <f>IF(Penyusutan!D457="","","JRN-"&amp;TEXT(ROW()-1,"0000"))</f>
        <v/>
      </c>
      <c r="B457" s="4" t="n">
        <v>46022</v>
      </c>
      <c r="C457" s="3">
        <f>Penyusutan!B457</f>
        <v/>
      </c>
      <c r="D457" s="3">
        <f>Penyusutan!C457</f>
        <v/>
      </c>
      <c r="E457" s="3">
        <f>Penyusutan!D457</f>
        <v/>
      </c>
      <c r="F457" s="3" t="inlineStr">
        <is>
          <t>Inventaris Ruangan</t>
        </is>
      </c>
      <c r="G457" s="3" t="inlineStr"/>
      <c r="H457" s="3" t="inlineStr">
        <is>
          <t>Beban Penyusutan Inventaris Ruangan</t>
        </is>
      </c>
      <c r="I457" s="5">
        <f>Penyusutan!M457</f>
        <v/>
      </c>
      <c r="J457" s="3" t="inlineStr"/>
      <c r="K457" s="3" t="inlineStr">
        <is>
          <t>Akumulasi Penyusutan Inventaris Ruangan</t>
        </is>
      </c>
      <c r="L457" s="5">
        <f>Penyusutan!M457</f>
        <v/>
      </c>
      <c r="M457" s="3">
        <f>IF(E457="","","Penyusutan "&amp;E457&amp;" periode "&amp;C457)</f>
        <v/>
      </c>
    </row>
    <row r="458">
      <c r="A458" s="3">
        <f>IF(Penyusutan!D458="","","JRN-"&amp;TEXT(ROW()-1,"0000"))</f>
        <v/>
      </c>
      <c r="B458" s="4" t="n">
        <v>46022</v>
      </c>
      <c r="C458" s="3">
        <f>Penyusutan!B458</f>
        <v/>
      </c>
      <c r="D458" s="3">
        <f>Penyusutan!C458</f>
        <v/>
      </c>
      <c r="E458" s="3">
        <f>Penyusutan!D458</f>
        <v/>
      </c>
      <c r="F458" s="3" t="inlineStr">
        <is>
          <t>Inventaris Ruangan</t>
        </is>
      </c>
      <c r="G458" s="3" t="inlineStr"/>
      <c r="H458" s="3" t="inlineStr">
        <is>
          <t>Beban Penyusutan Inventaris Ruangan</t>
        </is>
      </c>
      <c r="I458" s="5">
        <f>Penyusutan!M458</f>
        <v/>
      </c>
      <c r="J458" s="3" t="inlineStr"/>
      <c r="K458" s="3" t="inlineStr">
        <is>
          <t>Akumulasi Penyusutan Inventaris Ruangan</t>
        </is>
      </c>
      <c r="L458" s="5">
        <f>Penyusutan!M458</f>
        <v/>
      </c>
      <c r="M458" s="3">
        <f>IF(E458="","","Penyusutan "&amp;E458&amp;" periode "&amp;C458)</f>
        <v/>
      </c>
    </row>
    <row r="459">
      <c r="A459" s="3">
        <f>IF(Penyusutan!D459="","","JRN-"&amp;TEXT(ROW()-1,"0000"))</f>
        <v/>
      </c>
      <c r="B459" s="4" t="n">
        <v>46022</v>
      </c>
      <c r="C459" s="3">
        <f>Penyusutan!B459</f>
        <v/>
      </c>
      <c r="D459" s="3">
        <f>Penyusutan!C459</f>
        <v/>
      </c>
      <c r="E459" s="3">
        <f>Penyusutan!D459</f>
        <v/>
      </c>
      <c r="F459" s="3" t="inlineStr">
        <is>
          <t>Inventaris Ruangan</t>
        </is>
      </c>
      <c r="G459" s="3" t="inlineStr"/>
      <c r="H459" s="3" t="inlineStr">
        <is>
          <t>Beban Penyusutan Inventaris Ruangan</t>
        </is>
      </c>
      <c r="I459" s="5">
        <f>Penyusutan!M459</f>
        <v/>
      </c>
      <c r="J459" s="3" t="inlineStr"/>
      <c r="K459" s="3" t="inlineStr">
        <is>
          <t>Akumulasi Penyusutan Inventaris Ruangan</t>
        </is>
      </c>
      <c r="L459" s="5">
        <f>Penyusutan!M459</f>
        <v/>
      </c>
      <c r="M459" s="3">
        <f>IF(E459="","","Penyusutan "&amp;E459&amp;" periode "&amp;C459)</f>
        <v/>
      </c>
    </row>
    <row r="460">
      <c r="A460" s="3">
        <f>IF(Penyusutan!D460="","","JRN-"&amp;TEXT(ROW()-1,"0000"))</f>
        <v/>
      </c>
      <c r="B460" s="4" t="n">
        <v>46022</v>
      </c>
      <c r="C460" s="3">
        <f>Penyusutan!B460</f>
        <v/>
      </c>
      <c r="D460" s="3">
        <f>Penyusutan!C460</f>
        <v/>
      </c>
      <c r="E460" s="3">
        <f>Penyusutan!D460</f>
        <v/>
      </c>
      <c r="F460" s="3" t="inlineStr">
        <is>
          <t>Inventaris Ruangan</t>
        </is>
      </c>
      <c r="G460" s="3" t="inlineStr"/>
      <c r="H460" s="3" t="inlineStr">
        <is>
          <t>Beban Penyusutan Inventaris Ruangan</t>
        </is>
      </c>
      <c r="I460" s="5">
        <f>Penyusutan!M460</f>
        <v/>
      </c>
      <c r="J460" s="3" t="inlineStr"/>
      <c r="K460" s="3" t="inlineStr">
        <is>
          <t>Akumulasi Penyusutan Inventaris Ruangan</t>
        </is>
      </c>
      <c r="L460" s="5">
        <f>Penyusutan!M460</f>
        <v/>
      </c>
      <c r="M460" s="3">
        <f>IF(E460="","","Penyusutan "&amp;E460&amp;" periode "&amp;C460)</f>
        <v/>
      </c>
    </row>
    <row r="461">
      <c r="A461" s="3">
        <f>IF(Penyusutan!D461="","","JRN-"&amp;TEXT(ROW()-1,"0000"))</f>
        <v/>
      </c>
      <c r="B461" s="4" t="n">
        <v>46022</v>
      </c>
      <c r="C461" s="3">
        <f>Penyusutan!B461</f>
        <v/>
      </c>
      <c r="D461" s="3">
        <f>Penyusutan!C461</f>
        <v/>
      </c>
      <c r="E461" s="3">
        <f>Penyusutan!D461</f>
        <v/>
      </c>
      <c r="F461" s="3" t="inlineStr">
        <is>
          <t>Inventaris Ruangan</t>
        </is>
      </c>
      <c r="G461" s="3" t="inlineStr"/>
      <c r="H461" s="3" t="inlineStr">
        <is>
          <t>Beban Penyusutan Inventaris Ruangan</t>
        </is>
      </c>
      <c r="I461" s="5">
        <f>Penyusutan!M461</f>
        <v/>
      </c>
      <c r="J461" s="3" t="inlineStr"/>
      <c r="K461" s="3" t="inlineStr">
        <is>
          <t>Akumulasi Penyusutan Inventaris Ruangan</t>
        </is>
      </c>
      <c r="L461" s="5">
        <f>Penyusutan!M461</f>
        <v/>
      </c>
      <c r="M461" s="3">
        <f>IF(E461="","","Penyusutan "&amp;E461&amp;" periode "&amp;C461)</f>
        <v/>
      </c>
    </row>
    <row r="462">
      <c r="A462" s="3">
        <f>IF(Penyusutan!D462="","","JRN-"&amp;TEXT(ROW()-1,"0000"))</f>
        <v/>
      </c>
      <c r="B462" s="4" t="n">
        <v>46022</v>
      </c>
      <c r="C462" s="3">
        <f>Penyusutan!B462</f>
        <v/>
      </c>
      <c r="D462" s="3">
        <f>Penyusutan!C462</f>
        <v/>
      </c>
      <c r="E462" s="3">
        <f>Penyusutan!D462</f>
        <v/>
      </c>
      <c r="F462" s="3" t="inlineStr">
        <is>
          <t>Inventaris Ruangan</t>
        </is>
      </c>
      <c r="G462" s="3" t="inlineStr"/>
      <c r="H462" s="3" t="inlineStr">
        <is>
          <t>Beban Penyusutan Inventaris Ruangan</t>
        </is>
      </c>
      <c r="I462" s="5">
        <f>Penyusutan!M462</f>
        <v/>
      </c>
      <c r="J462" s="3" t="inlineStr"/>
      <c r="K462" s="3" t="inlineStr">
        <is>
          <t>Akumulasi Penyusutan Inventaris Ruangan</t>
        </is>
      </c>
      <c r="L462" s="5">
        <f>Penyusutan!M462</f>
        <v/>
      </c>
      <c r="M462" s="3">
        <f>IF(E462="","","Penyusutan "&amp;E462&amp;" periode "&amp;C462)</f>
        <v/>
      </c>
    </row>
    <row r="463">
      <c r="A463" s="3">
        <f>IF(Penyusutan!D463="","","JRN-"&amp;TEXT(ROW()-1,"0000"))</f>
        <v/>
      </c>
      <c r="B463" s="4" t="n">
        <v>46022</v>
      </c>
      <c r="C463" s="3">
        <f>Penyusutan!B463</f>
        <v/>
      </c>
      <c r="D463" s="3">
        <f>Penyusutan!C463</f>
        <v/>
      </c>
      <c r="E463" s="3">
        <f>Penyusutan!D463</f>
        <v/>
      </c>
      <c r="F463" s="3" t="inlineStr">
        <is>
          <t>Inventaris Ruangan</t>
        </is>
      </c>
      <c r="G463" s="3" t="inlineStr"/>
      <c r="H463" s="3" t="inlineStr">
        <is>
          <t>Beban Penyusutan Inventaris Ruangan</t>
        </is>
      </c>
      <c r="I463" s="5">
        <f>Penyusutan!M463</f>
        <v/>
      </c>
      <c r="J463" s="3" t="inlineStr"/>
      <c r="K463" s="3" t="inlineStr">
        <is>
          <t>Akumulasi Penyusutan Inventaris Ruangan</t>
        </is>
      </c>
      <c r="L463" s="5">
        <f>Penyusutan!M463</f>
        <v/>
      </c>
      <c r="M463" s="3">
        <f>IF(E463="","","Penyusutan "&amp;E463&amp;" periode "&amp;C463)</f>
        <v/>
      </c>
    </row>
    <row r="464">
      <c r="A464" s="3">
        <f>IF(Penyusutan!D464="","","JRN-"&amp;TEXT(ROW()-1,"0000"))</f>
        <v/>
      </c>
      <c r="B464" s="4" t="n">
        <v>46022</v>
      </c>
      <c r="C464" s="3">
        <f>Penyusutan!B464</f>
        <v/>
      </c>
      <c r="D464" s="3">
        <f>Penyusutan!C464</f>
        <v/>
      </c>
      <c r="E464" s="3">
        <f>Penyusutan!D464</f>
        <v/>
      </c>
      <c r="F464" s="3" t="inlineStr">
        <is>
          <t>Inventaris Ruangan</t>
        </is>
      </c>
      <c r="G464" s="3" t="inlineStr"/>
      <c r="H464" s="3" t="inlineStr">
        <is>
          <t>Beban Penyusutan Inventaris Ruangan</t>
        </is>
      </c>
      <c r="I464" s="5">
        <f>Penyusutan!M464</f>
        <v/>
      </c>
      <c r="J464" s="3" t="inlineStr"/>
      <c r="K464" s="3" t="inlineStr">
        <is>
          <t>Akumulasi Penyusutan Inventaris Ruangan</t>
        </is>
      </c>
      <c r="L464" s="5">
        <f>Penyusutan!M464</f>
        <v/>
      </c>
      <c r="M464" s="3">
        <f>IF(E464="","","Penyusutan "&amp;E464&amp;" periode "&amp;C464)</f>
        <v/>
      </c>
    </row>
    <row r="465">
      <c r="A465" s="3">
        <f>IF(Penyusutan!D465="","","JRN-"&amp;TEXT(ROW()-1,"0000"))</f>
        <v/>
      </c>
      <c r="B465" s="4" t="n">
        <v>46022</v>
      </c>
      <c r="C465" s="3">
        <f>Penyusutan!B465</f>
        <v/>
      </c>
      <c r="D465" s="3">
        <f>Penyusutan!C465</f>
        <v/>
      </c>
      <c r="E465" s="3">
        <f>Penyusutan!D465</f>
        <v/>
      </c>
      <c r="F465" s="3" t="inlineStr">
        <is>
          <t>Inventaris Ruangan</t>
        </is>
      </c>
      <c r="G465" s="3" t="inlineStr"/>
      <c r="H465" s="3" t="inlineStr">
        <is>
          <t>Beban Penyusutan Inventaris Ruangan</t>
        </is>
      </c>
      <c r="I465" s="5">
        <f>Penyusutan!M465</f>
        <v/>
      </c>
      <c r="J465" s="3" t="inlineStr"/>
      <c r="K465" s="3" t="inlineStr">
        <is>
          <t>Akumulasi Penyusutan Inventaris Ruangan</t>
        </is>
      </c>
      <c r="L465" s="5">
        <f>Penyusutan!M465</f>
        <v/>
      </c>
      <c r="M465" s="3">
        <f>IF(E465="","","Penyusutan "&amp;E465&amp;" periode "&amp;C465)</f>
        <v/>
      </c>
    </row>
    <row r="466">
      <c r="A466" s="3">
        <f>IF(Penyusutan!D466="","","JRN-"&amp;TEXT(ROW()-1,"0000"))</f>
        <v/>
      </c>
      <c r="B466" s="4" t="n">
        <v>46022</v>
      </c>
      <c r="C466" s="3">
        <f>Penyusutan!B466</f>
        <v/>
      </c>
      <c r="D466" s="3">
        <f>Penyusutan!C466</f>
        <v/>
      </c>
      <c r="E466" s="3">
        <f>Penyusutan!D466</f>
        <v/>
      </c>
      <c r="F466" s="3" t="inlineStr">
        <is>
          <t>Inventaris Ruangan</t>
        </is>
      </c>
      <c r="G466" s="3" t="inlineStr"/>
      <c r="H466" s="3" t="inlineStr">
        <is>
          <t>Beban Penyusutan Inventaris Ruangan</t>
        </is>
      </c>
      <c r="I466" s="5">
        <f>Penyusutan!M466</f>
        <v/>
      </c>
      <c r="J466" s="3" t="inlineStr"/>
      <c r="K466" s="3" t="inlineStr">
        <is>
          <t>Akumulasi Penyusutan Inventaris Ruangan</t>
        </is>
      </c>
      <c r="L466" s="5">
        <f>Penyusutan!M466</f>
        <v/>
      </c>
      <c r="M466" s="3">
        <f>IF(E466="","","Penyusutan "&amp;E466&amp;" periode "&amp;C466)</f>
        <v/>
      </c>
    </row>
    <row r="467">
      <c r="A467" s="3">
        <f>IF(Penyusutan!D467="","","JRN-"&amp;TEXT(ROW()-1,"0000"))</f>
        <v/>
      </c>
      <c r="B467" s="4" t="n">
        <v>46022</v>
      </c>
      <c r="C467" s="3">
        <f>Penyusutan!B467</f>
        <v/>
      </c>
      <c r="D467" s="3">
        <f>Penyusutan!C467</f>
        <v/>
      </c>
      <c r="E467" s="3">
        <f>Penyusutan!D467</f>
        <v/>
      </c>
      <c r="F467" s="3" t="inlineStr">
        <is>
          <t>Inventaris Ruangan</t>
        </is>
      </c>
      <c r="G467" s="3" t="inlineStr"/>
      <c r="H467" s="3" t="inlineStr">
        <is>
          <t>Beban Penyusutan Inventaris Ruangan</t>
        </is>
      </c>
      <c r="I467" s="5">
        <f>Penyusutan!M467</f>
        <v/>
      </c>
      <c r="J467" s="3" t="inlineStr"/>
      <c r="K467" s="3" t="inlineStr">
        <is>
          <t>Akumulasi Penyusutan Inventaris Ruangan</t>
        </is>
      </c>
      <c r="L467" s="5">
        <f>Penyusutan!M467</f>
        <v/>
      </c>
      <c r="M467" s="3">
        <f>IF(E467="","","Penyusutan "&amp;E467&amp;" periode "&amp;C467)</f>
        <v/>
      </c>
    </row>
    <row r="468">
      <c r="A468" s="3">
        <f>IF(Penyusutan!D468="","","JRN-"&amp;TEXT(ROW()-1,"0000"))</f>
        <v/>
      </c>
      <c r="B468" s="4" t="n">
        <v>46022</v>
      </c>
      <c r="C468" s="3">
        <f>Penyusutan!B468</f>
        <v/>
      </c>
      <c r="D468" s="3">
        <f>Penyusutan!C468</f>
        <v/>
      </c>
      <c r="E468" s="3">
        <f>Penyusutan!D468</f>
        <v/>
      </c>
      <c r="F468" s="3" t="inlineStr">
        <is>
          <t>Inventaris Ruangan</t>
        </is>
      </c>
      <c r="G468" s="3" t="inlineStr"/>
      <c r="H468" s="3" t="inlineStr">
        <is>
          <t>Beban Penyusutan Inventaris Ruangan</t>
        </is>
      </c>
      <c r="I468" s="5">
        <f>Penyusutan!M468</f>
        <v/>
      </c>
      <c r="J468" s="3" t="inlineStr"/>
      <c r="K468" s="3" t="inlineStr">
        <is>
          <t>Akumulasi Penyusutan Inventaris Ruangan</t>
        </is>
      </c>
      <c r="L468" s="5">
        <f>Penyusutan!M468</f>
        <v/>
      </c>
      <c r="M468" s="3">
        <f>IF(E468="","","Penyusutan "&amp;E468&amp;" periode "&amp;C468)</f>
        <v/>
      </c>
    </row>
    <row r="469">
      <c r="A469" s="3">
        <f>IF(Penyusutan!D469="","","JRN-"&amp;TEXT(ROW()-1,"0000"))</f>
        <v/>
      </c>
      <c r="B469" s="4" t="n">
        <v>46022</v>
      </c>
      <c r="C469" s="3">
        <f>Penyusutan!B469</f>
        <v/>
      </c>
      <c r="D469" s="3">
        <f>Penyusutan!C469</f>
        <v/>
      </c>
      <c r="E469" s="3">
        <f>Penyusutan!D469</f>
        <v/>
      </c>
      <c r="F469" s="3" t="inlineStr">
        <is>
          <t>Inventaris Ruangan</t>
        </is>
      </c>
      <c r="G469" s="3" t="inlineStr"/>
      <c r="H469" s="3" t="inlineStr">
        <is>
          <t>Beban Penyusutan Inventaris Ruangan</t>
        </is>
      </c>
      <c r="I469" s="5">
        <f>Penyusutan!M469</f>
        <v/>
      </c>
      <c r="J469" s="3" t="inlineStr"/>
      <c r="K469" s="3" t="inlineStr">
        <is>
          <t>Akumulasi Penyusutan Inventaris Ruangan</t>
        </is>
      </c>
      <c r="L469" s="5">
        <f>Penyusutan!M469</f>
        <v/>
      </c>
      <c r="M469" s="3">
        <f>IF(E469="","","Penyusutan "&amp;E469&amp;" periode "&amp;C469)</f>
        <v/>
      </c>
    </row>
    <row r="470">
      <c r="A470" s="3">
        <f>IF(Penyusutan!D470="","","JRN-"&amp;TEXT(ROW()-1,"0000"))</f>
        <v/>
      </c>
      <c r="B470" s="4" t="n">
        <v>46022</v>
      </c>
      <c r="C470" s="3">
        <f>Penyusutan!B470</f>
        <v/>
      </c>
      <c r="D470" s="3">
        <f>Penyusutan!C470</f>
        <v/>
      </c>
      <c r="E470" s="3">
        <f>Penyusutan!D470</f>
        <v/>
      </c>
      <c r="F470" s="3" t="inlineStr">
        <is>
          <t>Inventaris Ruangan</t>
        </is>
      </c>
      <c r="G470" s="3" t="inlineStr"/>
      <c r="H470" s="3" t="inlineStr">
        <is>
          <t>Beban Penyusutan Inventaris Ruangan</t>
        </is>
      </c>
      <c r="I470" s="5">
        <f>Penyusutan!M470</f>
        <v/>
      </c>
      <c r="J470" s="3" t="inlineStr"/>
      <c r="K470" s="3" t="inlineStr">
        <is>
          <t>Akumulasi Penyusutan Inventaris Ruangan</t>
        </is>
      </c>
      <c r="L470" s="5">
        <f>Penyusutan!M470</f>
        <v/>
      </c>
      <c r="M470" s="3">
        <f>IF(E470="","","Penyusutan "&amp;E470&amp;" periode "&amp;C470)</f>
        <v/>
      </c>
    </row>
    <row r="471">
      <c r="A471" s="3">
        <f>IF(Penyusutan!D471="","","JRN-"&amp;TEXT(ROW()-1,"0000"))</f>
        <v/>
      </c>
      <c r="B471" s="4" t="n">
        <v>46022</v>
      </c>
      <c r="C471" s="3">
        <f>Penyusutan!B471</f>
        <v/>
      </c>
      <c r="D471" s="3">
        <f>Penyusutan!C471</f>
        <v/>
      </c>
      <c r="E471" s="3">
        <f>Penyusutan!D471</f>
        <v/>
      </c>
      <c r="F471" s="3" t="inlineStr">
        <is>
          <t>Inventaris Ruangan</t>
        </is>
      </c>
      <c r="G471" s="3" t="inlineStr"/>
      <c r="H471" s="3" t="inlineStr">
        <is>
          <t>Beban Penyusutan Inventaris Ruangan</t>
        </is>
      </c>
      <c r="I471" s="5">
        <f>Penyusutan!M471</f>
        <v/>
      </c>
      <c r="J471" s="3" t="inlineStr"/>
      <c r="K471" s="3" t="inlineStr">
        <is>
          <t>Akumulasi Penyusutan Inventaris Ruangan</t>
        </is>
      </c>
      <c r="L471" s="5">
        <f>Penyusutan!M471</f>
        <v/>
      </c>
      <c r="M471" s="3">
        <f>IF(E471="","","Penyusutan "&amp;E471&amp;" periode "&amp;C471)</f>
        <v/>
      </c>
    </row>
    <row r="472">
      <c r="A472" s="3">
        <f>IF(Penyusutan!D472="","","JRN-"&amp;TEXT(ROW()-1,"0000"))</f>
        <v/>
      </c>
      <c r="B472" s="4" t="n">
        <v>46022</v>
      </c>
      <c r="C472" s="3">
        <f>Penyusutan!B472</f>
        <v/>
      </c>
      <c r="D472" s="3">
        <f>Penyusutan!C472</f>
        <v/>
      </c>
      <c r="E472" s="3">
        <f>Penyusutan!D472</f>
        <v/>
      </c>
      <c r="F472" s="3" t="inlineStr">
        <is>
          <t>Inventaris Ruangan</t>
        </is>
      </c>
      <c r="G472" s="3" t="inlineStr"/>
      <c r="H472" s="3" t="inlineStr">
        <is>
          <t>Beban Penyusutan Inventaris Ruangan</t>
        </is>
      </c>
      <c r="I472" s="5">
        <f>Penyusutan!M472</f>
        <v/>
      </c>
      <c r="J472" s="3" t="inlineStr"/>
      <c r="K472" s="3" t="inlineStr">
        <is>
          <t>Akumulasi Penyusutan Inventaris Ruangan</t>
        </is>
      </c>
      <c r="L472" s="5">
        <f>Penyusutan!M472</f>
        <v/>
      </c>
      <c r="M472" s="3">
        <f>IF(E472="","","Penyusutan "&amp;E472&amp;" periode "&amp;C472)</f>
        <v/>
      </c>
    </row>
    <row r="473">
      <c r="A473" s="3">
        <f>IF(Penyusutan!D473="","","JRN-"&amp;TEXT(ROW()-1,"0000"))</f>
        <v/>
      </c>
      <c r="B473" s="4" t="n">
        <v>46022</v>
      </c>
      <c r="C473" s="3">
        <f>Penyusutan!B473</f>
        <v/>
      </c>
      <c r="D473" s="3">
        <f>Penyusutan!C473</f>
        <v/>
      </c>
      <c r="E473" s="3">
        <f>Penyusutan!D473</f>
        <v/>
      </c>
      <c r="F473" s="3" t="inlineStr">
        <is>
          <t>Inventaris Ruangan</t>
        </is>
      </c>
      <c r="G473" s="3" t="inlineStr"/>
      <c r="H473" s="3" t="inlineStr">
        <is>
          <t>Beban Penyusutan Inventaris Ruangan</t>
        </is>
      </c>
      <c r="I473" s="5">
        <f>Penyusutan!M473</f>
        <v/>
      </c>
      <c r="J473" s="3" t="inlineStr"/>
      <c r="K473" s="3" t="inlineStr">
        <is>
          <t>Akumulasi Penyusutan Inventaris Ruangan</t>
        </is>
      </c>
      <c r="L473" s="5">
        <f>Penyusutan!M473</f>
        <v/>
      </c>
      <c r="M473" s="3">
        <f>IF(E473="","","Penyusutan "&amp;E473&amp;" periode "&amp;C473)</f>
        <v/>
      </c>
    </row>
    <row r="474">
      <c r="A474" s="3">
        <f>IF(Penyusutan!D474="","","JRN-"&amp;TEXT(ROW()-1,"0000"))</f>
        <v/>
      </c>
      <c r="B474" s="4" t="n">
        <v>46022</v>
      </c>
      <c r="C474" s="3">
        <f>Penyusutan!B474</f>
        <v/>
      </c>
      <c r="D474" s="3">
        <f>Penyusutan!C474</f>
        <v/>
      </c>
      <c r="E474" s="3">
        <f>Penyusutan!D474</f>
        <v/>
      </c>
      <c r="F474" s="3" t="inlineStr">
        <is>
          <t>Inventaris Ruangan</t>
        </is>
      </c>
      <c r="G474" s="3" t="inlineStr"/>
      <c r="H474" s="3" t="inlineStr">
        <is>
          <t>Beban Penyusutan Inventaris Ruangan</t>
        </is>
      </c>
      <c r="I474" s="5">
        <f>Penyusutan!M474</f>
        <v/>
      </c>
      <c r="J474" s="3" t="inlineStr"/>
      <c r="K474" s="3" t="inlineStr">
        <is>
          <t>Akumulasi Penyusutan Inventaris Ruangan</t>
        </is>
      </c>
      <c r="L474" s="5">
        <f>Penyusutan!M474</f>
        <v/>
      </c>
      <c r="M474" s="3">
        <f>IF(E474="","","Penyusutan "&amp;E474&amp;" periode "&amp;C474)</f>
        <v/>
      </c>
    </row>
    <row r="475">
      <c r="A475" s="3">
        <f>IF(Penyusutan!D475="","","JRN-"&amp;TEXT(ROW()-1,"0000"))</f>
        <v/>
      </c>
      <c r="B475" s="4" t="n">
        <v>46022</v>
      </c>
      <c r="C475" s="3">
        <f>Penyusutan!B475</f>
        <v/>
      </c>
      <c r="D475" s="3">
        <f>Penyusutan!C475</f>
        <v/>
      </c>
      <c r="E475" s="3">
        <f>Penyusutan!D475</f>
        <v/>
      </c>
      <c r="F475" s="3" t="inlineStr">
        <is>
          <t>Inventaris Ruangan</t>
        </is>
      </c>
      <c r="G475" s="3" t="inlineStr"/>
      <c r="H475" s="3" t="inlineStr">
        <is>
          <t>Beban Penyusutan Inventaris Ruangan</t>
        </is>
      </c>
      <c r="I475" s="5">
        <f>Penyusutan!M475</f>
        <v/>
      </c>
      <c r="J475" s="3" t="inlineStr"/>
      <c r="K475" s="3" t="inlineStr">
        <is>
          <t>Akumulasi Penyusutan Inventaris Ruangan</t>
        </is>
      </c>
      <c r="L475" s="5">
        <f>Penyusutan!M475</f>
        <v/>
      </c>
      <c r="M475" s="3">
        <f>IF(E475="","","Penyusutan "&amp;E475&amp;" periode "&amp;C475)</f>
        <v/>
      </c>
    </row>
    <row r="476">
      <c r="A476" s="3">
        <f>IF(Penyusutan!D476="","","JRN-"&amp;TEXT(ROW()-1,"0000"))</f>
        <v/>
      </c>
      <c r="B476" s="4" t="n">
        <v>46022</v>
      </c>
      <c r="C476" s="3">
        <f>Penyusutan!B476</f>
        <v/>
      </c>
      <c r="D476" s="3">
        <f>Penyusutan!C476</f>
        <v/>
      </c>
      <c r="E476" s="3">
        <f>Penyusutan!D476</f>
        <v/>
      </c>
      <c r="F476" s="3" t="inlineStr">
        <is>
          <t>Inventaris Ruangan</t>
        </is>
      </c>
      <c r="G476" s="3" t="inlineStr"/>
      <c r="H476" s="3" t="inlineStr">
        <is>
          <t>Beban Penyusutan Inventaris Ruangan</t>
        </is>
      </c>
      <c r="I476" s="5">
        <f>Penyusutan!M476</f>
        <v/>
      </c>
      <c r="J476" s="3" t="inlineStr"/>
      <c r="K476" s="3" t="inlineStr">
        <is>
          <t>Akumulasi Penyusutan Inventaris Ruangan</t>
        </is>
      </c>
      <c r="L476" s="5">
        <f>Penyusutan!M476</f>
        <v/>
      </c>
      <c r="M476" s="3">
        <f>IF(E476="","","Penyusutan "&amp;E476&amp;" periode "&amp;C476)</f>
        <v/>
      </c>
    </row>
    <row r="477">
      <c r="A477" s="3">
        <f>IF(Penyusutan!D477="","","JRN-"&amp;TEXT(ROW()-1,"0000"))</f>
        <v/>
      </c>
      <c r="B477" s="4" t="n">
        <v>46022</v>
      </c>
      <c r="C477" s="3">
        <f>Penyusutan!B477</f>
        <v/>
      </c>
      <c r="D477" s="3">
        <f>Penyusutan!C477</f>
        <v/>
      </c>
      <c r="E477" s="3">
        <f>Penyusutan!D477</f>
        <v/>
      </c>
      <c r="F477" s="3" t="inlineStr">
        <is>
          <t>Inventaris Ruangan</t>
        </is>
      </c>
      <c r="G477" s="3" t="inlineStr"/>
      <c r="H477" s="3" t="inlineStr">
        <is>
          <t>Beban Penyusutan Inventaris Ruangan</t>
        </is>
      </c>
      <c r="I477" s="5">
        <f>Penyusutan!M477</f>
        <v/>
      </c>
      <c r="J477" s="3" t="inlineStr"/>
      <c r="K477" s="3" t="inlineStr">
        <is>
          <t>Akumulasi Penyusutan Inventaris Ruangan</t>
        </is>
      </c>
      <c r="L477" s="5">
        <f>Penyusutan!M477</f>
        <v/>
      </c>
      <c r="M477" s="3">
        <f>IF(E477="","","Penyusutan "&amp;E477&amp;" periode "&amp;C477)</f>
        <v/>
      </c>
    </row>
    <row r="478">
      <c r="A478" s="3">
        <f>IF(Penyusutan!D478="","","JRN-"&amp;TEXT(ROW()-1,"0000"))</f>
        <v/>
      </c>
      <c r="B478" s="4" t="n">
        <v>46022</v>
      </c>
      <c r="C478" s="3">
        <f>Penyusutan!B478</f>
        <v/>
      </c>
      <c r="D478" s="3">
        <f>Penyusutan!C478</f>
        <v/>
      </c>
      <c r="E478" s="3">
        <f>Penyusutan!D478</f>
        <v/>
      </c>
      <c r="F478" s="3" t="inlineStr">
        <is>
          <t>Inventaris Ruangan</t>
        </is>
      </c>
      <c r="G478" s="3" t="inlineStr"/>
      <c r="H478" s="3" t="inlineStr">
        <is>
          <t>Beban Penyusutan Inventaris Ruangan</t>
        </is>
      </c>
      <c r="I478" s="5">
        <f>Penyusutan!M478</f>
        <v/>
      </c>
      <c r="J478" s="3" t="inlineStr"/>
      <c r="K478" s="3" t="inlineStr">
        <is>
          <t>Akumulasi Penyusutan Inventaris Ruangan</t>
        </is>
      </c>
      <c r="L478" s="5">
        <f>Penyusutan!M478</f>
        <v/>
      </c>
      <c r="M478" s="3">
        <f>IF(E478="","","Penyusutan "&amp;E478&amp;" periode "&amp;C478)</f>
        <v/>
      </c>
    </row>
    <row r="479">
      <c r="A479" s="3">
        <f>IF(Penyusutan!D479="","","JRN-"&amp;TEXT(ROW()-1,"0000"))</f>
        <v/>
      </c>
      <c r="B479" s="4" t="n">
        <v>46022</v>
      </c>
      <c r="C479" s="3">
        <f>Penyusutan!B479</f>
        <v/>
      </c>
      <c r="D479" s="3">
        <f>Penyusutan!C479</f>
        <v/>
      </c>
      <c r="E479" s="3">
        <f>Penyusutan!D479</f>
        <v/>
      </c>
      <c r="F479" s="3" t="inlineStr">
        <is>
          <t>Inventaris Ruangan</t>
        </is>
      </c>
      <c r="G479" s="3" t="inlineStr"/>
      <c r="H479" s="3" t="inlineStr">
        <is>
          <t>Beban Penyusutan Inventaris Ruangan</t>
        </is>
      </c>
      <c r="I479" s="5">
        <f>Penyusutan!M479</f>
        <v/>
      </c>
      <c r="J479" s="3" t="inlineStr"/>
      <c r="K479" s="3" t="inlineStr">
        <is>
          <t>Akumulasi Penyusutan Inventaris Ruangan</t>
        </is>
      </c>
      <c r="L479" s="5">
        <f>Penyusutan!M479</f>
        <v/>
      </c>
      <c r="M479" s="3">
        <f>IF(E479="","","Penyusutan "&amp;E479&amp;" periode "&amp;C479)</f>
        <v/>
      </c>
    </row>
    <row r="480">
      <c r="A480" s="3">
        <f>IF(Penyusutan!D480="","","JRN-"&amp;TEXT(ROW()-1,"0000"))</f>
        <v/>
      </c>
      <c r="B480" s="4" t="n">
        <v>46022</v>
      </c>
      <c r="C480" s="3">
        <f>Penyusutan!B480</f>
        <v/>
      </c>
      <c r="D480" s="3">
        <f>Penyusutan!C480</f>
        <v/>
      </c>
      <c r="E480" s="3">
        <f>Penyusutan!D480</f>
        <v/>
      </c>
      <c r="F480" s="3" t="inlineStr">
        <is>
          <t>Inventaris Ruangan</t>
        </is>
      </c>
      <c r="G480" s="3" t="inlineStr"/>
      <c r="H480" s="3" t="inlineStr">
        <is>
          <t>Beban Penyusutan Inventaris Ruangan</t>
        </is>
      </c>
      <c r="I480" s="5">
        <f>Penyusutan!M480</f>
        <v/>
      </c>
      <c r="J480" s="3" t="inlineStr"/>
      <c r="K480" s="3" t="inlineStr">
        <is>
          <t>Akumulasi Penyusutan Inventaris Ruangan</t>
        </is>
      </c>
      <c r="L480" s="5">
        <f>Penyusutan!M480</f>
        <v/>
      </c>
      <c r="M480" s="3">
        <f>IF(E480="","","Penyusutan "&amp;E480&amp;" periode "&amp;C480)</f>
        <v/>
      </c>
    </row>
    <row r="481">
      <c r="A481" s="3">
        <f>IF(Penyusutan!D481="","","JRN-"&amp;TEXT(ROW()-1,"0000"))</f>
        <v/>
      </c>
      <c r="B481" s="4" t="n">
        <v>46022</v>
      </c>
      <c r="C481" s="3">
        <f>Penyusutan!B481</f>
        <v/>
      </c>
      <c r="D481" s="3">
        <f>Penyusutan!C481</f>
        <v/>
      </c>
      <c r="E481" s="3">
        <f>Penyusutan!D481</f>
        <v/>
      </c>
      <c r="F481" s="3" t="inlineStr">
        <is>
          <t>Inventaris Ruangan</t>
        </is>
      </c>
      <c r="G481" s="3" t="inlineStr"/>
      <c r="H481" s="3" t="inlineStr">
        <is>
          <t>Beban Penyusutan Inventaris Ruangan</t>
        </is>
      </c>
      <c r="I481" s="5">
        <f>Penyusutan!M481</f>
        <v/>
      </c>
      <c r="J481" s="3" t="inlineStr"/>
      <c r="K481" s="3" t="inlineStr">
        <is>
          <t>Akumulasi Penyusutan Inventaris Ruangan</t>
        </is>
      </c>
      <c r="L481" s="5">
        <f>Penyusutan!M481</f>
        <v/>
      </c>
      <c r="M481" s="3">
        <f>IF(E481="","","Penyusutan "&amp;E481&amp;" periode "&amp;C481)</f>
        <v/>
      </c>
    </row>
    <row r="482">
      <c r="A482" s="3">
        <f>IF(Penyusutan!D482="","","JRN-"&amp;TEXT(ROW()-1,"0000"))</f>
        <v/>
      </c>
      <c r="B482" s="4" t="n">
        <v>46022</v>
      </c>
      <c r="C482" s="3">
        <f>Penyusutan!B482</f>
        <v/>
      </c>
      <c r="D482" s="3">
        <f>Penyusutan!C482</f>
        <v/>
      </c>
      <c r="E482" s="3">
        <f>Penyusutan!D482</f>
        <v/>
      </c>
      <c r="F482" s="3" t="inlineStr">
        <is>
          <t>Inventaris Ruangan</t>
        </is>
      </c>
      <c r="G482" s="3" t="inlineStr"/>
      <c r="H482" s="3" t="inlineStr">
        <is>
          <t>Beban Penyusutan Inventaris Ruangan</t>
        </is>
      </c>
      <c r="I482" s="5">
        <f>Penyusutan!M482</f>
        <v/>
      </c>
      <c r="J482" s="3" t="inlineStr"/>
      <c r="K482" s="3" t="inlineStr">
        <is>
          <t>Akumulasi Penyusutan Inventaris Ruangan</t>
        </is>
      </c>
      <c r="L482" s="5">
        <f>Penyusutan!M482</f>
        <v/>
      </c>
      <c r="M482" s="3">
        <f>IF(E482="","","Penyusutan "&amp;E482&amp;" periode "&amp;C482)</f>
        <v/>
      </c>
    </row>
    <row r="483">
      <c r="A483" s="3">
        <f>IF(Penyusutan!D483="","","JRN-"&amp;TEXT(ROW()-1,"0000"))</f>
        <v/>
      </c>
      <c r="B483" s="4" t="n">
        <v>46022</v>
      </c>
      <c r="C483" s="3">
        <f>Penyusutan!B483</f>
        <v/>
      </c>
      <c r="D483" s="3">
        <f>Penyusutan!C483</f>
        <v/>
      </c>
      <c r="E483" s="3">
        <f>Penyusutan!D483</f>
        <v/>
      </c>
      <c r="F483" s="3" t="inlineStr">
        <is>
          <t>Inventaris Ruangan</t>
        </is>
      </c>
      <c r="G483" s="3" t="inlineStr"/>
      <c r="H483" s="3" t="inlineStr">
        <is>
          <t>Beban Penyusutan Inventaris Ruangan</t>
        </is>
      </c>
      <c r="I483" s="5">
        <f>Penyusutan!M483</f>
        <v/>
      </c>
      <c r="J483" s="3" t="inlineStr"/>
      <c r="K483" s="3" t="inlineStr">
        <is>
          <t>Akumulasi Penyusutan Inventaris Ruangan</t>
        </is>
      </c>
      <c r="L483" s="5">
        <f>Penyusutan!M483</f>
        <v/>
      </c>
      <c r="M483" s="3">
        <f>IF(E483="","","Penyusutan "&amp;E483&amp;" periode "&amp;C483)</f>
        <v/>
      </c>
    </row>
    <row r="484">
      <c r="A484" s="3">
        <f>IF(Penyusutan!D484="","","JRN-"&amp;TEXT(ROW()-1,"0000"))</f>
        <v/>
      </c>
      <c r="B484" s="4" t="n">
        <v>46022</v>
      </c>
      <c r="C484" s="3">
        <f>Penyusutan!B484</f>
        <v/>
      </c>
      <c r="D484" s="3">
        <f>Penyusutan!C484</f>
        <v/>
      </c>
      <c r="E484" s="3">
        <f>Penyusutan!D484</f>
        <v/>
      </c>
      <c r="F484" s="3" t="inlineStr">
        <is>
          <t>Inventaris Ruangan</t>
        </is>
      </c>
      <c r="G484" s="3" t="inlineStr"/>
      <c r="H484" s="3" t="inlineStr">
        <is>
          <t>Beban Penyusutan Inventaris Ruangan</t>
        </is>
      </c>
      <c r="I484" s="5">
        <f>Penyusutan!M484</f>
        <v/>
      </c>
      <c r="J484" s="3" t="inlineStr"/>
      <c r="K484" s="3" t="inlineStr">
        <is>
          <t>Akumulasi Penyusutan Inventaris Ruangan</t>
        </is>
      </c>
      <c r="L484" s="5">
        <f>Penyusutan!M484</f>
        <v/>
      </c>
      <c r="M484" s="3">
        <f>IF(E484="","","Penyusutan "&amp;E484&amp;" periode "&amp;C484)</f>
        <v/>
      </c>
    </row>
    <row r="485">
      <c r="A485" s="3">
        <f>IF(Penyusutan!D485="","","JRN-"&amp;TEXT(ROW()-1,"0000"))</f>
        <v/>
      </c>
      <c r="B485" s="4" t="n">
        <v>46022</v>
      </c>
      <c r="C485" s="3">
        <f>Penyusutan!B485</f>
        <v/>
      </c>
      <c r="D485" s="3">
        <f>Penyusutan!C485</f>
        <v/>
      </c>
      <c r="E485" s="3">
        <f>Penyusutan!D485</f>
        <v/>
      </c>
      <c r="F485" s="3" t="inlineStr">
        <is>
          <t>Inventaris Ruangan</t>
        </is>
      </c>
      <c r="G485" s="3" t="inlineStr"/>
      <c r="H485" s="3" t="inlineStr">
        <is>
          <t>Beban Penyusutan Inventaris Ruangan</t>
        </is>
      </c>
      <c r="I485" s="5">
        <f>Penyusutan!M485</f>
        <v/>
      </c>
      <c r="J485" s="3" t="inlineStr"/>
      <c r="K485" s="3" t="inlineStr">
        <is>
          <t>Akumulasi Penyusutan Inventaris Ruangan</t>
        </is>
      </c>
      <c r="L485" s="5">
        <f>Penyusutan!M485</f>
        <v/>
      </c>
      <c r="M485" s="3">
        <f>IF(E485="","","Penyusutan "&amp;E485&amp;" periode "&amp;C485)</f>
        <v/>
      </c>
    </row>
    <row r="486">
      <c r="A486" s="3">
        <f>IF(Penyusutan!D486="","","JRN-"&amp;TEXT(ROW()-1,"0000"))</f>
        <v/>
      </c>
      <c r="B486" s="4" t="n">
        <v>46022</v>
      </c>
      <c r="C486" s="3">
        <f>Penyusutan!B486</f>
        <v/>
      </c>
      <c r="D486" s="3">
        <f>Penyusutan!C486</f>
        <v/>
      </c>
      <c r="E486" s="3">
        <f>Penyusutan!D486</f>
        <v/>
      </c>
      <c r="F486" s="3" t="inlineStr">
        <is>
          <t>Inventaris Ruangan</t>
        </is>
      </c>
      <c r="G486" s="3" t="inlineStr"/>
      <c r="H486" s="3" t="inlineStr">
        <is>
          <t>Beban Penyusutan Inventaris Ruangan</t>
        </is>
      </c>
      <c r="I486" s="5">
        <f>Penyusutan!M486</f>
        <v/>
      </c>
      <c r="J486" s="3" t="inlineStr"/>
      <c r="K486" s="3" t="inlineStr">
        <is>
          <t>Akumulasi Penyusutan Inventaris Ruangan</t>
        </is>
      </c>
      <c r="L486" s="5">
        <f>Penyusutan!M486</f>
        <v/>
      </c>
      <c r="M486" s="3">
        <f>IF(E486="","","Penyusutan "&amp;E486&amp;" periode "&amp;C486)</f>
        <v/>
      </c>
    </row>
    <row r="487">
      <c r="A487" s="3">
        <f>IF(Penyusutan!D487="","","JRN-"&amp;TEXT(ROW()-1,"0000"))</f>
        <v/>
      </c>
      <c r="B487" s="4" t="n">
        <v>46022</v>
      </c>
      <c r="C487" s="3">
        <f>Penyusutan!B487</f>
        <v/>
      </c>
      <c r="D487" s="3">
        <f>Penyusutan!C487</f>
        <v/>
      </c>
      <c r="E487" s="3">
        <f>Penyusutan!D487</f>
        <v/>
      </c>
      <c r="F487" s="3" t="inlineStr">
        <is>
          <t>Inventaris Ruangan</t>
        </is>
      </c>
      <c r="G487" s="3" t="inlineStr"/>
      <c r="H487" s="3" t="inlineStr">
        <is>
          <t>Beban Penyusutan Inventaris Ruangan</t>
        </is>
      </c>
      <c r="I487" s="5">
        <f>Penyusutan!M487</f>
        <v/>
      </c>
      <c r="J487" s="3" t="inlineStr"/>
      <c r="K487" s="3" t="inlineStr">
        <is>
          <t>Akumulasi Penyusutan Inventaris Ruangan</t>
        </is>
      </c>
      <c r="L487" s="5">
        <f>Penyusutan!M487</f>
        <v/>
      </c>
      <c r="M487" s="3">
        <f>IF(E487="","","Penyusutan "&amp;E487&amp;" periode "&amp;C487)</f>
        <v/>
      </c>
    </row>
    <row r="488">
      <c r="A488" s="3">
        <f>IF(Penyusutan!D488="","","JRN-"&amp;TEXT(ROW()-1,"0000"))</f>
        <v/>
      </c>
      <c r="B488" s="4" t="n">
        <v>46022</v>
      </c>
      <c r="C488" s="3">
        <f>Penyusutan!B488</f>
        <v/>
      </c>
      <c r="D488" s="3">
        <f>Penyusutan!C488</f>
        <v/>
      </c>
      <c r="E488" s="3">
        <f>Penyusutan!D488</f>
        <v/>
      </c>
      <c r="F488" s="3" t="inlineStr">
        <is>
          <t>Inventaris Ruangan</t>
        </is>
      </c>
      <c r="G488" s="3" t="inlineStr"/>
      <c r="H488" s="3" t="inlineStr">
        <is>
          <t>Beban Penyusutan Inventaris Ruangan</t>
        </is>
      </c>
      <c r="I488" s="5">
        <f>Penyusutan!M488</f>
        <v/>
      </c>
      <c r="J488" s="3" t="inlineStr"/>
      <c r="K488" s="3" t="inlineStr">
        <is>
          <t>Akumulasi Penyusutan Inventaris Ruangan</t>
        </is>
      </c>
      <c r="L488" s="5">
        <f>Penyusutan!M488</f>
        <v/>
      </c>
      <c r="M488" s="3">
        <f>IF(E488="","","Penyusutan "&amp;E488&amp;" periode "&amp;C488)</f>
        <v/>
      </c>
    </row>
    <row r="489">
      <c r="A489" s="3">
        <f>IF(Penyusutan!D489="","","JRN-"&amp;TEXT(ROW()-1,"0000"))</f>
        <v/>
      </c>
      <c r="B489" s="4" t="n">
        <v>46022</v>
      </c>
      <c r="C489" s="3">
        <f>Penyusutan!B489</f>
        <v/>
      </c>
      <c r="D489" s="3">
        <f>Penyusutan!C489</f>
        <v/>
      </c>
      <c r="E489" s="3">
        <f>Penyusutan!D489</f>
        <v/>
      </c>
      <c r="F489" s="3" t="inlineStr">
        <is>
          <t>Inventaris Ruangan</t>
        </is>
      </c>
      <c r="G489" s="3" t="inlineStr"/>
      <c r="H489" s="3" t="inlineStr">
        <is>
          <t>Beban Penyusutan Inventaris Ruangan</t>
        </is>
      </c>
      <c r="I489" s="5">
        <f>Penyusutan!M489</f>
        <v/>
      </c>
      <c r="J489" s="3" t="inlineStr"/>
      <c r="K489" s="3" t="inlineStr">
        <is>
          <t>Akumulasi Penyusutan Inventaris Ruangan</t>
        </is>
      </c>
      <c r="L489" s="5">
        <f>Penyusutan!M489</f>
        <v/>
      </c>
      <c r="M489" s="3">
        <f>IF(E489="","","Penyusutan "&amp;E489&amp;" periode "&amp;C489)</f>
        <v/>
      </c>
    </row>
    <row r="490">
      <c r="A490" s="3">
        <f>IF(Penyusutan!D490="","","JRN-"&amp;TEXT(ROW()-1,"0000"))</f>
        <v/>
      </c>
      <c r="B490" s="4" t="n">
        <v>46022</v>
      </c>
      <c r="C490" s="3">
        <f>Penyusutan!B490</f>
        <v/>
      </c>
      <c r="D490" s="3">
        <f>Penyusutan!C490</f>
        <v/>
      </c>
      <c r="E490" s="3">
        <f>Penyusutan!D490</f>
        <v/>
      </c>
      <c r="F490" s="3" t="inlineStr">
        <is>
          <t>Inventaris Ruangan</t>
        </is>
      </c>
      <c r="G490" s="3" t="inlineStr"/>
      <c r="H490" s="3" t="inlineStr">
        <is>
          <t>Beban Penyusutan Inventaris Ruangan</t>
        </is>
      </c>
      <c r="I490" s="5">
        <f>Penyusutan!M490</f>
        <v/>
      </c>
      <c r="J490" s="3" t="inlineStr"/>
      <c r="K490" s="3" t="inlineStr">
        <is>
          <t>Akumulasi Penyusutan Inventaris Ruangan</t>
        </is>
      </c>
      <c r="L490" s="5">
        <f>Penyusutan!M490</f>
        <v/>
      </c>
      <c r="M490" s="3">
        <f>IF(E490="","","Penyusutan "&amp;E490&amp;" periode "&amp;C490)</f>
        <v/>
      </c>
    </row>
    <row r="491">
      <c r="A491" s="3">
        <f>IF(Penyusutan!D491="","","JRN-"&amp;TEXT(ROW()-1,"0000"))</f>
        <v/>
      </c>
      <c r="B491" s="4" t="n">
        <v>46022</v>
      </c>
      <c r="C491" s="3">
        <f>Penyusutan!B491</f>
        <v/>
      </c>
      <c r="D491" s="3">
        <f>Penyusutan!C491</f>
        <v/>
      </c>
      <c r="E491" s="3">
        <f>Penyusutan!D491</f>
        <v/>
      </c>
      <c r="F491" s="3" t="inlineStr">
        <is>
          <t>Inventaris Ruangan</t>
        </is>
      </c>
      <c r="G491" s="3" t="inlineStr"/>
      <c r="H491" s="3" t="inlineStr">
        <is>
          <t>Beban Penyusutan Inventaris Ruangan</t>
        </is>
      </c>
      <c r="I491" s="5">
        <f>Penyusutan!M491</f>
        <v/>
      </c>
      <c r="J491" s="3" t="inlineStr"/>
      <c r="K491" s="3" t="inlineStr">
        <is>
          <t>Akumulasi Penyusutan Inventaris Ruangan</t>
        </is>
      </c>
      <c r="L491" s="5">
        <f>Penyusutan!M491</f>
        <v/>
      </c>
      <c r="M491" s="3">
        <f>IF(E491="","","Penyusutan "&amp;E491&amp;" periode "&amp;C491)</f>
        <v/>
      </c>
    </row>
    <row r="492">
      <c r="A492" s="3">
        <f>IF(Penyusutan!D492="","","JRN-"&amp;TEXT(ROW()-1,"0000"))</f>
        <v/>
      </c>
      <c r="B492" s="4" t="n">
        <v>46022</v>
      </c>
      <c r="C492" s="3">
        <f>Penyusutan!B492</f>
        <v/>
      </c>
      <c r="D492" s="3">
        <f>Penyusutan!C492</f>
        <v/>
      </c>
      <c r="E492" s="3">
        <f>Penyusutan!D492</f>
        <v/>
      </c>
      <c r="F492" s="3" t="inlineStr">
        <is>
          <t>Inventaris Ruangan</t>
        </is>
      </c>
      <c r="G492" s="3" t="inlineStr"/>
      <c r="H492" s="3" t="inlineStr">
        <is>
          <t>Beban Penyusutan Inventaris Ruangan</t>
        </is>
      </c>
      <c r="I492" s="5">
        <f>Penyusutan!M492</f>
        <v/>
      </c>
      <c r="J492" s="3" t="inlineStr"/>
      <c r="K492" s="3" t="inlineStr">
        <is>
          <t>Akumulasi Penyusutan Inventaris Ruangan</t>
        </is>
      </c>
      <c r="L492" s="5">
        <f>Penyusutan!M492</f>
        <v/>
      </c>
      <c r="M492" s="3">
        <f>IF(E492="","","Penyusutan "&amp;E492&amp;" periode "&amp;C492)</f>
        <v/>
      </c>
    </row>
    <row r="493">
      <c r="A493" s="3">
        <f>IF(Penyusutan!D493="","","JRN-"&amp;TEXT(ROW()-1,"0000"))</f>
        <v/>
      </c>
      <c r="B493" s="4" t="n">
        <v>46022</v>
      </c>
      <c r="C493" s="3">
        <f>Penyusutan!B493</f>
        <v/>
      </c>
      <c r="D493" s="3">
        <f>Penyusutan!C493</f>
        <v/>
      </c>
      <c r="E493" s="3">
        <f>Penyusutan!D493</f>
        <v/>
      </c>
      <c r="F493" s="3" t="inlineStr">
        <is>
          <t>Inventaris Ruangan</t>
        </is>
      </c>
      <c r="G493" s="3" t="inlineStr"/>
      <c r="H493" s="3" t="inlineStr">
        <is>
          <t>Beban Penyusutan Inventaris Ruangan</t>
        </is>
      </c>
      <c r="I493" s="5">
        <f>Penyusutan!M493</f>
        <v/>
      </c>
      <c r="J493" s="3" t="inlineStr"/>
      <c r="K493" s="3" t="inlineStr">
        <is>
          <t>Akumulasi Penyusutan Inventaris Ruangan</t>
        </is>
      </c>
      <c r="L493" s="5">
        <f>Penyusutan!M493</f>
        <v/>
      </c>
      <c r="M493" s="3">
        <f>IF(E493="","","Penyusutan "&amp;E493&amp;" periode "&amp;C493)</f>
        <v/>
      </c>
    </row>
    <row r="494">
      <c r="A494" s="3">
        <f>IF(Penyusutan!D494="","","JRN-"&amp;TEXT(ROW()-1,"0000"))</f>
        <v/>
      </c>
      <c r="B494" s="4" t="n">
        <v>46022</v>
      </c>
      <c r="C494" s="3">
        <f>Penyusutan!B494</f>
        <v/>
      </c>
      <c r="D494" s="3">
        <f>Penyusutan!C494</f>
        <v/>
      </c>
      <c r="E494" s="3">
        <f>Penyusutan!D494</f>
        <v/>
      </c>
      <c r="F494" s="3" t="inlineStr">
        <is>
          <t>Inventaris Ruangan</t>
        </is>
      </c>
      <c r="G494" s="3" t="inlineStr"/>
      <c r="H494" s="3" t="inlineStr">
        <is>
          <t>Beban Penyusutan Inventaris Ruangan</t>
        </is>
      </c>
      <c r="I494" s="5">
        <f>Penyusutan!M494</f>
        <v/>
      </c>
      <c r="J494" s="3" t="inlineStr"/>
      <c r="K494" s="3" t="inlineStr">
        <is>
          <t>Akumulasi Penyusutan Inventaris Ruangan</t>
        </is>
      </c>
      <c r="L494" s="5">
        <f>Penyusutan!M494</f>
        <v/>
      </c>
      <c r="M494" s="3">
        <f>IF(E494="","","Penyusutan "&amp;E494&amp;" periode "&amp;C494)</f>
        <v/>
      </c>
    </row>
    <row r="495">
      <c r="A495" s="3">
        <f>IF(Penyusutan!D495="","","JRN-"&amp;TEXT(ROW()-1,"0000"))</f>
        <v/>
      </c>
      <c r="B495" s="4" t="n">
        <v>46022</v>
      </c>
      <c r="C495" s="3">
        <f>Penyusutan!B495</f>
        <v/>
      </c>
      <c r="D495" s="3">
        <f>Penyusutan!C495</f>
        <v/>
      </c>
      <c r="E495" s="3">
        <f>Penyusutan!D495</f>
        <v/>
      </c>
      <c r="F495" s="3" t="inlineStr">
        <is>
          <t>Inventaris Ruangan</t>
        </is>
      </c>
      <c r="G495" s="3" t="inlineStr"/>
      <c r="H495" s="3" t="inlineStr">
        <is>
          <t>Beban Penyusutan Inventaris Ruangan</t>
        </is>
      </c>
      <c r="I495" s="5">
        <f>Penyusutan!M495</f>
        <v/>
      </c>
      <c r="J495" s="3" t="inlineStr"/>
      <c r="K495" s="3" t="inlineStr">
        <is>
          <t>Akumulasi Penyusutan Inventaris Ruangan</t>
        </is>
      </c>
      <c r="L495" s="5">
        <f>Penyusutan!M495</f>
        <v/>
      </c>
      <c r="M495" s="3">
        <f>IF(E495="","","Penyusutan "&amp;E495&amp;" periode "&amp;C495)</f>
        <v/>
      </c>
    </row>
    <row r="496">
      <c r="A496" s="3">
        <f>IF(Penyusutan!D496="","","JRN-"&amp;TEXT(ROW()-1,"0000"))</f>
        <v/>
      </c>
      <c r="B496" s="4" t="n">
        <v>46022</v>
      </c>
      <c r="C496" s="3">
        <f>Penyusutan!B496</f>
        <v/>
      </c>
      <c r="D496" s="3">
        <f>Penyusutan!C496</f>
        <v/>
      </c>
      <c r="E496" s="3">
        <f>Penyusutan!D496</f>
        <v/>
      </c>
      <c r="F496" s="3" t="inlineStr">
        <is>
          <t>Inventaris Ruangan</t>
        </is>
      </c>
      <c r="G496" s="3" t="inlineStr"/>
      <c r="H496" s="3" t="inlineStr">
        <is>
          <t>Beban Penyusutan Inventaris Ruangan</t>
        </is>
      </c>
      <c r="I496" s="5">
        <f>Penyusutan!M496</f>
        <v/>
      </c>
      <c r="J496" s="3" t="inlineStr"/>
      <c r="K496" s="3" t="inlineStr">
        <is>
          <t>Akumulasi Penyusutan Inventaris Ruangan</t>
        </is>
      </c>
      <c r="L496" s="5">
        <f>Penyusutan!M496</f>
        <v/>
      </c>
      <c r="M496" s="3">
        <f>IF(E496="","","Penyusutan "&amp;E496&amp;" periode "&amp;C496)</f>
        <v/>
      </c>
    </row>
    <row r="497">
      <c r="A497" s="3">
        <f>IF(Penyusutan!D497="","","JRN-"&amp;TEXT(ROW()-1,"0000"))</f>
        <v/>
      </c>
      <c r="B497" s="4" t="n">
        <v>46022</v>
      </c>
      <c r="C497" s="3">
        <f>Penyusutan!B497</f>
        <v/>
      </c>
      <c r="D497" s="3">
        <f>Penyusutan!C497</f>
        <v/>
      </c>
      <c r="E497" s="3">
        <f>Penyusutan!D497</f>
        <v/>
      </c>
      <c r="F497" s="3" t="inlineStr">
        <is>
          <t>Inventaris Ruangan</t>
        </is>
      </c>
      <c r="G497" s="3" t="inlineStr"/>
      <c r="H497" s="3" t="inlineStr">
        <is>
          <t>Beban Penyusutan Inventaris Ruangan</t>
        </is>
      </c>
      <c r="I497" s="5">
        <f>Penyusutan!M497</f>
        <v/>
      </c>
      <c r="J497" s="3" t="inlineStr"/>
      <c r="K497" s="3" t="inlineStr">
        <is>
          <t>Akumulasi Penyusutan Inventaris Ruangan</t>
        </is>
      </c>
      <c r="L497" s="5">
        <f>Penyusutan!M497</f>
        <v/>
      </c>
      <c r="M497" s="3">
        <f>IF(E497="","","Penyusutan "&amp;E497&amp;" periode "&amp;C497)</f>
        <v/>
      </c>
    </row>
    <row r="498">
      <c r="A498" s="3">
        <f>IF(Penyusutan!D498="","","JRN-"&amp;TEXT(ROW()-1,"0000"))</f>
        <v/>
      </c>
      <c r="B498" s="4" t="n">
        <v>46022</v>
      </c>
      <c r="C498" s="3">
        <f>Penyusutan!B498</f>
        <v/>
      </c>
      <c r="D498" s="3">
        <f>Penyusutan!C498</f>
        <v/>
      </c>
      <c r="E498" s="3">
        <f>Penyusutan!D498</f>
        <v/>
      </c>
      <c r="F498" s="3" t="inlineStr">
        <is>
          <t>Inventaris Ruangan</t>
        </is>
      </c>
      <c r="G498" s="3" t="inlineStr"/>
      <c r="H498" s="3" t="inlineStr">
        <is>
          <t>Beban Penyusutan Inventaris Ruangan</t>
        </is>
      </c>
      <c r="I498" s="5">
        <f>Penyusutan!M498</f>
        <v/>
      </c>
      <c r="J498" s="3" t="inlineStr"/>
      <c r="K498" s="3" t="inlineStr">
        <is>
          <t>Akumulasi Penyusutan Inventaris Ruangan</t>
        </is>
      </c>
      <c r="L498" s="5">
        <f>Penyusutan!M498</f>
        <v/>
      </c>
      <c r="M498" s="3">
        <f>IF(E498="","","Penyusutan "&amp;E498&amp;" periode "&amp;C498)</f>
        <v/>
      </c>
    </row>
    <row r="499">
      <c r="A499" s="3">
        <f>IF(Penyusutan!D499="","","JRN-"&amp;TEXT(ROW()-1,"0000"))</f>
        <v/>
      </c>
      <c r="B499" s="4" t="n">
        <v>46022</v>
      </c>
      <c r="C499" s="3">
        <f>Penyusutan!B499</f>
        <v/>
      </c>
      <c r="D499" s="3">
        <f>Penyusutan!C499</f>
        <v/>
      </c>
      <c r="E499" s="3">
        <f>Penyusutan!D499</f>
        <v/>
      </c>
      <c r="F499" s="3" t="inlineStr">
        <is>
          <t>Inventaris Ruangan</t>
        </is>
      </c>
      <c r="G499" s="3" t="inlineStr"/>
      <c r="H499" s="3" t="inlineStr">
        <is>
          <t>Beban Penyusutan Inventaris Ruangan</t>
        </is>
      </c>
      <c r="I499" s="5">
        <f>Penyusutan!M499</f>
        <v/>
      </c>
      <c r="J499" s="3" t="inlineStr"/>
      <c r="K499" s="3" t="inlineStr">
        <is>
          <t>Akumulasi Penyusutan Inventaris Ruangan</t>
        </is>
      </c>
      <c r="L499" s="5">
        <f>Penyusutan!M499</f>
        <v/>
      </c>
      <c r="M499" s="3">
        <f>IF(E499="","","Penyusutan "&amp;E499&amp;" periode "&amp;C499)</f>
        <v/>
      </c>
    </row>
    <row r="500">
      <c r="A500" s="3">
        <f>IF(Penyusutan!D500="","","JRN-"&amp;TEXT(ROW()-1,"0000"))</f>
        <v/>
      </c>
      <c r="B500" s="4" t="n">
        <v>46022</v>
      </c>
      <c r="C500" s="3">
        <f>Penyusutan!B500</f>
        <v/>
      </c>
      <c r="D500" s="3">
        <f>Penyusutan!C500</f>
        <v/>
      </c>
      <c r="E500" s="3">
        <f>Penyusutan!D500</f>
        <v/>
      </c>
      <c r="F500" s="3" t="inlineStr">
        <is>
          <t>Inventaris Ruangan</t>
        </is>
      </c>
      <c r="G500" s="3" t="inlineStr"/>
      <c r="H500" s="3" t="inlineStr">
        <is>
          <t>Beban Penyusutan Inventaris Ruangan</t>
        </is>
      </c>
      <c r="I500" s="5">
        <f>Penyusutan!M500</f>
        <v/>
      </c>
      <c r="J500" s="3" t="inlineStr"/>
      <c r="K500" s="3" t="inlineStr">
        <is>
          <t>Akumulasi Penyusutan Inventaris Ruangan</t>
        </is>
      </c>
      <c r="L500" s="5">
        <f>Penyusutan!M500</f>
        <v/>
      </c>
      <c r="M500" s="3">
        <f>IF(E500="","","Penyusutan "&amp;E500&amp;" periode "&amp;C500)</f>
        <v/>
      </c>
    </row>
    <row r="501">
      <c r="A501" s="3">
        <f>IF(Penyusutan!D501="","","JRN-"&amp;TEXT(ROW()-1,"0000"))</f>
        <v/>
      </c>
      <c r="B501" s="4" t="n">
        <v>46022</v>
      </c>
      <c r="C501" s="3">
        <f>Penyusutan!B501</f>
        <v/>
      </c>
      <c r="D501" s="3">
        <f>Penyusutan!C501</f>
        <v/>
      </c>
      <c r="E501" s="3">
        <f>Penyusutan!D501</f>
        <v/>
      </c>
      <c r="F501" s="3" t="inlineStr">
        <is>
          <t>Inventaris Ruangan</t>
        </is>
      </c>
      <c r="G501" s="3" t="inlineStr"/>
      <c r="H501" s="3" t="inlineStr">
        <is>
          <t>Beban Penyusutan Inventaris Ruangan</t>
        </is>
      </c>
      <c r="I501" s="5">
        <f>Penyusutan!M501</f>
        <v/>
      </c>
      <c r="J501" s="3" t="inlineStr"/>
      <c r="K501" s="3" t="inlineStr">
        <is>
          <t>Akumulasi Penyusutan Inventaris Ruangan</t>
        </is>
      </c>
      <c r="L501" s="5">
        <f>Penyusutan!M501</f>
        <v/>
      </c>
      <c r="M501" s="3">
        <f>IF(E501="","","Penyusutan "&amp;E501&amp;" periode "&amp;C501)</f>
        <v/>
      </c>
    </row>
    <row r="502">
      <c r="A502" s="3">
        <f>IF(Penyusutan!D502="","","JRN-"&amp;TEXT(ROW()-1,"0000"))</f>
        <v/>
      </c>
      <c r="B502" s="4" t="n">
        <v>46022</v>
      </c>
      <c r="C502" s="3">
        <f>Penyusutan!B502</f>
        <v/>
      </c>
      <c r="D502" s="3">
        <f>Penyusutan!C502</f>
        <v/>
      </c>
      <c r="E502" s="3">
        <f>Penyusutan!D502</f>
        <v/>
      </c>
      <c r="F502" s="3" t="inlineStr">
        <is>
          <t>Inventaris Ruangan</t>
        </is>
      </c>
      <c r="G502" s="3" t="inlineStr"/>
      <c r="H502" s="3" t="inlineStr">
        <is>
          <t>Beban Penyusutan Inventaris Ruangan</t>
        </is>
      </c>
      <c r="I502" s="5">
        <f>Penyusutan!M502</f>
        <v/>
      </c>
      <c r="J502" s="3" t="inlineStr"/>
      <c r="K502" s="3" t="inlineStr">
        <is>
          <t>Akumulasi Penyusutan Inventaris Ruangan</t>
        </is>
      </c>
      <c r="L502" s="5">
        <f>Penyusutan!M502</f>
        <v/>
      </c>
      <c r="M502" s="3">
        <f>IF(E502="","","Penyusutan "&amp;E502&amp;" periode "&amp;C502)</f>
        <v/>
      </c>
    </row>
    <row r="503">
      <c r="A503" s="3">
        <f>IF(Penyusutan!D503="","","JRN-"&amp;TEXT(ROW()-1,"0000"))</f>
        <v/>
      </c>
      <c r="B503" s="4" t="n">
        <v>46022</v>
      </c>
      <c r="C503" s="3">
        <f>Penyusutan!B503</f>
        <v/>
      </c>
      <c r="D503" s="3">
        <f>Penyusutan!C503</f>
        <v/>
      </c>
      <c r="E503" s="3">
        <f>Penyusutan!D503</f>
        <v/>
      </c>
      <c r="F503" s="3" t="inlineStr">
        <is>
          <t>Inventaris Ruangan</t>
        </is>
      </c>
      <c r="G503" s="3" t="inlineStr"/>
      <c r="H503" s="3" t="inlineStr">
        <is>
          <t>Beban Penyusutan Inventaris Ruangan</t>
        </is>
      </c>
      <c r="I503" s="5">
        <f>Penyusutan!M503</f>
        <v/>
      </c>
      <c r="J503" s="3" t="inlineStr"/>
      <c r="K503" s="3" t="inlineStr">
        <is>
          <t>Akumulasi Penyusutan Inventaris Ruangan</t>
        </is>
      </c>
      <c r="L503" s="5">
        <f>Penyusutan!M503</f>
        <v/>
      </c>
      <c r="M503" s="3">
        <f>IF(E503="","","Penyusutan "&amp;E503&amp;" periode "&amp;C503)</f>
        <v/>
      </c>
    </row>
    <row r="504">
      <c r="A504" s="3">
        <f>IF(Penyusutan!D504="","","JRN-"&amp;TEXT(ROW()-1,"0000"))</f>
        <v/>
      </c>
      <c r="B504" s="4" t="n">
        <v>46022</v>
      </c>
      <c r="C504" s="3">
        <f>Penyusutan!B504</f>
        <v/>
      </c>
      <c r="D504" s="3">
        <f>Penyusutan!C504</f>
        <v/>
      </c>
      <c r="E504" s="3">
        <f>Penyusutan!D504</f>
        <v/>
      </c>
      <c r="F504" s="3" t="inlineStr">
        <is>
          <t>Inventaris Ruangan</t>
        </is>
      </c>
      <c r="G504" s="3" t="inlineStr"/>
      <c r="H504" s="3" t="inlineStr">
        <is>
          <t>Beban Penyusutan Inventaris Ruangan</t>
        </is>
      </c>
      <c r="I504" s="5">
        <f>Penyusutan!M504</f>
        <v/>
      </c>
      <c r="J504" s="3" t="inlineStr"/>
      <c r="K504" s="3" t="inlineStr">
        <is>
          <t>Akumulasi Penyusutan Inventaris Ruangan</t>
        </is>
      </c>
      <c r="L504" s="5">
        <f>Penyusutan!M504</f>
        <v/>
      </c>
      <c r="M504" s="3">
        <f>IF(E504="","","Penyusutan "&amp;E504&amp;" periode "&amp;C504)</f>
        <v/>
      </c>
    </row>
    <row r="505">
      <c r="A505" s="3">
        <f>IF(Penyusutan!D505="","","JRN-"&amp;TEXT(ROW()-1,"0000"))</f>
        <v/>
      </c>
      <c r="B505" s="4" t="n">
        <v>46022</v>
      </c>
      <c r="C505" s="3">
        <f>Penyusutan!B505</f>
        <v/>
      </c>
      <c r="D505" s="3">
        <f>Penyusutan!C505</f>
        <v/>
      </c>
      <c r="E505" s="3">
        <f>Penyusutan!D505</f>
        <v/>
      </c>
      <c r="F505" s="3" t="inlineStr">
        <is>
          <t>Inventaris Ruangan</t>
        </is>
      </c>
      <c r="G505" s="3" t="inlineStr"/>
      <c r="H505" s="3" t="inlineStr">
        <is>
          <t>Beban Penyusutan Inventaris Ruangan</t>
        </is>
      </c>
      <c r="I505" s="5">
        <f>Penyusutan!M505</f>
        <v/>
      </c>
      <c r="J505" s="3" t="inlineStr"/>
      <c r="K505" s="3" t="inlineStr">
        <is>
          <t>Akumulasi Penyusutan Inventaris Ruangan</t>
        </is>
      </c>
      <c r="L505" s="5">
        <f>Penyusutan!M505</f>
        <v/>
      </c>
      <c r="M505" s="3">
        <f>IF(E505="","","Penyusutan "&amp;E505&amp;" periode "&amp;C505)</f>
        <v/>
      </c>
    </row>
    <row r="506">
      <c r="A506" s="3">
        <f>IF(Penyusutan!D506="","","JRN-"&amp;TEXT(ROW()-1,"0000"))</f>
        <v/>
      </c>
      <c r="B506" s="4" t="n">
        <v>46022</v>
      </c>
      <c r="C506" s="3">
        <f>Penyusutan!B506</f>
        <v/>
      </c>
      <c r="D506" s="3">
        <f>Penyusutan!C506</f>
        <v/>
      </c>
      <c r="E506" s="3">
        <f>Penyusutan!D506</f>
        <v/>
      </c>
      <c r="F506" s="3" t="inlineStr">
        <is>
          <t>Inventaris Ruangan</t>
        </is>
      </c>
      <c r="G506" s="3" t="inlineStr"/>
      <c r="H506" s="3" t="inlineStr">
        <is>
          <t>Beban Penyusutan Inventaris Ruangan</t>
        </is>
      </c>
      <c r="I506" s="5">
        <f>Penyusutan!M506</f>
        <v/>
      </c>
      <c r="J506" s="3" t="inlineStr"/>
      <c r="K506" s="3" t="inlineStr">
        <is>
          <t>Akumulasi Penyusutan Inventaris Ruangan</t>
        </is>
      </c>
      <c r="L506" s="5">
        <f>Penyusutan!M506</f>
        <v/>
      </c>
      <c r="M506" s="3">
        <f>IF(E506="","","Penyusutan "&amp;E506&amp;" periode "&amp;C506)</f>
        <v/>
      </c>
    </row>
    <row r="507">
      <c r="A507" s="3">
        <f>IF(Penyusutan!D507="","","JRN-"&amp;TEXT(ROW()-1,"0000"))</f>
        <v/>
      </c>
      <c r="B507" s="4" t="n">
        <v>46022</v>
      </c>
      <c r="C507" s="3">
        <f>Penyusutan!B507</f>
        <v/>
      </c>
      <c r="D507" s="3">
        <f>Penyusutan!C507</f>
        <v/>
      </c>
      <c r="E507" s="3">
        <f>Penyusutan!D507</f>
        <v/>
      </c>
      <c r="F507" s="3" t="inlineStr">
        <is>
          <t>Inventaris Ruangan</t>
        </is>
      </c>
      <c r="G507" s="3" t="inlineStr"/>
      <c r="H507" s="3" t="inlineStr">
        <is>
          <t>Beban Penyusutan Inventaris Ruangan</t>
        </is>
      </c>
      <c r="I507" s="5">
        <f>Penyusutan!M507</f>
        <v/>
      </c>
      <c r="J507" s="3" t="inlineStr"/>
      <c r="K507" s="3" t="inlineStr">
        <is>
          <t>Akumulasi Penyusutan Inventaris Ruangan</t>
        </is>
      </c>
      <c r="L507" s="5">
        <f>Penyusutan!M507</f>
        <v/>
      </c>
      <c r="M507" s="3">
        <f>IF(E507="","","Penyusutan "&amp;E507&amp;" periode "&amp;C507)</f>
        <v/>
      </c>
    </row>
    <row r="508">
      <c r="A508" s="3">
        <f>IF(Penyusutan!D508="","","JRN-"&amp;TEXT(ROW()-1,"0000"))</f>
        <v/>
      </c>
      <c r="B508" s="4" t="n">
        <v>46022</v>
      </c>
      <c r="C508" s="3">
        <f>Penyusutan!B508</f>
        <v/>
      </c>
      <c r="D508" s="3">
        <f>Penyusutan!C508</f>
        <v/>
      </c>
      <c r="E508" s="3">
        <f>Penyusutan!D508</f>
        <v/>
      </c>
      <c r="F508" s="3" t="inlineStr">
        <is>
          <t>Inventaris Ruangan</t>
        </is>
      </c>
      <c r="G508" s="3" t="inlineStr"/>
      <c r="H508" s="3" t="inlineStr">
        <is>
          <t>Beban Penyusutan Inventaris Ruangan</t>
        </is>
      </c>
      <c r="I508" s="5">
        <f>Penyusutan!M508</f>
        <v/>
      </c>
      <c r="J508" s="3" t="inlineStr"/>
      <c r="K508" s="3" t="inlineStr">
        <is>
          <t>Akumulasi Penyusutan Inventaris Ruangan</t>
        </is>
      </c>
      <c r="L508" s="5">
        <f>Penyusutan!M508</f>
        <v/>
      </c>
      <c r="M508" s="3">
        <f>IF(E508="","","Penyusutan "&amp;E508&amp;" periode "&amp;C508)</f>
        <v/>
      </c>
    </row>
    <row r="509">
      <c r="A509" s="3">
        <f>IF(Penyusutan!D509="","","JRN-"&amp;TEXT(ROW()-1,"0000"))</f>
        <v/>
      </c>
      <c r="B509" s="4" t="n">
        <v>46022</v>
      </c>
      <c r="C509" s="3">
        <f>Penyusutan!B509</f>
        <v/>
      </c>
      <c r="D509" s="3">
        <f>Penyusutan!C509</f>
        <v/>
      </c>
      <c r="E509" s="3">
        <f>Penyusutan!D509</f>
        <v/>
      </c>
      <c r="F509" s="3" t="inlineStr">
        <is>
          <t>Inventaris Ruangan</t>
        </is>
      </c>
      <c r="G509" s="3" t="inlineStr"/>
      <c r="H509" s="3" t="inlineStr">
        <is>
          <t>Beban Penyusutan Inventaris Ruangan</t>
        </is>
      </c>
      <c r="I509" s="5">
        <f>Penyusutan!M509</f>
        <v/>
      </c>
      <c r="J509" s="3" t="inlineStr"/>
      <c r="K509" s="3" t="inlineStr">
        <is>
          <t>Akumulasi Penyusutan Inventaris Ruangan</t>
        </is>
      </c>
      <c r="L509" s="5">
        <f>Penyusutan!M509</f>
        <v/>
      </c>
      <c r="M509" s="3">
        <f>IF(E509="","","Penyusutan "&amp;E509&amp;" periode "&amp;C509)</f>
        <v/>
      </c>
    </row>
    <row r="510">
      <c r="A510" s="3">
        <f>IF(Penyusutan!D510="","","JRN-"&amp;TEXT(ROW()-1,"0000"))</f>
        <v/>
      </c>
      <c r="B510" s="4" t="n">
        <v>46022</v>
      </c>
      <c r="C510" s="3">
        <f>Penyusutan!B510</f>
        <v/>
      </c>
      <c r="D510" s="3">
        <f>Penyusutan!C510</f>
        <v/>
      </c>
      <c r="E510" s="3">
        <f>Penyusutan!D510</f>
        <v/>
      </c>
      <c r="F510" s="3" t="inlineStr">
        <is>
          <t>Inventaris Ruangan</t>
        </is>
      </c>
      <c r="G510" s="3" t="inlineStr"/>
      <c r="H510" s="3" t="inlineStr">
        <is>
          <t>Beban Penyusutan Inventaris Ruangan</t>
        </is>
      </c>
      <c r="I510" s="5">
        <f>Penyusutan!M510</f>
        <v/>
      </c>
      <c r="J510" s="3" t="inlineStr"/>
      <c r="K510" s="3" t="inlineStr">
        <is>
          <t>Akumulasi Penyusutan Inventaris Ruangan</t>
        </is>
      </c>
      <c r="L510" s="5">
        <f>Penyusutan!M510</f>
        <v/>
      </c>
      <c r="M510" s="3">
        <f>IF(E510="","","Penyusutan "&amp;E510&amp;" periode "&amp;C510)</f>
        <v/>
      </c>
    </row>
    <row r="511">
      <c r="A511" s="3">
        <f>IF(Penyusutan!D511="","","JRN-"&amp;TEXT(ROW()-1,"0000"))</f>
        <v/>
      </c>
      <c r="B511" s="4" t="n">
        <v>46022</v>
      </c>
      <c r="C511" s="3">
        <f>Penyusutan!B511</f>
        <v/>
      </c>
      <c r="D511" s="3">
        <f>Penyusutan!C511</f>
        <v/>
      </c>
      <c r="E511" s="3">
        <f>Penyusutan!D511</f>
        <v/>
      </c>
      <c r="F511" s="3" t="inlineStr">
        <is>
          <t>Inventaris Ruangan</t>
        </is>
      </c>
      <c r="G511" s="3" t="inlineStr"/>
      <c r="H511" s="3" t="inlineStr">
        <is>
          <t>Beban Penyusutan Inventaris Ruangan</t>
        </is>
      </c>
      <c r="I511" s="5">
        <f>Penyusutan!M511</f>
        <v/>
      </c>
      <c r="J511" s="3" t="inlineStr"/>
      <c r="K511" s="3" t="inlineStr">
        <is>
          <t>Akumulasi Penyusutan Inventaris Ruangan</t>
        </is>
      </c>
      <c r="L511" s="5">
        <f>Penyusutan!M511</f>
        <v/>
      </c>
      <c r="M511" s="3">
        <f>IF(E511="","","Penyusutan "&amp;E511&amp;" periode "&amp;C511)</f>
        <v/>
      </c>
    </row>
    <row r="512">
      <c r="A512" s="3">
        <f>IF(Penyusutan!D512="","","JRN-"&amp;TEXT(ROW()-1,"0000"))</f>
        <v/>
      </c>
      <c r="B512" s="4" t="n">
        <v>46022</v>
      </c>
      <c r="C512" s="3">
        <f>Penyusutan!B512</f>
        <v/>
      </c>
      <c r="D512" s="3">
        <f>Penyusutan!C512</f>
        <v/>
      </c>
      <c r="E512" s="3">
        <f>Penyusutan!D512</f>
        <v/>
      </c>
      <c r="F512" s="3" t="inlineStr">
        <is>
          <t>Inventaris Ruangan</t>
        </is>
      </c>
      <c r="G512" s="3" t="inlineStr"/>
      <c r="H512" s="3" t="inlineStr">
        <is>
          <t>Beban Penyusutan Inventaris Ruangan</t>
        </is>
      </c>
      <c r="I512" s="5">
        <f>Penyusutan!M512</f>
        <v/>
      </c>
      <c r="J512" s="3" t="inlineStr"/>
      <c r="K512" s="3" t="inlineStr">
        <is>
          <t>Akumulasi Penyusutan Inventaris Ruangan</t>
        </is>
      </c>
      <c r="L512" s="5">
        <f>Penyusutan!M512</f>
        <v/>
      </c>
      <c r="M512" s="3">
        <f>IF(E512="","","Penyusutan "&amp;E512&amp;" periode "&amp;C512)</f>
        <v/>
      </c>
    </row>
    <row r="513">
      <c r="A513" s="3">
        <f>IF(Penyusutan!D513="","","JRN-"&amp;TEXT(ROW()-1,"0000"))</f>
        <v/>
      </c>
      <c r="B513" s="4" t="n">
        <v>46022</v>
      </c>
      <c r="C513" s="3">
        <f>Penyusutan!B513</f>
        <v/>
      </c>
      <c r="D513" s="3">
        <f>Penyusutan!C513</f>
        <v/>
      </c>
      <c r="E513" s="3">
        <f>Penyusutan!D513</f>
        <v/>
      </c>
      <c r="F513" s="3" t="inlineStr">
        <is>
          <t>Inventaris Ruangan</t>
        </is>
      </c>
      <c r="G513" s="3" t="inlineStr"/>
      <c r="H513" s="3" t="inlineStr">
        <is>
          <t>Beban Penyusutan Inventaris Ruangan</t>
        </is>
      </c>
      <c r="I513" s="5">
        <f>Penyusutan!M513</f>
        <v/>
      </c>
      <c r="J513" s="3" t="inlineStr"/>
      <c r="K513" s="3" t="inlineStr">
        <is>
          <t>Akumulasi Penyusutan Inventaris Ruangan</t>
        </is>
      </c>
      <c r="L513" s="5">
        <f>Penyusutan!M513</f>
        <v/>
      </c>
      <c r="M513" s="3">
        <f>IF(E513="","","Penyusutan "&amp;E513&amp;" periode "&amp;C513)</f>
        <v/>
      </c>
    </row>
    <row r="514">
      <c r="A514" s="3">
        <f>IF(Penyusutan!D514="","","JRN-"&amp;TEXT(ROW()-1,"0000"))</f>
        <v/>
      </c>
      <c r="B514" s="4" t="n">
        <v>46022</v>
      </c>
      <c r="C514" s="3">
        <f>Penyusutan!B514</f>
        <v/>
      </c>
      <c r="D514" s="3">
        <f>Penyusutan!C514</f>
        <v/>
      </c>
      <c r="E514" s="3">
        <f>Penyusutan!D514</f>
        <v/>
      </c>
      <c r="F514" s="3" t="inlineStr">
        <is>
          <t>Inventaris Ruangan</t>
        </is>
      </c>
      <c r="G514" s="3" t="inlineStr"/>
      <c r="H514" s="3" t="inlineStr">
        <is>
          <t>Beban Penyusutan Inventaris Ruangan</t>
        </is>
      </c>
      <c r="I514" s="5">
        <f>Penyusutan!M514</f>
        <v/>
      </c>
      <c r="J514" s="3" t="inlineStr"/>
      <c r="K514" s="3" t="inlineStr">
        <is>
          <t>Akumulasi Penyusutan Inventaris Ruangan</t>
        </is>
      </c>
      <c r="L514" s="5">
        <f>Penyusutan!M514</f>
        <v/>
      </c>
      <c r="M514" s="3">
        <f>IF(E514="","","Penyusutan "&amp;E514&amp;" periode "&amp;C514)</f>
        <v/>
      </c>
    </row>
    <row r="515">
      <c r="A515" s="3">
        <f>IF(Penyusutan!D515="","","JRN-"&amp;TEXT(ROW()-1,"0000"))</f>
        <v/>
      </c>
      <c r="B515" s="4" t="n">
        <v>46022</v>
      </c>
      <c r="C515" s="3">
        <f>Penyusutan!B515</f>
        <v/>
      </c>
      <c r="D515" s="3">
        <f>Penyusutan!C515</f>
        <v/>
      </c>
      <c r="E515" s="3">
        <f>Penyusutan!D515</f>
        <v/>
      </c>
      <c r="F515" s="3" t="inlineStr">
        <is>
          <t>Inventaris Ruangan</t>
        </is>
      </c>
      <c r="G515" s="3" t="inlineStr"/>
      <c r="H515" s="3" t="inlineStr">
        <is>
          <t>Beban Penyusutan Inventaris Ruangan</t>
        </is>
      </c>
      <c r="I515" s="5">
        <f>Penyusutan!M515</f>
        <v/>
      </c>
      <c r="J515" s="3" t="inlineStr"/>
      <c r="K515" s="3" t="inlineStr">
        <is>
          <t>Akumulasi Penyusutan Inventaris Ruangan</t>
        </is>
      </c>
      <c r="L515" s="5">
        <f>Penyusutan!M515</f>
        <v/>
      </c>
      <c r="M515" s="3">
        <f>IF(E515="","","Penyusutan "&amp;E515&amp;" periode "&amp;C515)</f>
        <v/>
      </c>
    </row>
    <row r="516">
      <c r="A516" s="3">
        <f>IF(Penyusutan!D516="","","JRN-"&amp;TEXT(ROW()-1,"0000"))</f>
        <v/>
      </c>
      <c r="B516" s="4" t="n">
        <v>46022</v>
      </c>
      <c r="C516" s="3">
        <f>Penyusutan!B516</f>
        <v/>
      </c>
      <c r="D516" s="3">
        <f>Penyusutan!C516</f>
        <v/>
      </c>
      <c r="E516" s="3">
        <f>Penyusutan!D516</f>
        <v/>
      </c>
      <c r="F516" s="3" t="inlineStr">
        <is>
          <t>Inventaris Ruangan</t>
        </is>
      </c>
      <c r="G516" s="3" t="inlineStr"/>
      <c r="H516" s="3" t="inlineStr">
        <is>
          <t>Beban Penyusutan Inventaris Ruangan</t>
        </is>
      </c>
      <c r="I516" s="5">
        <f>Penyusutan!M516</f>
        <v/>
      </c>
      <c r="J516" s="3" t="inlineStr"/>
      <c r="K516" s="3" t="inlineStr">
        <is>
          <t>Akumulasi Penyusutan Inventaris Ruangan</t>
        </is>
      </c>
      <c r="L516" s="5">
        <f>Penyusutan!M516</f>
        <v/>
      </c>
      <c r="M516" s="3">
        <f>IF(E516="","","Penyusutan "&amp;E516&amp;" periode "&amp;C516)</f>
        <v/>
      </c>
    </row>
    <row r="517">
      <c r="A517" s="3">
        <f>IF(Penyusutan!D517="","","JRN-"&amp;TEXT(ROW()-1,"0000"))</f>
        <v/>
      </c>
      <c r="B517" s="4" t="n">
        <v>46022</v>
      </c>
      <c r="C517" s="3">
        <f>Penyusutan!B517</f>
        <v/>
      </c>
      <c r="D517" s="3">
        <f>Penyusutan!C517</f>
        <v/>
      </c>
      <c r="E517" s="3">
        <f>Penyusutan!D517</f>
        <v/>
      </c>
      <c r="F517" s="3" t="inlineStr">
        <is>
          <t>Inventaris Ruangan</t>
        </is>
      </c>
      <c r="G517" s="3" t="inlineStr"/>
      <c r="H517" s="3" t="inlineStr">
        <is>
          <t>Beban Penyusutan Inventaris Ruangan</t>
        </is>
      </c>
      <c r="I517" s="5">
        <f>Penyusutan!M517</f>
        <v/>
      </c>
      <c r="J517" s="3" t="inlineStr"/>
      <c r="K517" s="3" t="inlineStr">
        <is>
          <t>Akumulasi Penyusutan Inventaris Ruangan</t>
        </is>
      </c>
      <c r="L517" s="5">
        <f>Penyusutan!M517</f>
        <v/>
      </c>
      <c r="M517" s="3">
        <f>IF(E517="","","Penyusutan "&amp;E517&amp;" periode "&amp;C517)</f>
        <v/>
      </c>
    </row>
    <row r="518">
      <c r="A518" s="3">
        <f>IF(Penyusutan!D518="","","JRN-"&amp;TEXT(ROW()-1,"0000"))</f>
        <v/>
      </c>
      <c r="B518" s="4" t="n">
        <v>46022</v>
      </c>
      <c r="C518" s="3">
        <f>Penyusutan!B518</f>
        <v/>
      </c>
      <c r="D518" s="3">
        <f>Penyusutan!C518</f>
        <v/>
      </c>
      <c r="E518" s="3">
        <f>Penyusutan!D518</f>
        <v/>
      </c>
      <c r="F518" s="3" t="inlineStr">
        <is>
          <t>Inventaris Ruangan</t>
        </is>
      </c>
      <c r="G518" s="3" t="inlineStr"/>
      <c r="H518" s="3" t="inlineStr">
        <is>
          <t>Beban Penyusutan Inventaris Ruangan</t>
        </is>
      </c>
      <c r="I518" s="5">
        <f>Penyusutan!M518</f>
        <v/>
      </c>
      <c r="J518" s="3" t="inlineStr"/>
      <c r="K518" s="3" t="inlineStr">
        <is>
          <t>Akumulasi Penyusutan Inventaris Ruangan</t>
        </is>
      </c>
      <c r="L518" s="5">
        <f>Penyusutan!M518</f>
        <v/>
      </c>
      <c r="M518" s="3">
        <f>IF(E518="","","Penyusutan "&amp;E518&amp;" periode "&amp;C518)</f>
        <v/>
      </c>
    </row>
    <row r="519">
      <c r="A519" s="3">
        <f>IF(Penyusutan!D519="","","JRN-"&amp;TEXT(ROW()-1,"0000"))</f>
        <v/>
      </c>
      <c r="B519" s="4" t="n">
        <v>46022</v>
      </c>
      <c r="C519" s="3">
        <f>Penyusutan!B519</f>
        <v/>
      </c>
      <c r="D519" s="3">
        <f>Penyusutan!C519</f>
        <v/>
      </c>
      <c r="E519" s="3">
        <f>Penyusutan!D519</f>
        <v/>
      </c>
      <c r="F519" s="3" t="inlineStr">
        <is>
          <t>Inventaris Ruangan</t>
        </is>
      </c>
      <c r="G519" s="3" t="inlineStr"/>
      <c r="H519" s="3" t="inlineStr">
        <is>
          <t>Beban Penyusutan Inventaris Ruangan</t>
        </is>
      </c>
      <c r="I519" s="5">
        <f>Penyusutan!M519</f>
        <v/>
      </c>
      <c r="J519" s="3" t="inlineStr"/>
      <c r="K519" s="3" t="inlineStr">
        <is>
          <t>Akumulasi Penyusutan Inventaris Ruangan</t>
        </is>
      </c>
      <c r="L519" s="5">
        <f>Penyusutan!M519</f>
        <v/>
      </c>
      <c r="M519" s="3">
        <f>IF(E519="","","Penyusutan "&amp;E519&amp;" periode "&amp;C519)</f>
        <v/>
      </c>
    </row>
    <row r="520">
      <c r="A520" s="3">
        <f>IF(Penyusutan!D520="","","JRN-"&amp;TEXT(ROW()-1,"0000"))</f>
        <v/>
      </c>
      <c r="B520" s="4" t="n">
        <v>46022</v>
      </c>
      <c r="C520" s="3">
        <f>Penyusutan!B520</f>
        <v/>
      </c>
      <c r="D520" s="3">
        <f>Penyusutan!C520</f>
        <v/>
      </c>
      <c r="E520" s="3">
        <f>Penyusutan!D520</f>
        <v/>
      </c>
      <c r="F520" s="3" t="inlineStr">
        <is>
          <t>Inventaris Ruangan</t>
        </is>
      </c>
      <c r="G520" s="3" t="inlineStr"/>
      <c r="H520" s="3" t="inlineStr">
        <is>
          <t>Beban Penyusutan Inventaris Ruangan</t>
        </is>
      </c>
      <c r="I520" s="5">
        <f>Penyusutan!M520</f>
        <v/>
      </c>
      <c r="J520" s="3" t="inlineStr"/>
      <c r="K520" s="3" t="inlineStr">
        <is>
          <t>Akumulasi Penyusutan Inventaris Ruangan</t>
        </is>
      </c>
      <c r="L520" s="5">
        <f>Penyusutan!M520</f>
        <v/>
      </c>
      <c r="M520" s="3">
        <f>IF(E520="","","Penyusutan "&amp;E520&amp;" periode "&amp;C520)</f>
        <v/>
      </c>
    </row>
    <row r="521">
      <c r="A521" s="3">
        <f>IF(Penyusutan!D521="","","JRN-"&amp;TEXT(ROW()-1,"0000"))</f>
        <v/>
      </c>
      <c r="B521" s="4" t="n">
        <v>46022</v>
      </c>
      <c r="C521" s="3">
        <f>Penyusutan!B521</f>
        <v/>
      </c>
      <c r="D521" s="3">
        <f>Penyusutan!C521</f>
        <v/>
      </c>
      <c r="E521" s="3">
        <f>Penyusutan!D521</f>
        <v/>
      </c>
      <c r="F521" s="3" t="inlineStr">
        <is>
          <t>Inventaris Ruangan</t>
        </is>
      </c>
      <c r="G521" s="3" t="inlineStr"/>
      <c r="H521" s="3" t="inlineStr">
        <is>
          <t>Beban Penyusutan Inventaris Ruangan</t>
        </is>
      </c>
      <c r="I521" s="5">
        <f>Penyusutan!M521</f>
        <v/>
      </c>
      <c r="J521" s="3" t="inlineStr"/>
      <c r="K521" s="3" t="inlineStr">
        <is>
          <t>Akumulasi Penyusutan Inventaris Ruangan</t>
        </is>
      </c>
      <c r="L521" s="5">
        <f>Penyusutan!M521</f>
        <v/>
      </c>
      <c r="M521" s="3">
        <f>IF(E521="","","Penyusutan "&amp;E521&amp;" periode "&amp;C521)</f>
        <v/>
      </c>
    </row>
    <row r="522">
      <c r="A522" s="3">
        <f>IF(Penyusutan!D522="","","JRN-"&amp;TEXT(ROW()-1,"0000"))</f>
        <v/>
      </c>
      <c r="B522" s="4" t="n">
        <v>46022</v>
      </c>
      <c r="C522" s="3">
        <f>Penyusutan!B522</f>
        <v/>
      </c>
      <c r="D522" s="3">
        <f>Penyusutan!C522</f>
        <v/>
      </c>
      <c r="E522" s="3">
        <f>Penyusutan!D522</f>
        <v/>
      </c>
      <c r="F522" s="3" t="inlineStr">
        <is>
          <t>Inventaris Ruangan</t>
        </is>
      </c>
      <c r="G522" s="3" t="inlineStr"/>
      <c r="H522" s="3" t="inlineStr">
        <is>
          <t>Beban Penyusutan Inventaris Ruangan</t>
        </is>
      </c>
      <c r="I522" s="5">
        <f>Penyusutan!M522</f>
        <v/>
      </c>
      <c r="J522" s="3" t="inlineStr"/>
      <c r="K522" s="3" t="inlineStr">
        <is>
          <t>Akumulasi Penyusutan Inventaris Ruangan</t>
        </is>
      </c>
      <c r="L522" s="5">
        <f>Penyusutan!M522</f>
        <v/>
      </c>
      <c r="M522" s="3">
        <f>IF(E522="","","Penyusutan "&amp;E522&amp;" periode "&amp;C522)</f>
        <v/>
      </c>
    </row>
    <row r="523">
      <c r="A523" s="3">
        <f>IF(Penyusutan!D523="","","JRN-"&amp;TEXT(ROW()-1,"0000"))</f>
        <v/>
      </c>
      <c r="B523" s="4" t="n">
        <v>46022</v>
      </c>
      <c r="C523" s="3">
        <f>Penyusutan!B523</f>
        <v/>
      </c>
      <c r="D523" s="3">
        <f>Penyusutan!C523</f>
        <v/>
      </c>
      <c r="E523" s="3">
        <f>Penyusutan!D523</f>
        <v/>
      </c>
      <c r="F523" s="3" t="inlineStr">
        <is>
          <t>Inventaris Ruangan</t>
        </is>
      </c>
      <c r="G523" s="3" t="inlineStr"/>
      <c r="H523" s="3" t="inlineStr">
        <is>
          <t>Beban Penyusutan Inventaris Ruangan</t>
        </is>
      </c>
      <c r="I523" s="5">
        <f>Penyusutan!M523</f>
        <v/>
      </c>
      <c r="J523" s="3" t="inlineStr"/>
      <c r="K523" s="3" t="inlineStr">
        <is>
          <t>Akumulasi Penyusutan Inventaris Ruangan</t>
        </is>
      </c>
      <c r="L523" s="5">
        <f>Penyusutan!M523</f>
        <v/>
      </c>
      <c r="M523" s="3">
        <f>IF(E523="","","Penyusutan "&amp;E523&amp;" periode "&amp;C523)</f>
        <v/>
      </c>
    </row>
    <row r="524">
      <c r="A524" s="3">
        <f>IF(Penyusutan!D524="","","JRN-"&amp;TEXT(ROW()-1,"0000"))</f>
        <v/>
      </c>
      <c r="B524" s="4" t="n">
        <v>46022</v>
      </c>
      <c r="C524" s="3">
        <f>Penyusutan!B524</f>
        <v/>
      </c>
      <c r="D524" s="3">
        <f>Penyusutan!C524</f>
        <v/>
      </c>
      <c r="E524" s="3">
        <f>Penyusutan!D524</f>
        <v/>
      </c>
      <c r="F524" s="3" t="inlineStr">
        <is>
          <t>Inventaris Ruangan</t>
        </is>
      </c>
      <c r="G524" s="3" t="inlineStr"/>
      <c r="H524" s="3" t="inlineStr">
        <is>
          <t>Beban Penyusutan Inventaris Ruangan</t>
        </is>
      </c>
      <c r="I524" s="5">
        <f>Penyusutan!M524</f>
        <v/>
      </c>
      <c r="J524" s="3" t="inlineStr"/>
      <c r="K524" s="3" t="inlineStr">
        <is>
          <t>Akumulasi Penyusutan Inventaris Ruangan</t>
        </is>
      </c>
      <c r="L524" s="5">
        <f>Penyusutan!M524</f>
        <v/>
      </c>
      <c r="M524" s="3">
        <f>IF(E524="","","Penyusutan "&amp;E524&amp;" periode "&amp;C524)</f>
        <v/>
      </c>
    </row>
    <row r="525">
      <c r="A525" s="3">
        <f>IF(Penyusutan!D525="","","JRN-"&amp;TEXT(ROW()-1,"0000"))</f>
        <v/>
      </c>
      <c r="B525" s="4" t="n">
        <v>46022</v>
      </c>
      <c r="C525" s="3">
        <f>Penyusutan!B525</f>
        <v/>
      </c>
      <c r="D525" s="3">
        <f>Penyusutan!C525</f>
        <v/>
      </c>
      <c r="E525" s="3">
        <f>Penyusutan!D525</f>
        <v/>
      </c>
      <c r="F525" s="3" t="inlineStr">
        <is>
          <t>Inventaris Ruangan</t>
        </is>
      </c>
      <c r="G525" s="3" t="inlineStr"/>
      <c r="H525" s="3" t="inlineStr">
        <is>
          <t>Beban Penyusutan Inventaris Ruangan</t>
        </is>
      </c>
      <c r="I525" s="5">
        <f>Penyusutan!M525</f>
        <v/>
      </c>
      <c r="J525" s="3" t="inlineStr"/>
      <c r="K525" s="3" t="inlineStr">
        <is>
          <t>Akumulasi Penyusutan Inventaris Ruangan</t>
        </is>
      </c>
      <c r="L525" s="5">
        <f>Penyusutan!M525</f>
        <v/>
      </c>
      <c r="M525" s="3">
        <f>IF(E525="","","Penyusutan "&amp;E525&amp;" periode "&amp;C525)</f>
        <v/>
      </c>
    </row>
    <row r="526">
      <c r="A526" s="3">
        <f>IF(Penyusutan!D526="","","JRN-"&amp;TEXT(ROW()-1,"0000"))</f>
        <v/>
      </c>
      <c r="B526" s="4" t="n">
        <v>46022</v>
      </c>
      <c r="C526" s="3">
        <f>Penyusutan!B526</f>
        <v/>
      </c>
      <c r="D526" s="3">
        <f>Penyusutan!C526</f>
        <v/>
      </c>
      <c r="E526" s="3">
        <f>Penyusutan!D526</f>
        <v/>
      </c>
      <c r="F526" s="3" t="inlineStr">
        <is>
          <t>Inventaris Ruangan</t>
        </is>
      </c>
      <c r="G526" s="3" t="inlineStr"/>
      <c r="H526" s="3" t="inlineStr">
        <is>
          <t>Beban Penyusutan Inventaris Ruangan</t>
        </is>
      </c>
      <c r="I526" s="5">
        <f>Penyusutan!M526</f>
        <v/>
      </c>
      <c r="J526" s="3" t="inlineStr"/>
      <c r="K526" s="3" t="inlineStr">
        <is>
          <t>Akumulasi Penyusutan Inventaris Ruangan</t>
        </is>
      </c>
      <c r="L526" s="5">
        <f>Penyusutan!M526</f>
        <v/>
      </c>
      <c r="M526" s="3">
        <f>IF(E526="","","Penyusutan "&amp;E526&amp;" periode "&amp;C526)</f>
        <v/>
      </c>
    </row>
    <row r="527">
      <c r="A527" s="3">
        <f>IF(Penyusutan!D527="","","JRN-"&amp;TEXT(ROW()-1,"0000"))</f>
        <v/>
      </c>
      <c r="B527" s="4" t="n">
        <v>46022</v>
      </c>
      <c r="C527" s="3">
        <f>Penyusutan!B527</f>
        <v/>
      </c>
      <c r="D527" s="3">
        <f>Penyusutan!C527</f>
        <v/>
      </c>
      <c r="E527" s="3">
        <f>Penyusutan!D527</f>
        <v/>
      </c>
      <c r="F527" s="3" t="inlineStr">
        <is>
          <t>Inventaris Ruangan</t>
        </is>
      </c>
      <c r="G527" s="3" t="inlineStr"/>
      <c r="H527" s="3" t="inlineStr">
        <is>
          <t>Beban Penyusutan Inventaris Ruangan</t>
        </is>
      </c>
      <c r="I527" s="5">
        <f>Penyusutan!M527</f>
        <v/>
      </c>
      <c r="J527" s="3" t="inlineStr"/>
      <c r="K527" s="3" t="inlineStr">
        <is>
          <t>Akumulasi Penyusutan Inventaris Ruangan</t>
        </is>
      </c>
      <c r="L527" s="5">
        <f>Penyusutan!M527</f>
        <v/>
      </c>
      <c r="M527" s="3">
        <f>IF(E527="","","Penyusutan "&amp;E527&amp;" periode "&amp;C527)</f>
        <v/>
      </c>
    </row>
    <row r="528">
      <c r="A528" s="3">
        <f>IF(Penyusutan!D528="","","JRN-"&amp;TEXT(ROW()-1,"0000"))</f>
        <v/>
      </c>
      <c r="B528" s="4" t="n">
        <v>46022</v>
      </c>
      <c r="C528" s="3">
        <f>Penyusutan!B528</f>
        <v/>
      </c>
      <c r="D528" s="3">
        <f>Penyusutan!C528</f>
        <v/>
      </c>
      <c r="E528" s="3">
        <f>Penyusutan!D528</f>
        <v/>
      </c>
      <c r="F528" s="3" t="inlineStr">
        <is>
          <t>Inventaris Ruangan</t>
        </is>
      </c>
      <c r="G528" s="3" t="inlineStr"/>
      <c r="H528" s="3" t="inlineStr">
        <is>
          <t>Beban Penyusutan Inventaris Ruangan</t>
        </is>
      </c>
      <c r="I528" s="5">
        <f>Penyusutan!M528</f>
        <v/>
      </c>
      <c r="J528" s="3" t="inlineStr"/>
      <c r="K528" s="3" t="inlineStr">
        <is>
          <t>Akumulasi Penyusutan Inventaris Ruangan</t>
        </is>
      </c>
      <c r="L528" s="5">
        <f>Penyusutan!M528</f>
        <v/>
      </c>
      <c r="M528" s="3">
        <f>IF(E528="","","Penyusutan "&amp;E528&amp;" periode "&amp;C528)</f>
        <v/>
      </c>
    </row>
    <row r="529">
      <c r="A529" s="3">
        <f>IF(Penyusutan!D529="","","JRN-"&amp;TEXT(ROW()-1,"0000"))</f>
        <v/>
      </c>
      <c r="B529" s="4" t="n">
        <v>46022</v>
      </c>
      <c r="C529" s="3">
        <f>Penyusutan!B529</f>
        <v/>
      </c>
      <c r="D529" s="3">
        <f>Penyusutan!C529</f>
        <v/>
      </c>
      <c r="E529" s="3">
        <f>Penyusutan!D529</f>
        <v/>
      </c>
      <c r="F529" s="3" t="inlineStr">
        <is>
          <t>Inventaris Ruangan</t>
        </is>
      </c>
      <c r="G529" s="3" t="inlineStr"/>
      <c r="H529" s="3" t="inlineStr">
        <is>
          <t>Beban Penyusutan Inventaris Ruangan</t>
        </is>
      </c>
      <c r="I529" s="5">
        <f>Penyusutan!M529</f>
        <v/>
      </c>
      <c r="J529" s="3" t="inlineStr"/>
      <c r="K529" s="3" t="inlineStr">
        <is>
          <t>Akumulasi Penyusutan Inventaris Ruangan</t>
        </is>
      </c>
      <c r="L529" s="5">
        <f>Penyusutan!M529</f>
        <v/>
      </c>
      <c r="M529" s="3">
        <f>IF(E529="","","Penyusutan "&amp;E529&amp;" periode "&amp;C529)</f>
        <v/>
      </c>
    </row>
    <row r="530">
      <c r="A530" s="3">
        <f>IF(Penyusutan!D530="","","JRN-"&amp;TEXT(ROW()-1,"0000"))</f>
        <v/>
      </c>
      <c r="B530" s="4" t="n">
        <v>46022</v>
      </c>
      <c r="C530" s="3">
        <f>Penyusutan!B530</f>
        <v/>
      </c>
      <c r="D530" s="3">
        <f>Penyusutan!C530</f>
        <v/>
      </c>
      <c r="E530" s="3">
        <f>Penyusutan!D530</f>
        <v/>
      </c>
      <c r="F530" s="3" t="inlineStr">
        <is>
          <t>Inventaris Ruangan</t>
        </is>
      </c>
      <c r="G530" s="3" t="inlineStr"/>
      <c r="H530" s="3" t="inlineStr">
        <is>
          <t>Beban Penyusutan Inventaris Ruangan</t>
        </is>
      </c>
      <c r="I530" s="5">
        <f>Penyusutan!M530</f>
        <v/>
      </c>
      <c r="J530" s="3" t="inlineStr"/>
      <c r="K530" s="3" t="inlineStr">
        <is>
          <t>Akumulasi Penyusutan Inventaris Ruangan</t>
        </is>
      </c>
      <c r="L530" s="5">
        <f>Penyusutan!M530</f>
        <v/>
      </c>
      <c r="M530" s="3">
        <f>IF(E530="","","Penyusutan "&amp;E530&amp;" periode "&amp;C530)</f>
        <v/>
      </c>
    </row>
    <row r="531">
      <c r="A531" s="3">
        <f>IF(Penyusutan!D531="","","JRN-"&amp;TEXT(ROW()-1,"0000"))</f>
        <v/>
      </c>
      <c r="B531" s="4" t="n">
        <v>46022</v>
      </c>
      <c r="C531" s="3">
        <f>Penyusutan!B531</f>
        <v/>
      </c>
      <c r="D531" s="3">
        <f>Penyusutan!C531</f>
        <v/>
      </c>
      <c r="E531" s="3">
        <f>Penyusutan!D531</f>
        <v/>
      </c>
      <c r="F531" s="3" t="inlineStr">
        <is>
          <t>Inventaris Ruangan</t>
        </is>
      </c>
      <c r="G531" s="3" t="inlineStr"/>
      <c r="H531" s="3" t="inlineStr">
        <is>
          <t>Beban Penyusutan Inventaris Ruangan</t>
        </is>
      </c>
      <c r="I531" s="5">
        <f>Penyusutan!M531</f>
        <v/>
      </c>
      <c r="J531" s="3" t="inlineStr"/>
      <c r="K531" s="3" t="inlineStr">
        <is>
          <t>Akumulasi Penyusutan Inventaris Ruangan</t>
        </is>
      </c>
      <c r="L531" s="5">
        <f>Penyusutan!M531</f>
        <v/>
      </c>
      <c r="M531" s="3">
        <f>IF(E531="","","Penyusutan "&amp;E531&amp;" periode "&amp;C531)</f>
        <v/>
      </c>
    </row>
    <row r="532">
      <c r="A532" s="3">
        <f>IF(Penyusutan!D532="","","JRN-"&amp;TEXT(ROW()-1,"0000"))</f>
        <v/>
      </c>
      <c r="B532" s="4" t="n">
        <v>46022</v>
      </c>
      <c r="C532" s="3">
        <f>Penyusutan!B532</f>
        <v/>
      </c>
      <c r="D532" s="3">
        <f>Penyusutan!C532</f>
        <v/>
      </c>
      <c r="E532" s="3">
        <f>Penyusutan!D532</f>
        <v/>
      </c>
      <c r="F532" s="3" t="inlineStr">
        <is>
          <t>Inventaris Ruangan</t>
        </is>
      </c>
      <c r="G532" s="3" t="inlineStr"/>
      <c r="H532" s="3" t="inlineStr">
        <is>
          <t>Beban Penyusutan Inventaris Ruangan</t>
        </is>
      </c>
      <c r="I532" s="5">
        <f>Penyusutan!M532</f>
        <v/>
      </c>
      <c r="J532" s="3" t="inlineStr"/>
      <c r="K532" s="3" t="inlineStr">
        <is>
          <t>Akumulasi Penyusutan Inventaris Ruangan</t>
        </is>
      </c>
      <c r="L532" s="5">
        <f>Penyusutan!M532</f>
        <v/>
      </c>
      <c r="M532" s="3">
        <f>IF(E532="","","Penyusutan "&amp;E532&amp;" periode "&amp;C532)</f>
        <v/>
      </c>
    </row>
    <row r="533">
      <c r="A533" s="3">
        <f>IF(Penyusutan!D533="","","JRN-"&amp;TEXT(ROW()-1,"0000"))</f>
        <v/>
      </c>
      <c r="B533" s="4" t="n">
        <v>46022</v>
      </c>
      <c r="C533" s="3">
        <f>Penyusutan!B533</f>
        <v/>
      </c>
      <c r="D533" s="3">
        <f>Penyusutan!C533</f>
        <v/>
      </c>
      <c r="E533" s="3">
        <f>Penyusutan!D533</f>
        <v/>
      </c>
      <c r="F533" s="3" t="inlineStr">
        <is>
          <t>Inventaris Ruangan</t>
        </is>
      </c>
      <c r="G533" s="3" t="inlineStr"/>
      <c r="H533" s="3" t="inlineStr">
        <is>
          <t>Beban Penyusutan Inventaris Ruangan</t>
        </is>
      </c>
      <c r="I533" s="5">
        <f>Penyusutan!M533</f>
        <v/>
      </c>
      <c r="J533" s="3" t="inlineStr"/>
      <c r="K533" s="3" t="inlineStr">
        <is>
          <t>Akumulasi Penyusutan Inventaris Ruangan</t>
        </is>
      </c>
      <c r="L533" s="5">
        <f>Penyusutan!M533</f>
        <v/>
      </c>
      <c r="M533" s="3">
        <f>IF(E533="","","Penyusutan "&amp;E533&amp;" periode "&amp;C533)</f>
        <v/>
      </c>
    </row>
    <row r="534">
      <c r="A534" s="3">
        <f>IF(Penyusutan!D534="","","JRN-"&amp;TEXT(ROW()-1,"0000"))</f>
        <v/>
      </c>
      <c r="B534" s="4" t="n">
        <v>46022</v>
      </c>
      <c r="C534" s="3">
        <f>Penyusutan!B534</f>
        <v/>
      </c>
      <c r="D534" s="3">
        <f>Penyusutan!C534</f>
        <v/>
      </c>
      <c r="E534" s="3">
        <f>Penyusutan!D534</f>
        <v/>
      </c>
      <c r="F534" s="3" t="inlineStr">
        <is>
          <t>Inventaris Ruangan</t>
        </is>
      </c>
      <c r="G534" s="3" t="inlineStr"/>
      <c r="H534" s="3" t="inlineStr">
        <is>
          <t>Beban Penyusutan Inventaris Ruangan</t>
        </is>
      </c>
      <c r="I534" s="5">
        <f>Penyusutan!M534</f>
        <v/>
      </c>
      <c r="J534" s="3" t="inlineStr"/>
      <c r="K534" s="3" t="inlineStr">
        <is>
          <t>Akumulasi Penyusutan Inventaris Ruangan</t>
        </is>
      </c>
      <c r="L534" s="5">
        <f>Penyusutan!M534</f>
        <v/>
      </c>
      <c r="M534" s="3">
        <f>IF(E534="","","Penyusutan "&amp;E534&amp;" periode "&amp;C534)</f>
        <v/>
      </c>
    </row>
    <row r="535">
      <c r="A535" s="3">
        <f>IF(Penyusutan!D535="","","JRN-"&amp;TEXT(ROW()-1,"0000"))</f>
        <v/>
      </c>
      <c r="B535" s="4" t="n">
        <v>46022</v>
      </c>
      <c r="C535" s="3">
        <f>Penyusutan!B535</f>
        <v/>
      </c>
      <c r="D535" s="3">
        <f>Penyusutan!C535</f>
        <v/>
      </c>
      <c r="E535" s="3">
        <f>Penyusutan!D535</f>
        <v/>
      </c>
      <c r="F535" s="3" t="inlineStr">
        <is>
          <t>Inventaris Ruangan</t>
        </is>
      </c>
      <c r="G535" s="3" t="inlineStr"/>
      <c r="H535" s="3" t="inlineStr">
        <is>
          <t>Beban Penyusutan Inventaris Ruangan</t>
        </is>
      </c>
      <c r="I535" s="5">
        <f>Penyusutan!M535</f>
        <v/>
      </c>
      <c r="J535" s="3" t="inlineStr"/>
      <c r="K535" s="3" t="inlineStr">
        <is>
          <t>Akumulasi Penyusutan Inventaris Ruangan</t>
        </is>
      </c>
      <c r="L535" s="5">
        <f>Penyusutan!M535</f>
        <v/>
      </c>
      <c r="M535" s="3">
        <f>IF(E535="","","Penyusutan "&amp;E535&amp;" periode "&amp;C535)</f>
        <v/>
      </c>
    </row>
    <row r="536">
      <c r="A536" s="3">
        <f>IF(Penyusutan!D536="","","JRN-"&amp;TEXT(ROW()-1,"0000"))</f>
        <v/>
      </c>
      <c r="B536" s="4" t="n">
        <v>46022</v>
      </c>
      <c r="C536" s="3">
        <f>Penyusutan!B536</f>
        <v/>
      </c>
      <c r="D536" s="3">
        <f>Penyusutan!C536</f>
        <v/>
      </c>
      <c r="E536" s="3">
        <f>Penyusutan!D536</f>
        <v/>
      </c>
      <c r="F536" s="3" t="inlineStr">
        <is>
          <t>Inventaris Ruangan</t>
        </is>
      </c>
      <c r="G536" s="3" t="inlineStr"/>
      <c r="H536" s="3" t="inlineStr">
        <is>
          <t>Beban Penyusutan Inventaris Ruangan</t>
        </is>
      </c>
      <c r="I536" s="5">
        <f>Penyusutan!M536</f>
        <v/>
      </c>
      <c r="J536" s="3" t="inlineStr"/>
      <c r="K536" s="3" t="inlineStr">
        <is>
          <t>Akumulasi Penyusutan Inventaris Ruangan</t>
        </is>
      </c>
      <c r="L536" s="5">
        <f>Penyusutan!M536</f>
        <v/>
      </c>
      <c r="M536" s="3">
        <f>IF(E536="","","Penyusutan "&amp;E536&amp;" periode "&amp;C536)</f>
        <v/>
      </c>
    </row>
    <row r="537">
      <c r="A537" s="3">
        <f>IF(Penyusutan!D537="","","JRN-"&amp;TEXT(ROW()-1,"0000"))</f>
        <v/>
      </c>
      <c r="B537" s="4" t="n">
        <v>46022</v>
      </c>
      <c r="C537" s="3">
        <f>Penyusutan!B537</f>
        <v/>
      </c>
      <c r="D537" s="3">
        <f>Penyusutan!C537</f>
        <v/>
      </c>
      <c r="E537" s="3">
        <f>Penyusutan!D537</f>
        <v/>
      </c>
      <c r="F537" s="3" t="inlineStr">
        <is>
          <t>Inventaris Ruangan</t>
        </is>
      </c>
      <c r="G537" s="3" t="inlineStr"/>
      <c r="H537" s="3" t="inlineStr">
        <is>
          <t>Beban Penyusutan Inventaris Ruangan</t>
        </is>
      </c>
      <c r="I537" s="5">
        <f>Penyusutan!M537</f>
        <v/>
      </c>
      <c r="J537" s="3" t="inlineStr"/>
      <c r="K537" s="3" t="inlineStr">
        <is>
          <t>Akumulasi Penyusutan Inventaris Ruangan</t>
        </is>
      </c>
      <c r="L537" s="5">
        <f>Penyusutan!M537</f>
        <v/>
      </c>
      <c r="M537" s="3">
        <f>IF(E537="","","Penyusutan "&amp;E537&amp;" periode "&amp;C537)</f>
        <v/>
      </c>
    </row>
    <row r="538">
      <c r="A538" s="3">
        <f>IF(Penyusutan!D538="","","JRN-"&amp;TEXT(ROW()-1,"0000"))</f>
        <v/>
      </c>
      <c r="B538" s="4" t="n">
        <v>46022</v>
      </c>
      <c r="C538" s="3">
        <f>Penyusutan!B538</f>
        <v/>
      </c>
      <c r="D538" s="3">
        <f>Penyusutan!C538</f>
        <v/>
      </c>
      <c r="E538" s="3">
        <f>Penyusutan!D538</f>
        <v/>
      </c>
      <c r="F538" s="3" t="inlineStr">
        <is>
          <t>Inventaris Ruangan</t>
        </is>
      </c>
      <c r="G538" s="3" t="inlineStr"/>
      <c r="H538" s="3" t="inlineStr">
        <is>
          <t>Beban Penyusutan Inventaris Ruangan</t>
        </is>
      </c>
      <c r="I538" s="5">
        <f>Penyusutan!M538</f>
        <v/>
      </c>
      <c r="J538" s="3" t="inlineStr"/>
      <c r="K538" s="3" t="inlineStr">
        <is>
          <t>Akumulasi Penyusutan Inventaris Ruangan</t>
        </is>
      </c>
      <c r="L538" s="5">
        <f>Penyusutan!M538</f>
        <v/>
      </c>
      <c r="M538" s="3">
        <f>IF(E538="","","Penyusutan "&amp;E538&amp;" periode "&amp;C538)</f>
        <v/>
      </c>
    </row>
    <row r="539">
      <c r="A539" s="3">
        <f>IF(Penyusutan!D539="","","JRN-"&amp;TEXT(ROW()-1,"0000"))</f>
        <v/>
      </c>
      <c r="B539" s="4" t="n">
        <v>46022</v>
      </c>
      <c r="C539" s="3">
        <f>Penyusutan!B539</f>
        <v/>
      </c>
      <c r="D539" s="3">
        <f>Penyusutan!C539</f>
        <v/>
      </c>
      <c r="E539" s="3">
        <f>Penyusutan!D539</f>
        <v/>
      </c>
      <c r="F539" s="3" t="inlineStr">
        <is>
          <t>Inventaris Ruangan</t>
        </is>
      </c>
      <c r="G539" s="3" t="inlineStr"/>
      <c r="H539" s="3" t="inlineStr">
        <is>
          <t>Beban Penyusutan Inventaris Ruangan</t>
        </is>
      </c>
      <c r="I539" s="5">
        <f>Penyusutan!M539</f>
        <v/>
      </c>
      <c r="J539" s="3" t="inlineStr"/>
      <c r="K539" s="3" t="inlineStr">
        <is>
          <t>Akumulasi Penyusutan Inventaris Ruangan</t>
        </is>
      </c>
      <c r="L539" s="5">
        <f>Penyusutan!M539</f>
        <v/>
      </c>
      <c r="M539" s="3">
        <f>IF(E539="","","Penyusutan "&amp;E539&amp;" periode "&amp;C539)</f>
        <v/>
      </c>
    </row>
    <row r="540">
      <c r="A540" s="3">
        <f>IF(Penyusutan!D540="","","JRN-"&amp;TEXT(ROW()-1,"0000"))</f>
        <v/>
      </c>
      <c r="B540" s="4" t="n">
        <v>46022</v>
      </c>
      <c r="C540" s="3">
        <f>Penyusutan!B540</f>
        <v/>
      </c>
      <c r="D540" s="3">
        <f>Penyusutan!C540</f>
        <v/>
      </c>
      <c r="E540" s="3">
        <f>Penyusutan!D540</f>
        <v/>
      </c>
      <c r="F540" s="3" t="inlineStr">
        <is>
          <t>Inventaris Ruangan</t>
        </is>
      </c>
      <c r="G540" s="3" t="inlineStr"/>
      <c r="H540" s="3" t="inlineStr">
        <is>
          <t>Beban Penyusutan Inventaris Ruangan</t>
        </is>
      </c>
      <c r="I540" s="5">
        <f>Penyusutan!M540</f>
        <v/>
      </c>
      <c r="J540" s="3" t="inlineStr"/>
      <c r="K540" s="3" t="inlineStr">
        <is>
          <t>Akumulasi Penyusutan Inventaris Ruangan</t>
        </is>
      </c>
      <c r="L540" s="5">
        <f>Penyusutan!M540</f>
        <v/>
      </c>
      <c r="M540" s="3">
        <f>IF(E540="","","Penyusutan "&amp;E540&amp;" periode "&amp;C540)</f>
        <v/>
      </c>
    </row>
    <row r="541">
      <c r="A541" s="3">
        <f>IF(Penyusutan!D541="","","JRN-"&amp;TEXT(ROW()-1,"0000"))</f>
        <v/>
      </c>
      <c r="B541" s="4" t="n">
        <v>46022</v>
      </c>
      <c r="C541" s="3">
        <f>Penyusutan!B541</f>
        <v/>
      </c>
      <c r="D541" s="3">
        <f>Penyusutan!C541</f>
        <v/>
      </c>
      <c r="E541" s="3">
        <f>Penyusutan!D541</f>
        <v/>
      </c>
      <c r="F541" s="3" t="inlineStr">
        <is>
          <t>Inventaris Ruangan</t>
        </is>
      </c>
      <c r="G541" s="3" t="inlineStr"/>
      <c r="H541" s="3" t="inlineStr">
        <is>
          <t>Beban Penyusutan Inventaris Ruangan</t>
        </is>
      </c>
      <c r="I541" s="5">
        <f>Penyusutan!M541</f>
        <v/>
      </c>
      <c r="J541" s="3" t="inlineStr"/>
      <c r="K541" s="3" t="inlineStr">
        <is>
          <t>Akumulasi Penyusutan Inventaris Ruangan</t>
        </is>
      </c>
      <c r="L541" s="5">
        <f>Penyusutan!M541</f>
        <v/>
      </c>
      <c r="M541" s="3">
        <f>IF(E541="","","Penyusutan "&amp;E541&amp;" periode "&amp;C541)</f>
        <v/>
      </c>
    </row>
    <row r="542">
      <c r="A542" s="3">
        <f>IF(Penyusutan!D542="","","JRN-"&amp;TEXT(ROW()-1,"0000"))</f>
        <v/>
      </c>
      <c r="B542" s="4" t="n">
        <v>46022</v>
      </c>
      <c r="C542" s="3">
        <f>Penyusutan!B542</f>
        <v/>
      </c>
      <c r="D542" s="3">
        <f>Penyusutan!C542</f>
        <v/>
      </c>
      <c r="E542" s="3">
        <f>Penyusutan!D542</f>
        <v/>
      </c>
      <c r="F542" s="3" t="inlineStr">
        <is>
          <t>Inventaris Ruangan</t>
        </is>
      </c>
      <c r="G542" s="3" t="inlineStr"/>
      <c r="H542" s="3" t="inlineStr">
        <is>
          <t>Beban Penyusutan Inventaris Ruangan</t>
        </is>
      </c>
      <c r="I542" s="5">
        <f>Penyusutan!M542</f>
        <v/>
      </c>
      <c r="J542" s="3" t="inlineStr"/>
      <c r="K542" s="3" t="inlineStr">
        <is>
          <t>Akumulasi Penyusutan Inventaris Ruangan</t>
        </is>
      </c>
      <c r="L542" s="5">
        <f>Penyusutan!M542</f>
        <v/>
      </c>
      <c r="M542" s="3">
        <f>IF(E542="","","Penyusutan "&amp;E542&amp;" periode "&amp;C542)</f>
        <v/>
      </c>
    </row>
    <row r="543">
      <c r="A543" s="3">
        <f>IF(Penyusutan!D543="","","JRN-"&amp;TEXT(ROW()-1,"0000"))</f>
        <v/>
      </c>
      <c r="B543" s="4" t="n">
        <v>46022</v>
      </c>
      <c r="C543" s="3">
        <f>Penyusutan!B543</f>
        <v/>
      </c>
      <c r="D543" s="3">
        <f>Penyusutan!C543</f>
        <v/>
      </c>
      <c r="E543" s="3">
        <f>Penyusutan!D543</f>
        <v/>
      </c>
      <c r="F543" s="3" t="inlineStr">
        <is>
          <t>Inventaris Ruangan</t>
        </is>
      </c>
      <c r="G543" s="3" t="inlineStr"/>
      <c r="H543" s="3" t="inlineStr">
        <is>
          <t>Beban Penyusutan Inventaris Ruangan</t>
        </is>
      </c>
      <c r="I543" s="5">
        <f>Penyusutan!M543</f>
        <v/>
      </c>
      <c r="J543" s="3" t="inlineStr"/>
      <c r="K543" s="3" t="inlineStr">
        <is>
          <t>Akumulasi Penyusutan Inventaris Ruangan</t>
        </is>
      </c>
      <c r="L543" s="5">
        <f>Penyusutan!M543</f>
        <v/>
      </c>
      <c r="M543" s="3">
        <f>IF(E543="","","Penyusutan "&amp;E543&amp;" periode "&amp;C543)</f>
        <v/>
      </c>
    </row>
    <row r="544">
      <c r="A544" s="3">
        <f>IF(Penyusutan!D544="","","JRN-"&amp;TEXT(ROW()-1,"0000"))</f>
        <v/>
      </c>
      <c r="B544" s="4" t="n">
        <v>46022</v>
      </c>
      <c r="C544" s="3">
        <f>Penyusutan!B544</f>
        <v/>
      </c>
      <c r="D544" s="3">
        <f>Penyusutan!C544</f>
        <v/>
      </c>
      <c r="E544" s="3">
        <f>Penyusutan!D544</f>
        <v/>
      </c>
      <c r="F544" s="3" t="inlineStr">
        <is>
          <t>Inventaris Ruangan</t>
        </is>
      </c>
      <c r="G544" s="3" t="inlineStr"/>
      <c r="H544" s="3" t="inlineStr">
        <is>
          <t>Beban Penyusutan Inventaris Ruangan</t>
        </is>
      </c>
      <c r="I544" s="5">
        <f>Penyusutan!M544</f>
        <v/>
      </c>
      <c r="J544" s="3" t="inlineStr"/>
      <c r="K544" s="3" t="inlineStr">
        <is>
          <t>Akumulasi Penyusutan Inventaris Ruangan</t>
        </is>
      </c>
      <c r="L544" s="5">
        <f>Penyusutan!M544</f>
        <v/>
      </c>
      <c r="M544" s="3">
        <f>IF(E544="","","Penyusutan "&amp;E544&amp;" periode "&amp;C544)</f>
        <v/>
      </c>
    </row>
    <row r="545">
      <c r="A545" s="3">
        <f>IF(Penyusutan!D545="","","JRN-"&amp;TEXT(ROW()-1,"0000"))</f>
        <v/>
      </c>
      <c r="B545" s="4" t="n">
        <v>46022</v>
      </c>
      <c r="C545" s="3">
        <f>Penyusutan!B545</f>
        <v/>
      </c>
      <c r="D545" s="3">
        <f>Penyusutan!C545</f>
        <v/>
      </c>
      <c r="E545" s="3">
        <f>Penyusutan!D545</f>
        <v/>
      </c>
      <c r="F545" s="3" t="inlineStr">
        <is>
          <t>Inventaris Ruangan</t>
        </is>
      </c>
      <c r="G545" s="3" t="inlineStr"/>
      <c r="H545" s="3" t="inlineStr">
        <is>
          <t>Beban Penyusutan Inventaris Ruangan</t>
        </is>
      </c>
      <c r="I545" s="5">
        <f>Penyusutan!M545</f>
        <v/>
      </c>
      <c r="J545" s="3" t="inlineStr"/>
      <c r="K545" s="3" t="inlineStr">
        <is>
          <t>Akumulasi Penyusutan Inventaris Ruangan</t>
        </is>
      </c>
      <c r="L545" s="5">
        <f>Penyusutan!M545</f>
        <v/>
      </c>
      <c r="M545" s="3">
        <f>IF(E545="","","Penyusutan "&amp;E545&amp;" periode "&amp;C545)</f>
        <v/>
      </c>
    </row>
    <row r="546">
      <c r="A546" s="3">
        <f>IF(Penyusutan!D546="","","JRN-"&amp;TEXT(ROW()-1,"0000"))</f>
        <v/>
      </c>
      <c r="B546" s="4" t="n">
        <v>46022</v>
      </c>
      <c r="C546" s="3">
        <f>Penyusutan!B546</f>
        <v/>
      </c>
      <c r="D546" s="3">
        <f>Penyusutan!C546</f>
        <v/>
      </c>
      <c r="E546" s="3">
        <f>Penyusutan!D546</f>
        <v/>
      </c>
      <c r="F546" s="3" t="inlineStr">
        <is>
          <t>Inventaris Ruangan</t>
        </is>
      </c>
      <c r="G546" s="3" t="inlineStr"/>
      <c r="H546" s="3" t="inlineStr">
        <is>
          <t>Beban Penyusutan Inventaris Ruangan</t>
        </is>
      </c>
      <c r="I546" s="5">
        <f>Penyusutan!M546</f>
        <v/>
      </c>
      <c r="J546" s="3" t="inlineStr"/>
      <c r="K546" s="3" t="inlineStr">
        <is>
          <t>Akumulasi Penyusutan Inventaris Ruangan</t>
        </is>
      </c>
      <c r="L546" s="5">
        <f>Penyusutan!M546</f>
        <v/>
      </c>
      <c r="M546" s="3">
        <f>IF(E546="","","Penyusutan "&amp;E546&amp;" periode "&amp;C546)</f>
        <v/>
      </c>
    </row>
    <row r="547">
      <c r="A547" s="3">
        <f>IF(Penyusutan!D547="","","JRN-"&amp;TEXT(ROW()-1,"0000"))</f>
        <v/>
      </c>
      <c r="B547" s="4" t="n">
        <v>46022</v>
      </c>
      <c r="C547" s="3">
        <f>Penyusutan!B547</f>
        <v/>
      </c>
      <c r="D547" s="3">
        <f>Penyusutan!C547</f>
        <v/>
      </c>
      <c r="E547" s="3">
        <f>Penyusutan!D547</f>
        <v/>
      </c>
      <c r="F547" s="3" t="inlineStr">
        <is>
          <t>Inventaris Ruangan</t>
        </is>
      </c>
      <c r="G547" s="3" t="inlineStr"/>
      <c r="H547" s="3" t="inlineStr">
        <is>
          <t>Beban Penyusutan Inventaris Ruangan</t>
        </is>
      </c>
      <c r="I547" s="5">
        <f>Penyusutan!M547</f>
        <v/>
      </c>
      <c r="J547" s="3" t="inlineStr"/>
      <c r="K547" s="3" t="inlineStr">
        <is>
          <t>Akumulasi Penyusutan Inventaris Ruangan</t>
        </is>
      </c>
      <c r="L547" s="5">
        <f>Penyusutan!M547</f>
        <v/>
      </c>
      <c r="M547" s="3">
        <f>IF(E547="","","Penyusutan "&amp;E547&amp;" periode "&amp;C547)</f>
        <v/>
      </c>
    </row>
    <row r="548">
      <c r="A548" s="3">
        <f>IF(Penyusutan!D548="","","JRN-"&amp;TEXT(ROW()-1,"0000"))</f>
        <v/>
      </c>
      <c r="B548" s="4" t="n">
        <v>46022</v>
      </c>
      <c r="C548" s="3">
        <f>Penyusutan!B548</f>
        <v/>
      </c>
      <c r="D548" s="3">
        <f>Penyusutan!C548</f>
        <v/>
      </c>
      <c r="E548" s="3">
        <f>Penyusutan!D548</f>
        <v/>
      </c>
      <c r="F548" s="3" t="inlineStr">
        <is>
          <t>Inventaris Ruangan</t>
        </is>
      </c>
      <c r="G548" s="3" t="inlineStr"/>
      <c r="H548" s="3" t="inlineStr">
        <is>
          <t>Beban Penyusutan Inventaris Ruangan</t>
        </is>
      </c>
      <c r="I548" s="5">
        <f>Penyusutan!M548</f>
        <v/>
      </c>
      <c r="J548" s="3" t="inlineStr"/>
      <c r="K548" s="3" t="inlineStr">
        <is>
          <t>Akumulasi Penyusutan Inventaris Ruangan</t>
        </is>
      </c>
      <c r="L548" s="5">
        <f>Penyusutan!M548</f>
        <v/>
      </c>
      <c r="M548" s="3">
        <f>IF(E548="","","Penyusutan "&amp;E548&amp;" periode "&amp;C548)</f>
        <v/>
      </c>
    </row>
    <row r="549">
      <c r="A549" s="3">
        <f>IF(Penyusutan!D549="","","JRN-"&amp;TEXT(ROW()-1,"0000"))</f>
        <v/>
      </c>
      <c r="B549" s="4" t="n">
        <v>46022</v>
      </c>
      <c r="C549" s="3">
        <f>Penyusutan!B549</f>
        <v/>
      </c>
      <c r="D549" s="3">
        <f>Penyusutan!C549</f>
        <v/>
      </c>
      <c r="E549" s="3">
        <f>Penyusutan!D549</f>
        <v/>
      </c>
      <c r="F549" s="3" t="inlineStr">
        <is>
          <t>Inventaris Ruangan</t>
        </is>
      </c>
      <c r="G549" s="3" t="inlineStr"/>
      <c r="H549" s="3" t="inlineStr">
        <is>
          <t>Beban Penyusutan Inventaris Ruangan</t>
        </is>
      </c>
      <c r="I549" s="5">
        <f>Penyusutan!M549</f>
        <v/>
      </c>
      <c r="J549" s="3" t="inlineStr"/>
      <c r="K549" s="3" t="inlineStr">
        <is>
          <t>Akumulasi Penyusutan Inventaris Ruangan</t>
        </is>
      </c>
      <c r="L549" s="5">
        <f>Penyusutan!M549</f>
        <v/>
      </c>
      <c r="M549" s="3">
        <f>IF(E549="","","Penyusutan "&amp;E549&amp;" periode "&amp;C549)</f>
        <v/>
      </c>
    </row>
    <row r="550">
      <c r="A550" s="3">
        <f>IF(Penyusutan!D550="","","JRN-"&amp;TEXT(ROW()-1,"0000"))</f>
        <v/>
      </c>
      <c r="B550" s="4" t="n">
        <v>46022</v>
      </c>
      <c r="C550" s="3">
        <f>Penyusutan!B550</f>
        <v/>
      </c>
      <c r="D550" s="3">
        <f>Penyusutan!C550</f>
        <v/>
      </c>
      <c r="E550" s="3">
        <f>Penyusutan!D550</f>
        <v/>
      </c>
      <c r="F550" s="3" t="inlineStr">
        <is>
          <t>Inventaris Ruangan</t>
        </is>
      </c>
      <c r="G550" s="3" t="inlineStr"/>
      <c r="H550" s="3" t="inlineStr">
        <is>
          <t>Beban Penyusutan Inventaris Ruangan</t>
        </is>
      </c>
      <c r="I550" s="5">
        <f>Penyusutan!M550</f>
        <v/>
      </c>
      <c r="J550" s="3" t="inlineStr"/>
      <c r="K550" s="3" t="inlineStr">
        <is>
          <t>Akumulasi Penyusutan Inventaris Ruangan</t>
        </is>
      </c>
      <c r="L550" s="5">
        <f>Penyusutan!M550</f>
        <v/>
      </c>
      <c r="M550" s="3">
        <f>IF(E550="","","Penyusutan "&amp;E550&amp;" periode "&amp;C550)</f>
        <v/>
      </c>
    </row>
    <row r="551">
      <c r="A551" s="3">
        <f>IF(Penyusutan!D551="","","JRN-"&amp;TEXT(ROW()-1,"0000"))</f>
        <v/>
      </c>
      <c r="B551" s="4" t="n">
        <v>46022</v>
      </c>
      <c r="C551" s="3">
        <f>Penyusutan!B551</f>
        <v/>
      </c>
      <c r="D551" s="3">
        <f>Penyusutan!C551</f>
        <v/>
      </c>
      <c r="E551" s="3">
        <f>Penyusutan!D551</f>
        <v/>
      </c>
      <c r="F551" s="3" t="inlineStr">
        <is>
          <t>Inventaris Ruangan</t>
        </is>
      </c>
      <c r="G551" s="3" t="inlineStr"/>
      <c r="H551" s="3" t="inlineStr">
        <is>
          <t>Beban Penyusutan Inventaris Ruangan</t>
        </is>
      </c>
      <c r="I551" s="5">
        <f>Penyusutan!M551</f>
        <v/>
      </c>
      <c r="J551" s="3" t="inlineStr"/>
      <c r="K551" s="3" t="inlineStr">
        <is>
          <t>Akumulasi Penyusutan Inventaris Ruangan</t>
        </is>
      </c>
      <c r="L551" s="5">
        <f>Penyusutan!M551</f>
        <v/>
      </c>
      <c r="M551" s="3">
        <f>IF(E551="","","Penyusutan "&amp;E551&amp;" periode "&amp;C551)</f>
        <v/>
      </c>
    </row>
    <row r="552">
      <c r="A552" s="3">
        <f>IF(Penyusutan!D552="","","JRN-"&amp;TEXT(ROW()-1,"0000"))</f>
        <v/>
      </c>
      <c r="B552" s="4" t="n">
        <v>46022</v>
      </c>
      <c r="C552" s="3">
        <f>Penyusutan!B552</f>
        <v/>
      </c>
      <c r="D552" s="3">
        <f>Penyusutan!C552</f>
        <v/>
      </c>
      <c r="E552" s="3">
        <f>Penyusutan!D552</f>
        <v/>
      </c>
      <c r="F552" s="3" t="inlineStr">
        <is>
          <t>Inventaris Ruangan</t>
        </is>
      </c>
      <c r="G552" s="3" t="inlineStr"/>
      <c r="H552" s="3" t="inlineStr">
        <is>
          <t>Beban Penyusutan Inventaris Ruangan</t>
        </is>
      </c>
      <c r="I552" s="5">
        <f>Penyusutan!M552</f>
        <v/>
      </c>
      <c r="J552" s="3" t="inlineStr"/>
      <c r="K552" s="3" t="inlineStr">
        <is>
          <t>Akumulasi Penyusutan Inventaris Ruangan</t>
        </is>
      </c>
      <c r="L552" s="5">
        <f>Penyusutan!M552</f>
        <v/>
      </c>
      <c r="M552" s="3">
        <f>IF(E552="","","Penyusutan "&amp;E552&amp;" periode "&amp;C552)</f>
        <v/>
      </c>
    </row>
    <row r="553">
      <c r="A553" s="3">
        <f>IF(Penyusutan!D553="","","JRN-"&amp;TEXT(ROW()-1,"0000"))</f>
        <v/>
      </c>
      <c r="B553" s="4" t="n">
        <v>46022</v>
      </c>
      <c r="C553" s="3">
        <f>Penyusutan!B553</f>
        <v/>
      </c>
      <c r="D553" s="3">
        <f>Penyusutan!C553</f>
        <v/>
      </c>
      <c r="E553" s="3">
        <f>Penyusutan!D553</f>
        <v/>
      </c>
      <c r="F553" s="3" t="inlineStr">
        <is>
          <t>Inventaris Ruangan</t>
        </is>
      </c>
      <c r="G553" s="3" t="inlineStr"/>
      <c r="H553" s="3" t="inlineStr">
        <is>
          <t>Beban Penyusutan Inventaris Ruangan</t>
        </is>
      </c>
      <c r="I553" s="5">
        <f>Penyusutan!M553</f>
        <v/>
      </c>
      <c r="J553" s="3" t="inlineStr"/>
      <c r="K553" s="3" t="inlineStr">
        <is>
          <t>Akumulasi Penyusutan Inventaris Ruangan</t>
        </is>
      </c>
      <c r="L553" s="5">
        <f>Penyusutan!M553</f>
        <v/>
      </c>
      <c r="M553" s="3">
        <f>IF(E553="","","Penyusutan "&amp;E553&amp;" periode "&amp;C553)</f>
        <v/>
      </c>
    </row>
    <row r="554">
      <c r="A554" s="3">
        <f>IF(Penyusutan!D554="","","JRN-"&amp;TEXT(ROW()-1,"0000"))</f>
        <v/>
      </c>
      <c r="B554" s="4" t="n">
        <v>46022</v>
      </c>
      <c r="C554" s="3">
        <f>Penyusutan!B554</f>
        <v/>
      </c>
      <c r="D554" s="3">
        <f>Penyusutan!C554</f>
        <v/>
      </c>
      <c r="E554" s="3">
        <f>Penyusutan!D554</f>
        <v/>
      </c>
      <c r="F554" s="3" t="inlineStr">
        <is>
          <t>Inventaris Ruangan</t>
        </is>
      </c>
      <c r="G554" s="3" t="inlineStr"/>
      <c r="H554" s="3" t="inlineStr">
        <is>
          <t>Beban Penyusutan Inventaris Ruangan</t>
        </is>
      </c>
      <c r="I554" s="5">
        <f>Penyusutan!M554</f>
        <v/>
      </c>
      <c r="J554" s="3" t="inlineStr"/>
      <c r="K554" s="3" t="inlineStr">
        <is>
          <t>Akumulasi Penyusutan Inventaris Ruangan</t>
        </is>
      </c>
      <c r="L554" s="5">
        <f>Penyusutan!M554</f>
        <v/>
      </c>
      <c r="M554" s="3">
        <f>IF(E554="","","Penyusutan "&amp;E554&amp;" periode "&amp;C554)</f>
        <v/>
      </c>
    </row>
    <row r="555">
      <c r="A555" s="3">
        <f>IF(Penyusutan!D555="","","JRN-"&amp;TEXT(ROW()-1,"0000"))</f>
        <v/>
      </c>
      <c r="B555" s="4" t="n">
        <v>46022</v>
      </c>
      <c r="C555" s="3">
        <f>Penyusutan!B555</f>
        <v/>
      </c>
      <c r="D555" s="3">
        <f>Penyusutan!C555</f>
        <v/>
      </c>
      <c r="E555" s="3">
        <f>Penyusutan!D555</f>
        <v/>
      </c>
      <c r="F555" s="3" t="inlineStr">
        <is>
          <t>Inventaris Ruangan</t>
        </is>
      </c>
      <c r="G555" s="3" t="inlineStr"/>
      <c r="H555" s="3" t="inlineStr">
        <is>
          <t>Beban Penyusutan Inventaris Ruangan</t>
        </is>
      </c>
      <c r="I555" s="5">
        <f>Penyusutan!M555</f>
        <v/>
      </c>
      <c r="J555" s="3" t="inlineStr"/>
      <c r="K555" s="3" t="inlineStr">
        <is>
          <t>Akumulasi Penyusutan Inventaris Ruangan</t>
        </is>
      </c>
      <c r="L555" s="5">
        <f>Penyusutan!M555</f>
        <v/>
      </c>
      <c r="M555" s="3">
        <f>IF(E555="","","Penyusutan "&amp;E555&amp;" periode "&amp;C555)</f>
        <v/>
      </c>
    </row>
    <row r="556">
      <c r="A556" s="3">
        <f>IF(Penyusutan!D556="","","JRN-"&amp;TEXT(ROW()-1,"0000"))</f>
        <v/>
      </c>
      <c r="B556" s="4" t="n">
        <v>46022</v>
      </c>
      <c r="C556" s="3">
        <f>Penyusutan!B556</f>
        <v/>
      </c>
      <c r="D556" s="3">
        <f>Penyusutan!C556</f>
        <v/>
      </c>
      <c r="E556" s="3">
        <f>Penyusutan!D556</f>
        <v/>
      </c>
      <c r="F556" s="3" t="inlineStr">
        <is>
          <t>Inventaris Ruangan</t>
        </is>
      </c>
      <c r="G556" s="3" t="inlineStr"/>
      <c r="H556" s="3" t="inlineStr">
        <is>
          <t>Beban Penyusutan Inventaris Ruangan</t>
        </is>
      </c>
      <c r="I556" s="5">
        <f>Penyusutan!M556</f>
        <v/>
      </c>
      <c r="J556" s="3" t="inlineStr"/>
      <c r="K556" s="3" t="inlineStr">
        <is>
          <t>Akumulasi Penyusutan Inventaris Ruangan</t>
        </is>
      </c>
      <c r="L556" s="5">
        <f>Penyusutan!M556</f>
        <v/>
      </c>
      <c r="M556" s="3">
        <f>IF(E556="","","Penyusutan "&amp;E556&amp;" periode "&amp;C556)</f>
        <v/>
      </c>
    </row>
    <row r="557">
      <c r="A557" s="3">
        <f>IF(Penyusutan!D557="","","JRN-"&amp;TEXT(ROW()-1,"0000"))</f>
        <v/>
      </c>
      <c r="B557" s="4" t="n">
        <v>46022</v>
      </c>
      <c r="C557" s="3">
        <f>Penyusutan!B557</f>
        <v/>
      </c>
      <c r="D557" s="3">
        <f>Penyusutan!C557</f>
        <v/>
      </c>
      <c r="E557" s="3">
        <f>Penyusutan!D557</f>
        <v/>
      </c>
      <c r="F557" s="3" t="inlineStr">
        <is>
          <t>Inventaris Ruangan</t>
        </is>
      </c>
      <c r="G557" s="3" t="inlineStr"/>
      <c r="H557" s="3" t="inlineStr">
        <is>
          <t>Beban Penyusutan Inventaris Ruangan</t>
        </is>
      </c>
      <c r="I557" s="5">
        <f>Penyusutan!M557</f>
        <v/>
      </c>
      <c r="J557" s="3" t="inlineStr"/>
      <c r="K557" s="3" t="inlineStr">
        <is>
          <t>Akumulasi Penyusutan Inventaris Ruangan</t>
        </is>
      </c>
      <c r="L557" s="5">
        <f>Penyusutan!M557</f>
        <v/>
      </c>
      <c r="M557" s="3">
        <f>IF(E557="","","Penyusutan "&amp;E557&amp;" periode "&amp;C557)</f>
        <v/>
      </c>
    </row>
    <row r="558">
      <c r="A558" s="3">
        <f>IF(Penyusutan!D558="","","JRN-"&amp;TEXT(ROW()-1,"0000"))</f>
        <v/>
      </c>
      <c r="B558" s="4" t="n">
        <v>46022</v>
      </c>
      <c r="C558" s="3">
        <f>Penyusutan!B558</f>
        <v/>
      </c>
      <c r="D558" s="3">
        <f>Penyusutan!C558</f>
        <v/>
      </c>
      <c r="E558" s="3">
        <f>Penyusutan!D558</f>
        <v/>
      </c>
      <c r="F558" s="3" t="inlineStr">
        <is>
          <t>Inventaris Ruangan</t>
        </is>
      </c>
      <c r="G558" s="3" t="inlineStr"/>
      <c r="H558" s="3" t="inlineStr">
        <is>
          <t>Beban Penyusutan Inventaris Ruangan</t>
        </is>
      </c>
      <c r="I558" s="5">
        <f>Penyusutan!M558</f>
        <v/>
      </c>
      <c r="J558" s="3" t="inlineStr"/>
      <c r="K558" s="3" t="inlineStr">
        <is>
          <t>Akumulasi Penyusutan Inventaris Ruangan</t>
        </is>
      </c>
      <c r="L558" s="5">
        <f>Penyusutan!M558</f>
        <v/>
      </c>
      <c r="M558" s="3">
        <f>IF(E558="","","Penyusutan "&amp;E558&amp;" periode "&amp;C558)</f>
        <v/>
      </c>
    </row>
    <row r="559">
      <c r="A559" s="3">
        <f>IF(Penyusutan!D559="","","JRN-"&amp;TEXT(ROW()-1,"0000"))</f>
        <v/>
      </c>
      <c r="B559" s="4" t="n">
        <v>46022</v>
      </c>
      <c r="C559" s="3">
        <f>Penyusutan!B559</f>
        <v/>
      </c>
      <c r="D559" s="3">
        <f>Penyusutan!C559</f>
        <v/>
      </c>
      <c r="E559" s="3">
        <f>Penyusutan!D559</f>
        <v/>
      </c>
      <c r="F559" s="3" t="inlineStr">
        <is>
          <t>Inventaris Ruangan</t>
        </is>
      </c>
      <c r="G559" s="3" t="inlineStr"/>
      <c r="H559" s="3" t="inlineStr">
        <is>
          <t>Beban Penyusutan Inventaris Ruangan</t>
        </is>
      </c>
      <c r="I559" s="5">
        <f>Penyusutan!M559</f>
        <v/>
      </c>
      <c r="J559" s="3" t="inlineStr"/>
      <c r="K559" s="3" t="inlineStr">
        <is>
          <t>Akumulasi Penyusutan Inventaris Ruangan</t>
        </is>
      </c>
      <c r="L559" s="5">
        <f>Penyusutan!M559</f>
        <v/>
      </c>
      <c r="M559" s="3">
        <f>IF(E559="","","Penyusutan "&amp;E559&amp;" periode "&amp;C559)</f>
        <v/>
      </c>
    </row>
    <row r="560">
      <c r="A560" s="3">
        <f>IF(Penyusutan!D560="","","JRN-"&amp;TEXT(ROW()-1,"0000"))</f>
        <v/>
      </c>
      <c r="B560" s="4" t="n">
        <v>46022</v>
      </c>
      <c r="C560" s="3">
        <f>Penyusutan!B560</f>
        <v/>
      </c>
      <c r="D560" s="3">
        <f>Penyusutan!C560</f>
        <v/>
      </c>
      <c r="E560" s="3">
        <f>Penyusutan!D560</f>
        <v/>
      </c>
      <c r="F560" s="3" t="inlineStr">
        <is>
          <t>Inventaris Ruangan</t>
        </is>
      </c>
      <c r="G560" s="3" t="inlineStr"/>
      <c r="H560" s="3" t="inlineStr">
        <is>
          <t>Beban Penyusutan Inventaris Ruangan</t>
        </is>
      </c>
      <c r="I560" s="5">
        <f>Penyusutan!M560</f>
        <v/>
      </c>
      <c r="J560" s="3" t="inlineStr"/>
      <c r="K560" s="3" t="inlineStr">
        <is>
          <t>Akumulasi Penyusutan Inventaris Ruangan</t>
        </is>
      </c>
      <c r="L560" s="5">
        <f>Penyusutan!M560</f>
        <v/>
      </c>
      <c r="M560" s="3">
        <f>IF(E560="","","Penyusutan "&amp;E560&amp;" periode "&amp;C560)</f>
        <v/>
      </c>
    </row>
    <row r="561">
      <c r="A561" s="3">
        <f>IF(Penyusutan!D561="","","JRN-"&amp;TEXT(ROW()-1,"0000"))</f>
        <v/>
      </c>
      <c r="B561" s="4" t="n">
        <v>46022</v>
      </c>
      <c r="C561" s="3">
        <f>Penyusutan!B561</f>
        <v/>
      </c>
      <c r="D561" s="3">
        <f>Penyusutan!C561</f>
        <v/>
      </c>
      <c r="E561" s="3">
        <f>Penyusutan!D561</f>
        <v/>
      </c>
      <c r="F561" s="3" t="inlineStr">
        <is>
          <t>Inventaris Ruangan</t>
        </is>
      </c>
      <c r="G561" s="3" t="inlineStr"/>
      <c r="H561" s="3" t="inlineStr">
        <is>
          <t>Beban Penyusutan Inventaris Ruangan</t>
        </is>
      </c>
      <c r="I561" s="5">
        <f>Penyusutan!M561</f>
        <v/>
      </c>
      <c r="J561" s="3" t="inlineStr"/>
      <c r="K561" s="3" t="inlineStr">
        <is>
          <t>Akumulasi Penyusutan Inventaris Ruangan</t>
        </is>
      </c>
      <c r="L561" s="5">
        <f>Penyusutan!M561</f>
        <v/>
      </c>
      <c r="M561" s="3">
        <f>IF(E561="","","Penyusutan "&amp;E561&amp;" periode "&amp;C561)</f>
        <v/>
      </c>
    </row>
    <row r="562">
      <c r="A562" s="3">
        <f>IF(Penyusutan!D562="","","JRN-"&amp;TEXT(ROW()-1,"0000"))</f>
        <v/>
      </c>
      <c r="B562" s="4" t="n">
        <v>46022</v>
      </c>
      <c r="C562" s="3">
        <f>Penyusutan!B562</f>
        <v/>
      </c>
      <c r="D562" s="3">
        <f>Penyusutan!C562</f>
        <v/>
      </c>
      <c r="E562" s="3">
        <f>Penyusutan!D562</f>
        <v/>
      </c>
      <c r="F562" s="3" t="inlineStr">
        <is>
          <t>Inventaris Ruangan</t>
        </is>
      </c>
      <c r="G562" s="3" t="inlineStr"/>
      <c r="H562" s="3" t="inlineStr">
        <is>
          <t>Beban Penyusutan Inventaris Ruangan</t>
        </is>
      </c>
      <c r="I562" s="5">
        <f>Penyusutan!M562</f>
        <v/>
      </c>
      <c r="J562" s="3" t="inlineStr"/>
      <c r="K562" s="3" t="inlineStr">
        <is>
          <t>Akumulasi Penyusutan Inventaris Ruangan</t>
        </is>
      </c>
      <c r="L562" s="5">
        <f>Penyusutan!M562</f>
        <v/>
      </c>
      <c r="M562" s="3">
        <f>IF(E562="","","Penyusutan "&amp;E562&amp;" periode "&amp;C562)</f>
        <v/>
      </c>
    </row>
    <row r="563">
      <c r="A563" s="3">
        <f>IF(Penyusutan!D563="","","JRN-"&amp;TEXT(ROW()-1,"0000"))</f>
        <v/>
      </c>
      <c r="B563" s="4" t="n">
        <v>46022</v>
      </c>
      <c r="C563" s="3">
        <f>Penyusutan!B563</f>
        <v/>
      </c>
      <c r="D563" s="3">
        <f>Penyusutan!C563</f>
        <v/>
      </c>
      <c r="E563" s="3">
        <f>Penyusutan!D563</f>
        <v/>
      </c>
      <c r="F563" s="3" t="inlineStr">
        <is>
          <t>Inventaris Ruangan</t>
        </is>
      </c>
      <c r="G563" s="3" t="inlineStr"/>
      <c r="H563" s="3" t="inlineStr">
        <is>
          <t>Beban Penyusutan Inventaris Ruangan</t>
        </is>
      </c>
      <c r="I563" s="5">
        <f>Penyusutan!M563</f>
        <v/>
      </c>
      <c r="J563" s="3" t="inlineStr"/>
      <c r="K563" s="3" t="inlineStr">
        <is>
          <t>Akumulasi Penyusutan Inventaris Ruangan</t>
        </is>
      </c>
      <c r="L563" s="5">
        <f>Penyusutan!M563</f>
        <v/>
      </c>
      <c r="M563" s="3">
        <f>IF(E563="","","Penyusutan "&amp;E563&amp;" periode "&amp;C563)</f>
        <v/>
      </c>
    </row>
    <row r="564">
      <c r="A564" s="3">
        <f>IF(Penyusutan!D564="","","JRN-"&amp;TEXT(ROW()-1,"0000"))</f>
        <v/>
      </c>
      <c r="B564" s="4" t="n">
        <v>46022</v>
      </c>
      <c r="C564" s="3">
        <f>Penyusutan!B564</f>
        <v/>
      </c>
      <c r="D564" s="3">
        <f>Penyusutan!C564</f>
        <v/>
      </c>
      <c r="E564" s="3">
        <f>Penyusutan!D564</f>
        <v/>
      </c>
      <c r="F564" s="3" t="inlineStr">
        <is>
          <t>Inventaris Ruangan</t>
        </is>
      </c>
      <c r="G564" s="3" t="inlineStr"/>
      <c r="H564" s="3" t="inlineStr">
        <is>
          <t>Beban Penyusutan Inventaris Ruangan</t>
        </is>
      </c>
      <c r="I564" s="5">
        <f>Penyusutan!M564</f>
        <v/>
      </c>
      <c r="J564" s="3" t="inlineStr"/>
      <c r="K564" s="3" t="inlineStr">
        <is>
          <t>Akumulasi Penyusutan Inventaris Ruangan</t>
        </is>
      </c>
      <c r="L564" s="5">
        <f>Penyusutan!M564</f>
        <v/>
      </c>
      <c r="M564" s="3">
        <f>IF(E564="","","Penyusutan "&amp;E564&amp;" periode "&amp;C564)</f>
        <v/>
      </c>
    </row>
    <row r="565">
      <c r="A565" s="3">
        <f>IF(Penyusutan!D565="","","JRN-"&amp;TEXT(ROW()-1,"0000"))</f>
        <v/>
      </c>
      <c r="B565" s="4" t="n">
        <v>46022</v>
      </c>
      <c r="C565" s="3">
        <f>Penyusutan!B565</f>
        <v/>
      </c>
      <c r="D565" s="3">
        <f>Penyusutan!C565</f>
        <v/>
      </c>
      <c r="E565" s="3">
        <f>Penyusutan!D565</f>
        <v/>
      </c>
      <c r="F565" s="3" t="inlineStr">
        <is>
          <t>Inventaris Ruangan</t>
        </is>
      </c>
      <c r="G565" s="3" t="inlineStr"/>
      <c r="H565" s="3" t="inlineStr">
        <is>
          <t>Beban Penyusutan Inventaris Ruangan</t>
        </is>
      </c>
      <c r="I565" s="5">
        <f>Penyusutan!M565</f>
        <v/>
      </c>
      <c r="J565" s="3" t="inlineStr"/>
      <c r="K565" s="3" t="inlineStr">
        <is>
          <t>Akumulasi Penyusutan Inventaris Ruangan</t>
        </is>
      </c>
      <c r="L565" s="5">
        <f>Penyusutan!M565</f>
        <v/>
      </c>
      <c r="M565" s="3">
        <f>IF(E565="","","Penyusutan "&amp;E565&amp;" periode "&amp;C565)</f>
        <v/>
      </c>
    </row>
    <row r="566">
      <c r="A566" s="3">
        <f>IF(Penyusutan!D566="","","JRN-"&amp;TEXT(ROW()-1,"0000"))</f>
        <v/>
      </c>
      <c r="B566" s="4" t="n">
        <v>46022</v>
      </c>
      <c r="C566" s="3">
        <f>Penyusutan!B566</f>
        <v/>
      </c>
      <c r="D566" s="3">
        <f>Penyusutan!C566</f>
        <v/>
      </c>
      <c r="E566" s="3">
        <f>Penyusutan!D566</f>
        <v/>
      </c>
      <c r="F566" s="3" t="inlineStr">
        <is>
          <t>Inventaris Ruangan</t>
        </is>
      </c>
      <c r="G566" s="3" t="inlineStr"/>
      <c r="H566" s="3" t="inlineStr">
        <is>
          <t>Beban Penyusutan Inventaris Ruangan</t>
        </is>
      </c>
      <c r="I566" s="5">
        <f>Penyusutan!M566</f>
        <v/>
      </c>
      <c r="J566" s="3" t="inlineStr"/>
      <c r="K566" s="3" t="inlineStr">
        <is>
          <t>Akumulasi Penyusutan Inventaris Ruangan</t>
        </is>
      </c>
      <c r="L566" s="5">
        <f>Penyusutan!M566</f>
        <v/>
      </c>
      <c r="M566" s="3">
        <f>IF(E566="","","Penyusutan "&amp;E566&amp;" periode "&amp;C566)</f>
        <v/>
      </c>
    </row>
    <row r="567">
      <c r="A567" s="3">
        <f>IF(Penyusutan!D567="","","JRN-"&amp;TEXT(ROW()-1,"0000"))</f>
        <v/>
      </c>
      <c r="B567" s="4" t="n">
        <v>46022</v>
      </c>
      <c r="C567" s="3">
        <f>Penyusutan!B567</f>
        <v/>
      </c>
      <c r="D567" s="3">
        <f>Penyusutan!C567</f>
        <v/>
      </c>
      <c r="E567" s="3">
        <f>Penyusutan!D567</f>
        <v/>
      </c>
      <c r="F567" s="3" t="inlineStr">
        <is>
          <t>Inventaris Ruangan</t>
        </is>
      </c>
      <c r="G567" s="3" t="inlineStr"/>
      <c r="H567" s="3" t="inlineStr">
        <is>
          <t>Beban Penyusutan Inventaris Ruangan</t>
        </is>
      </c>
      <c r="I567" s="5">
        <f>Penyusutan!M567</f>
        <v/>
      </c>
      <c r="J567" s="3" t="inlineStr"/>
      <c r="K567" s="3" t="inlineStr">
        <is>
          <t>Akumulasi Penyusutan Inventaris Ruangan</t>
        </is>
      </c>
      <c r="L567" s="5">
        <f>Penyusutan!M567</f>
        <v/>
      </c>
      <c r="M567" s="3">
        <f>IF(E567="","","Penyusutan "&amp;E567&amp;" periode "&amp;C567)</f>
        <v/>
      </c>
    </row>
    <row r="568">
      <c r="A568" s="3">
        <f>IF(Penyusutan!D568="","","JRN-"&amp;TEXT(ROW()-1,"0000"))</f>
        <v/>
      </c>
      <c r="B568" s="4" t="n">
        <v>46022</v>
      </c>
      <c r="C568" s="3">
        <f>Penyusutan!B568</f>
        <v/>
      </c>
      <c r="D568" s="3">
        <f>Penyusutan!C568</f>
        <v/>
      </c>
      <c r="E568" s="3">
        <f>Penyusutan!D568</f>
        <v/>
      </c>
      <c r="F568" s="3" t="inlineStr">
        <is>
          <t>Inventaris Ruangan</t>
        </is>
      </c>
      <c r="G568" s="3" t="inlineStr"/>
      <c r="H568" s="3" t="inlineStr">
        <is>
          <t>Beban Penyusutan Inventaris Ruangan</t>
        </is>
      </c>
      <c r="I568" s="5">
        <f>Penyusutan!M568</f>
        <v/>
      </c>
      <c r="J568" s="3" t="inlineStr"/>
      <c r="K568" s="3" t="inlineStr">
        <is>
          <t>Akumulasi Penyusutan Inventaris Ruangan</t>
        </is>
      </c>
      <c r="L568" s="5">
        <f>Penyusutan!M568</f>
        <v/>
      </c>
      <c r="M568" s="3">
        <f>IF(E568="","","Penyusutan "&amp;E568&amp;" periode "&amp;C568)</f>
        <v/>
      </c>
    </row>
    <row r="569">
      <c r="A569" s="3">
        <f>IF(Penyusutan!D569="","","JRN-"&amp;TEXT(ROW()-1,"0000"))</f>
        <v/>
      </c>
      <c r="B569" s="4" t="n">
        <v>46022</v>
      </c>
      <c r="C569" s="3">
        <f>Penyusutan!B569</f>
        <v/>
      </c>
      <c r="D569" s="3">
        <f>Penyusutan!C569</f>
        <v/>
      </c>
      <c r="E569" s="3">
        <f>Penyusutan!D569</f>
        <v/>
      </c>
      <c r="F569" s="3" t="inlineStr">
        <is>
          <t>Inventaris Ruangan</t>
        </is>
      </c>
      <c r="G569" s="3" t="inlineStr"/>
      <c r="H569" s="3" t="inlineStr">
        <is>
          <t>Beban Penyusutan Inventaris Ruangan</t>
        </is>
      </c>
      <c r="I569" s="5">
        <f>Penyusutan!M569</f>
        <v/>
      </c>
      <c r="J569" s="3" t="inlineStr"/>
      <c r="K569" s="3" t="inlineStr">
        <is>
          <t>Akumulasi Penyusutan Inventaris Ruangan</t>
        </is>
      </c>
      <c r="L569" s="5">
        <f>Penyusutan!M569</f>
        <v/>
      </c>
      <c r="M569" s="3">
        <f>IF(E569="","","Penyusutan "&amp;E569&amp;" periode "&amp;C569)</f>
        <v/>
      </c>
    </row>
    <row r="570">
      <c r="A570" s="3">
        <f>IF(Penyusutan!D570="","","JRN-"&amp;TEXT(ROW()-1,"0000"))</f>
        <v/>
      </c>
      <c r="B570" s="4" t="n">
        <v>46022</v>
      </c>
      <c r="C570" s="3">
        <f>Penyusutan!B570</f>
        <v/>
      </c>
      <c r="D570" s="3">
        <f>Penyusutan!C570</f>
        <v/>
      </c>
      <c r="E570" s="3">
        <f>Penyusutan!D570</f>
        <v/>
      </c>
      <c r="F570" s="3" t="inlineStr">
        <is>
          <t>Inventaris Ruangan</t>
        </is>
      </c>
      <c r="G570" s="3" t="inlineStr"/>
      <c r="H570" s="3" t="inlineStr">
        <is>
          <t>Beban Penyusutan Inventaris Ruangan</t>
        </is>
      </c>
      <c r="I570" s="5">
        <f>Penyusutan!M570</f>
        <v/>
      </c>
      <c r="J570" s="3" t="inlineStr"/>
      <c r="K570" s="3" t="inlineStr">
        <is>
          <t>Akumulasi Penyusutan Inventaris Ruangan</t>
        </is>
      </c>
      <c r="L570" s="5">
        <f>Penyusutan!M570</f>
        <v/>
      </c>
      <c r="M570" s="3">
        <f>IF(E570="","","Penyusutan "&amp;E570&amp;" periode "&amp;C570)</f>
        <v/>
      </c>
    </row>
    <row r="571">
      <c r="A571" s="3">
        <f>IF(Penyusutan!D571="","","JRN-"&amp;TEXT(ROW()-1,"0000"))</f>
        <v/>
      </c>
      <c r="B571" s="4" t="n">
        <v>46022</v>
      </c>
      <c r="C571" s="3">
        <f>Penyusutan!B571</f>
        <v/>
      </c>
      <c r="D571" s="3">
        <f>Penyusutan!C571</f>
        <v/>
      </c>
      <c r="E571" s="3">
        <f>Penyusutan!D571</f>
        <v/>
      </c>
      <c r="F571" s="3" t="inlineStr">
        <is>
          <t>Inventaris Ruangan</t>
        </is>
      </c>
      <c r="G571" s="3" t="inlineStr"/>
      <c r="H571" s="3" t="inlineStr">
        <is>
          <t>Beban Penyusutan Inventaris Ruangan</t>
        </is>
      </c>
      <c r="I571" s="5">
        <f>Penyusutan!M571</f>
        <v/>
      </c>
      <c r="J571" s="3" t="inlineStr"/>
      <c r="K571" s="3" t="inlineStr">
        <is>
          <t>Akumulasi Penyusutan Inventaris Ruangan</t>
        </is>
      </c>
      <c r="L571" s="5">
        <f>Penyusutan!M571</f>
        <v/>
      </c>
      <c r="M571" s="3">
        <f>IF(E571="","","Penyusutan "&amp;E571&amp;" periode "&amp;C571)</f>
        <v/>
      </c>
    </row>
    <row r="572">
      <c r="A572" s="3">
        <f>IF(Penyusutan!D572="","","JRN-"&amp;TEXT(ROW()-1,"0000"))</f>
        <v/>
      </c>
      <c r="B572" s="4" t="n">
        <v>46022</v>
      </c>
      <c r="C572" s="3">
        <f>Penyusutan!B572</f>
        <v/>
      </c>
      <c r="D572" s="3">
        <f>Penyusutan!C572</f>
        <v/>
      </c>
      <c r="E572" s="3">
        <f>Penyusutan!D572</f>
        <v/>
      </c>
      <c r="F572" s="3" t="inlineStr">
        <is>
          <t>Inventaris Ruangan</t>
        </is>
      </c>
      <c r="G572" s="3" t="inlineStr"/>
      <c r="H572" s="3" t="inlineStr">
        <is>
          <t>Beban Penyusutan Inventaris Ruangan</t>
        </is>
      </c>
      <c r="I572" s="5">
        <f>Penyusutan!M572</f>
        <v/>
      </c>
      <c r="J572" s="3" t="inlineStr"/>
      <c r="K572" s="3" t="inlineStr">
        <is>
          <t>Akumulasi Penyusutan Inventaris Ruangan</t>
        </is>
      </c>
      <c r="L572" s="5">
        <f>Penyusutan!M572</f>
        <v/>
      </c>
      <c r="M572" s="3">
        <f>IF(E572="","","Penyusutan "&amp;E572&amp;" periode "&amp;C572)</f>
        <v/>
      </c>
    </row>
    <row r="573">
      <c r="A573" s="3">
        <f>IF(Penyusutan!D573="","","JRN-"&amp;TEXT(ROW()-1,"0000"))</f>
        <v/>
      </c>
      <c r="B573" s="4" t="n">
        <v>46022</v>
      </c>
      <c r="C573" s="3">
        <f>Penyusutan!B573</f>
        <v/>
      </c>
      <c r="D573" s="3">
        <f>Penyusutan!C573</f>
        <v/>
      </c>
      <c r="E573" s="3">
        <f>Penyusutan!D573</f>
        <v/>
      </c>
      <c r="F573" s="3" t="inlineStr">
        <is>
          <t>Inventaris Ruangan</t>
        </is>
      </c>
      <c r="G573" s="3" t="inlineStr"/>
      <c r="H573" s="3" t="inlineStr">
        <is>
          <t>Beban Penyusutan Inventaris Ruangan</t>
        </is>
      </c>
      <c r="I573" s="5">
        <f>Penyusutan!M573</f>
        <v/>
      </c>
      <c r="J573" s="3" t="inlineStr"/>
      <c r="K573" s="3" t="inlineStr">
        <is>
          <t>Akumulasi Penyusutan Inventaris Ruangan</t>
        </is>
      </c>
      <c r="L573" s="5">
        <f>Penyusutan!M573</f>
        <v/>
      </c>
      <c r="M573" s="3">
        <f>IF(E573="","","Penyusutan "&amp;E573&amp;" periode "&amp;C573)</f>
        <v/>
      </c>
    </row>
    <row r="574">
      <c r="A574" s="3">
        <f>IF(Penyusutan!D574="","","JRN-"&amp;TEXT(ROW()-1,"0000"))</f>
        <v/>
      </c>
      <c r="B574" s="4" t="n">
        <v>46022</v>
      </c>
      <c r="C574" s="3">
        <f>Penyusutan!B574</f>
        <v/>
      </c>
      <c r="D574" s="3">
        <f>Penyusutan!C574</f>
        <v/>
      </c>
      <c r="E574" s="3">
        <f>Penyusutan!D574</f>
        <v/>
      </c>
      <c r="F574" s="3" t="inlineStr">
        <is>
          <t>Inventaris Ruangan</t>
        </is>
      </c>
      <c r="G574" s="3" t="inlineStr"/>
      <c r="H574" s="3" t="inlineStr">
        <is>
          <t>Beban Penyusutan Inventaris Ruangan</t>
        </is>
      </c>
      <c r="I574" s="5">
        <f>Penyusutan!M574</f>
        <v/>
      </c>
      <c r="J574" s="3" t="inlineStr"/>
      <c r="K574" s="3" t="inlineStr">
        <is>
          <t>Akumulasi Penyusutan Inventaris Ruangan</t>
        </is>
      </c>
      <c r="L574" s="5">
        <f>Penyusutan!M574</f>
        <v/>
      </c>
      <c r="M574" s="3">
        <f>IF(E574="","","Penyusutan "&amp;E574&amp;" periode "&amp;C574)</f>
        <v/>
      </c>
    </row>
    <row r="575">
      <c r="A575" s="3">
        <f>IF(Penyusutan!D575="","","JRN-"&amp;TEXT(ROW()-1,"0000"))</f>
        <v/>
      </c>
      <c r="B575" s="4" t="n">
        <v>46022</v>
      </c>
      <c r="C575" s="3">
        <f>Penyusutan!B575</f>
        <v/>
      </c>
      <c r="D575" s="3">
        <f>Penyusutan!C575</f>
        <v/>
      </c>
      <c r="E575" s="3">
        <f>Penyusutan!D575</f>
        <v/>
      </c>
      <c r="F575" s="3" t="inlineStr">
        <is>
          <t>Inventaris Ruangan</t>
        </is>
      </c>
      <c r="G575" s="3" t="inlineStr"/>
      <c r="H575" s="3" t="inlineStr">
        <is>
          <t>Beban Penyusutan Inventaris Ruangan</t>
        </is>
      </c>
      <c r="I575" s="5">
        <f>Penyusutan!M575</f>
        <v/>
      </c>
      <c r="J575" s="3" t="inlineStr"/>
      <c r="K575" s="3" t="inlineStr">
        <is>
          <t>Akumulasi Penyusutan Inventaris Ruangan</t>
        </is>
      </c>
      <c r="L575" s="5">
        <f>Penyusutan!M575</f>
        <v/>
      </c>
      <c r="M575" s="3">
        <f>IF(E575="","","Penyusutan "&amp;E575&amp;" periode "&amp;C575)</f>
        <v/>
      </c>
    </row>
    <row r="576">
      <c r="A576" s="3">
        <f>IF(Penyusutan!D576="","","JRN-"&amp;TEXT(ROW()-1,"0000"))</f>
        <v/>
      </c>
      <c r="B576" s="4" t="n">
        <v>46022</v>
      </c>
      <c r="C576" s="3">
        <f>Penyusutan!B576</f>
        <v/>
      </c>
      <c r="D576" s="3">
        <f>Penyusutan!C576</f>
        <v/>
      </c>
      <c r="E576" s="3">
        <f>Penyusutan!D576</f>
        <v/>
      </c>
      <c r="F576" s="3" t="inlineStr">
        <is>
          <t>Inventaris Ruangan</t>
        </is>
      </c>
      <c r="G576" s="3" t="inlineStr"/>
      <c r="H576" s="3" t="inlineStr">
        <is>
          <t>Beban Penyusutan Inventaris Ruangan</t>
        </is>
      </c>
      <c r="I576" s="5">
        <f>Penyusutan!M576</f>
        <v/>
      </c>
      <c r="J576" s="3" t="inlineStr"/>
      <c r="K576" s="3" t="inlineStr">
        <is>
          <t>Akumulasi Penyusutan Inventaris Ruangan</t>
        </is>
      </c>
      <c r="L576" s="5">
        <f>Penyusutan!M576</f>
        <v/>
      </c>
      <c r="M576" s="3">
        <f>IF(E576="","","Penyusutan "&amp;E576&amp;" periode "&amp;C576)</f>
        <v/>
      </c>
    </row>
    <row r="577">
      <c r="A577" s="3">
        <f>IF(Penyusutan!D577="","","JRN-"&amp;TEXT(ROW()-1,"0000"))</f>
        <v/>
      </c>
      <c r="B577" s="4" t="n">
        <v>46022</v>
      </c>
      <c r="C577" s="3">
        <f>Penyusutan!B577</f>
        <v/>
      </c>
      <c r="D577" s="3">
        <f>Penyusutan!C577</f>
        <v/>
      </c>
      <c r="E577" s="3">
        <f>Penyusutan!D577</f>
        <v/>
      </c>
      <c r="F577" s="3" t="inlineStr">
        <is>
          <t>Inventaris Ruangan</t>
        </is>
      </c>
      <c r="G577" s="3" t="inlineStr"/>
      <c r="H577" s="3" t="inlineStr">
        <is>
          <t>Beban Penyusutan Inventaris Ruangan</t>
        </is>
      </c>
      <c r="I577" s="5">
        <f>Penyusutan!M577</f>
        <v/>
      </c>
      <c r="J577" s="3" t="inlineStr"/>
      <c r="K577" s="3" t="inlineStr">
        <is>
          <t>Akumulasi Penyusutan Inventaris Ruangan</t>
        </is>
      </c>
      <c r="L577" s="5">
        <f>Penyusutan!M577</f>
        <v/>
      </c>
      <c r="M577" s="3">
        <f>IF(E577="","","Penyusutan "&amp;E577&amp;" periode "&amp;C577)</f>
        <v/>
      </c>
    </row>
    <row r="578">
      <c r="A578" s="3">
        <f>IF(Penyusutan!D578="","","JRN-"&amp;TEXT(ROW()-1,"0000"))</f>
        <v/>
      </c>
      <c r="B578" s="4" t="n">
        <v>46022</v>
      </c>
      <c r="C578" s="3">
        <f>Penyusutan!B578</f>
        <v/>
      </c>
      <c r="D578" s="3">
        <f>Penyusutan!C578</f>
        <v/>
      </c>
      <c r="E578" s="3">
        <f>Penyusutan!D578</f>
        <v/>
      </c>
      <c r="F578" s="3" t="inlineStr">
        <is>
          <t>Inventaris Ruangan</t>
        </is>
      </c>
      <c r="G578" s="3" t="inlineStr"/>
      <c r="H578" s="3" t="inlineStr">
        <is>
          <t>Beban Penyusutan Inventaris Ruangan</t>
        </is>
      </c>
      <c r="I578" s="5">
        <f>Penyusutan!M578</f>
        <v/>
      </c>
      <c r="J578" s="3" t="inlineStr"/>
      <c r="K578" s="3" t="inlineStr">
        <is>
          <t>Akumulasi Penyusutan Inventaris Ruangan</t>
        </is>
      </c>
      <c r="L578" s="5">
        <f>Penyusutan!M578</f>
        <v/>
      </c>
      <c r="M578" s="3">
        <f>IF(E578="","","Penyusutan "&amp;E578&amp;" periode "&amp;C578)</f>
        <v/>
      </c>
    </row>
    <row r="579">
      <c r="A579" s="3">
        <f>IF(Penyusutan!D579="","","JRN-"&amp;TEXT(ROW()-1,"0000"))</f>
        <v/>
      </c>
      <c r="B579" s="4" t="n">
        <v>46022</v>
      </c>
      <c r="C579" s="3">
        <f>Penyusutan!B579</f>
        <v/>
      </c>
      <c r="D579" s="3">
        <f>Penyusutan!C579</f>
        <v/>
      </c>
      <c r="E579" s="3">
        <f>Penyusutan!D579</f>
        <v/>
      </c>
      <c r="F579" s="3" t="inlineStr">
        <is>
          <t>Inventaris Ruangan</t>
        </is>
      </c>
      <c r="G579" s="3" t="inlineStr"/>
      <c r="H579" s="3" t="inlineStr">
        <is>
          <t>Beban Penyusutan Inventaris Ruangan</t>
        </is>
      </c>
      <c r="I579" s="5">
        <f>Penyusutan!M579</f>
        <v/>
      </c>
      <c r="J579" s="3" t="inlineStr"/>
      <c r="K579" s="3" t="inlineStr">
        <is>
          <t>Akumulasi Penyusutan Inventaris Ruangan</t>
        </is>
      </c>
      <c r="L579" s="5">
        <f>Penyusutan!M579</f>
        <v/>
      </c>
      <c r="M579" s="3">
        <f>IF(E579="","","Penyusutan "&amp;E579&amp;" periode "&amp;C579)</f>
        <v/>
      </c>
    </row>
    <row r="580">
      <c r="A580" s="3">
        <f>IF(Penyusutan!D580="","","JRN-"&amp;TEXT(ROW()-1,"0000"))</f>
        <v/>
      </c>
      <c r="B580" s="4" t="n">
        <v>46022</v>
      </c>
      <c r="C580" s="3">
        <f>Penyusutan!B580</f>
        <v/>
      </c>
      <c r="D580" s="3">
        <f>Penyusutan!C580</f>
        <v/>
      </c>
      <c r="E580" s="3">
        <f>Penyusutan!D580</f>
        <v/>
      </c>
      <c r="F580" s="3" t="inlineStr">
        <is>
          <t>Inventaris Ruangan</t>
        </is>
      </c>
      <c r="G580" s="3" t="inlineStr"/>
      <c r="H580" s="3" t="inlineStr">
        <is>
          <t>Beban Penyusutan Inventaris Ruangan</t>
        </is>
      </c>
      <c r="I580" s="5">
        <f>Penyusutan!M580</f>
        <v/>
      </c>
      <c r="J580" s="3" t="inlineStr"/>
      <c r="K580" s="3" t="inlineStr">
        <is>
          <t>Akumulasi Penyusutan Inventaris Ruangan</t>
        </is>
      </c>
      <c r="L580" s="5">
        <f>Penyusutan!M580</f>
        <v/>
      </c>
      <c r="M580" s="3">
        <f>IF(E580="","","Penyusutan "&amp;E580&amp;" periode "&amp;C580)</f>
        <v/>
      </c>
    </row>
    <row r="581">
      <c r="A581" s="3">
        <f>IF(Penyusutan!D581="","","JRN-"&amp;TEXT(ROW()-1,"0000"))</f>
        <v/>
      </c>
      <c r="B581" s="4" t="n">
        <v>46022</v>
      </c>
      <c r="C581" s="3">
        <f>Penyusutan!B581</f>
        <v/>
      </c>
      <c r="D581" s="3">
        <f>Penyusutan!C581</f>
        <v/>
      </c>
      <c r="E581" s="3">
        <f>Penyusutan!D581</f>
        <v/>
      </c>
      <c r="F581" s="3" t="inlineStr">
        <is>
          <t>Inventaris Ruangan</t>
        </is>
      </c>
      <c r="G581" s="3" t="inlineStr"/>
      <c r="H581" s="3" t="inlineStr">
        <is>
          <t>Beban Penyusutan Inventaris Ruangan</t>
        </is>
      </c>
      <c r="I581" s="5">
        <f>Penyusutan!M581</f>
        <v/>
      </c>
      <c r="J581" s="3" t="inlineStr"/>
      <c r="K581" s="3" t="inlineStr">
        <is>
          <t>Akumulasi Penyusutan Inventaris Ruangan</t>
        </is>
      </c>
      <c r="L581" s="5">
        <f>Penyusutan!M581</f>
        <v/>
      </c>
      <c r="M581" s="3">
        <f>IF(E581="","","Penyusutan "&amp;E581&amp;" periode "&amp;C581)</f>
        <v/>
      </c>
    </row>
    <row r="582">
      <c r="A582" s="3">
        <f>IF(Penyusutan!D582="","","JRN-"&amp;TEXT(ROW()-1,"0000"))</f>
        <v/>
      </c>
      <c r="B582" s="4" t="n">
        <v>46022</v>
      </c>
      <c r="C582" s="3">
        <f>Penyusutan!B582</f>
        <v/>
      </c>
      <c r="D582" s="3">
        <f>Penyusutan!C582</f>
        <v/>
      </c>
      <c r="E582" s="3">
        <f>Penyusutan!D582</f>
        <v/>
      </c>
      <c r="F582" s="3" t="inlineStr">
        <is>
          <t>Inventaris Ruangan</t>
        </is>
      </c>
      <c r="G582" s="3" t="inlineStr"/>
      <c r="H582" s="3" t="inlineStr">
        <is>
          <t>Beban Penyusutan Inventaris Ruangan</t>
        </is>
      </c>
      <c r="I582" s="5">
        <f>Penyusutan!M582</f>
        <v/>
      </c>
      <c r="J582" s="3" t="inlineStr"/>
      <c r="K582" s="3" t="inlineStr">
        <is>
          <t>Akumulasi Penyusutan Inventaris Ruangan</t>
        </is>
      </c>
      <c r="L582" s="5">
        <f>Penyusutan!M582</f>
        <v/>
      </c>
      <c r="M582" s="3">
        <f>IF(E582="","","Penyusutan "&amp;E582&amp;" periode "&amp;C582)</f>
        <v/>
      </c>
    </row>
    <row r="583">
      <c r="A583" s="3">
        <f>IF(Penyusutan!D583="","","JRN-"&amp;TEXT(ROW()-1,"0000"))</f>
        <v/>
      </c>
      <c r="B583" s="4" t="n">
        <v>46022</v>
      </c>
      <c r="C583" s="3">
        <f>Penyusutan!B583</f>
        <v/>
      </c>
      <c r="D583" s="3">
        <f>Penyusutan!C583</f>
        <v/>
      </c>
      <c r="E583" s="3">
        <f>Penyusutan!D583</f>
        <v/>
      </c>
      <c r="F583" s="3" t="inlineStr">
        <is>
          <t>Inventaris Ruangan</t>
        </is>
      </c>
      <c r="G583" s="3" t="inlineStr"/>
      <c r="H583" s="3" t="inlineStr">
        <is>
          <t>Beban Penyusutan Inventaris Ruangan</t>
        </is>
      </c>
      <c r="I583" s="5">
        <f>Penyusutan!M583</f>
        <v/>
      </c>
      <c r="J583" s="3" t="inlineStr"/>
      <c r="K583" s="3" t="inlineStr">
        <is>
          <t>Akumulasi Penyusutan Inventaris Ruangan</t>
        </is>
      </c>
      <c r="L583" s="5">
        <f>Penyusutan!M583</f>
        <v/>
      </c>
      <c r="M583" s="3">
        <f>IF(E583="","","Penyusutan "&amp;E583&amp;" periode "&amp;C583)</f>
        <v/>
      </c>
    </row>
    <row r="584">
      <c r="A584" s="3">
        <f>IF(Penyusutan!D584="","","JRN-"&amp;TEXT(ROW()-1,"0000"))</f>
        <v/>
      </c>
      <c r="B584" s="4" t="n">
        <v>46022</v>
      </c>
      <c r="C584" s="3">
        <f>Penyusutan!B584</f>
        <v/>
      </c>
      <c r="D584" s="3">
        <f>Penyusutan!C584</f>
        <v/>
      </c>
      <c r="E584" s="3">
        <f>Penyusutan!D584</f>
        <v/>
      </c>
      <c r="F584" s="3" t="inlineStr">
        <is>
          <t>Inventaris Ruangan</t>
        </is>
      </c>
      <c r="G584" s="3" t="inlineStr"/>
      <c r="H584" s="3" t="inlineStr">
        <is>
          <t>Beban Penyusutan Inventaris Ruangan</t>
        </is>
      </c>
      <c r="I584" s="5">
        <f>Penyusutan!M584</f>
        <v/>
      </c>
      <c r="J584" s="3" t="inlineStr"/>
      <c r="K584" s="3" t="inlineStr">
        <is>
          <t>Akumulasi Penyusutan Inventaris Ruangan</t>
        </is>
      </c>
      <c r="L584" s="5">
        <f>Penyusutan!M584</f>
        <v/>
      </c>
      <c r="M584" s="3">
        <f>IF(E584="","","Penyusutan "&amp;E584&amp;" periode "&amp;C584)</f>
        <v/>
      </c>
    </row>
    <row r="585">
      <c r="A585" s="3">
        <f>IF(Penyusutan!D585="","","JRN-"&amp;TEXT(ROW()-1,"0000"))</f>
        <v/>
      </c>
      <c r="B585" s="4" t="n">
        <v>46022</v>
      </c>
      <c r="C585" s="3">
        <f>Penyusutan!B585</f>
        <v/>
      </c>
      <c r="D585" s="3">
        <f>Penyusutan!C585</f>
        <v/>
      </c>
      <c r="E585" s="3">
        <f>Penyusutan!D585</f>
        <v/>
      </c>
      <c r="F585" s="3" t="inlineStr">
        <is>
          <t>Inventaris Ruangan</t>
        </is>
      </c>
      <c r="G585" s="3" t="inlineStr"/>
      <c r="H585" s="3" t="inlineStr">
        <is>
          <t>Beban Penyusutan Inventaris Ruangan</t>
        </is>
      </c>
      <c r="I585" s="5">
        <f>Penyusutan!M585</f>
        <v/>
      </c>
      <c r="J585" s="3" t="inlineStr"/>
      <c r="K585" s="3" t="inlineStr">
        <is>
          <t>Akumulasi Penyusutan Inventaris Ruangan</t>
        </is>
      </c>
      <c r="L585" s="5">
        <f>Penyusutan!M585</f>
        <v/>
      </c>
      <c r="M585" s="3">
        <f>IF(E585="","","Penyusutan "&amp;E585&amp;" periode "&amp;C585)</f>
        <v/>
      </c>
    </row>
    <row r="586">
      <c r="A586" s="3">
        <f>IF(Penyusutan!D586="","","JRN-"&amp;TEXT(ROW()-1,"0000"))</f>
        <v/>
      </c>
      <c r="B586" s="4" t="n">
        <v>46022</v>
      </c>
      <c r="C586" s="3">
        <f>Penyusutan!B586</f>
        <v/>
      </c>
      <c r="D586" s="3">
        <f>Penyusutan!C586</f>
        <v/>
      </c>
      <c r="E586" s="3">
        <f>Penyusutan!D586</f>
        <v/>
      </c>
      <c r="F586" s="3" t="inlineStr">
        <is>
          <t>Inventaris Ruangan</t>
        </is>
      </c>
      <c r="G586" s="3" t="inlineStr"/>
      <c r="H586" s="3" t="inlineStr">
        <is>
          <t>Beban Penyusutan Inventaris Ruangan</t>
        </is>
      </c>
      <c r="I586" s="5">
        <f>Penyusutan!M586</f>
        <v/>
      </c>
      <c r="J586" s="3" t="inlineStr"/>
      <c r="K586" s="3" t="inlineStr">
        <is>
          <t>Akumulasi Penyusutan Inventaris Ruangan</t>
        </is>
      </c>
      <c r="L586" s="5">
        <f>Penyusutan!M586</f>
        <v/>
      </c>
      <c r="M586" s="3">
        <f>IF(E586="","","Penyusutan "&amp;E586&amp;" periode "&amp;C586)</f>
        <v/>
      </c>
    </row>
    <row r="587">
      <c r="A587" s="3">
        <f>IF(Penyusutan!D587="","","JRN-"&amp;TEXT(ROW()-1,"0000"))</f>
        <v/>
      </c>
      <c r="B587" s="4" t="n">
        <v>46022</v>
      </c>
      <c r="C587" s="3">
        <f>Penyusutan!B587</f>
        <v/>
      </c>
      <c r="D587" s="3">
        <f>Penyusutan!C587</f>
        <v/>
      </c>
      <c r="E587" s="3">
        <f>Penyusutan!D587</f>
        <v/>
      </c>
      <c r="F587" s="3" t="inlineStr">
        <is>
          <t>Inventaris Ruangan</t>
        </is>
      </c>
      <c r="G587" s="3" t="inlineStr"/>
      <c r="H587" s="3" t="inlineStr">
        <is>
          <t>Beban Penyusutan Inventaris Ruangan</t>
        </is>
      </c>
      <c r="I587" s="5">
        <f>Penyusutan!M587</f>
        <v/>
      </c>
      <c r="J587" s="3" t="inlineStr"/>
      <c r="K587" s="3" t="inlineStr">
        <is>
          <t>Akumulasi Penyusutan Inventaris Ruangan</t>
        </is>
      </c>
      <c r="L587" s="5">
        <f>Penyusutan!M587</f>
        <v/>
      </c>
      <c r="M587" s="3">
        <f>IF(E587="","","Penyusutan "&amp;E587&amp;" periode "&amp;C587)</f>
        <v/>
      </c>
    </row>
    <row r="588">
      <c r="A588" s="3">
        <f>IF(Penyusutan!D588="","","JRN-"&amp;TEXT(ROW()-1,"0000"))</f>
        <v/>
      </c>
      <c r="B588" s="4" t="n">
        <v>46022</v>
      </c>
      <c r="C588" s="3">
        <f>Penyusutan!B588</f>
        <v/>
      </c>
      <c r="D588" s="3">
        <f>Penyusutan!C588</f>
        <v/>
      </c>
      <c r="E588" s="3">
        <f>Penyusutan!D588</f>
        <v/>
      </c>
      <c r="F588" s="3" t="inlineStr">
        <is>
          <t>Inventaris Ruangan</t>
        </is>
      </c>
      <c r="G588" s="3" t="inlineStr"/>
      <c r="H588" s="3" t="inlineStr">
        <is>
          <t>Beban Penyusutan Inventaris Ruangan</t>
        </is>
      </c>
      <c r="I588" s="5">
        <f>Penyusutan!M588</f>
        <v/>
      </c>
      <c r="J588" s="3" t="inlineStr"/>
      <c r="K588" s="3" t="inlineStr">
        <is>
          <t>Akumulasi Penyusutan Inventaris Ruangan</t>
        </is>
      </c>
      <c r="L588" s="5">
        <f>Penyusutan!M588</f>
        <v/>
      </c>
      <c r="M588" s="3">
        <f>IF(E588="","","Penyusutan "&amp;E588&amp;" periode "&amp;C588)</f>
        <v/>
      </c>
    </row>
    <row r="589">
      <c r="A589" s="3">
        <f>IF(Penyusutan!D589="","","JRN-"&amp;TEXT(ROW()-1,"0000"))</f>
        <v/>
      </c>
      <c r="B589" s="4" t="n">
        <v>46022</v>
      </c>
      <c r="C589" s="3">
        <f>Penyusutan!B589</f>
        <v/>
      </c>
      <c r="D589" s="3">
        <f>Penyusutan!C589</f>
        <v/>
      </c>
      <c r="E589" s="3">
        <f>Penyusutan!D589</f>
        <v/>
      </c>
      <c r="F589" s="3" t="inlineStr">
        <is>
          <t>Inventaris Ruangan</t>
        </is>
      </c>
      <c r="G589" s="3" t="inlineStr"/>
      <c r="H589" s="3" t="inlineStr">
        <is>
          <t>Beban Penyusutan Inventaris Ruangan</t>
        </is>
      </c>
      <c r="I589" s="5">
        <f>Penyusutan!M589</f>
        <v/>
      </c>
      <c r="J589" s="3" t="inlineStr"/>
      <c r="K589" s="3" t="inlineStr">
        <is>
          <t>Akumulasi Penyusutan Inventaris Ruangan</t>
        </is>
      </c>
      <c r="L589" s="5">
        <f>Penyusutan!M589</f>
        <v/>
      </c>
      <c r="M589" s="3">
        <f>IF(E589="","","Penyusutan "&amp;E589&amp;" periode "&amp;C589)</f>
        <v/>
      </c>
    </row>
    <row r="590">
      <c r="A590" s="3">
        <f>IF(Penyusutan!D590="","","JRN-"&amp;TEXT(ROW()-1,"0000"))</f>
        <v/>
      </c>
      <c r="B590" s="4" t="n">
        <v>46022</v>
      </c>
      <c r="C590" s="3">
        <f>Penyusutan!B590</f>
        <v/>
      </c>
      <c r="D590" s="3">
        <f>Penyusutan!C590</f>
        <v/>
      </c>
      <c r="E590" s="3">
        <f>Penyusutan!D590</f>
        <v/>
      </c>
      <c r="F590" s="3" t="inlineStr">
        <is>
          <t>Inventaris Ruangan</t>
        </is>
      </c>
      <c r="G590" s="3" t="inlineStr"/>
      <c r="H590" s="3" t="inlineStr">
        <is>
          <t>Beban Penyusutan Inventaris Ruangan</t>
        </is>
      </c>
      <c r="I590" s="5">
        <f>Penyusutan!M590</f>
        <v/>
      </c>
      <c r="J590" s="3" t="inlineStr"/>
      <c r="K590" s="3" t="inlineStr">
        <is>
          <t>Akumulasi Penyusutan Inventaris Ruangan</t>
        </is>
      </c>
      <c r="L590" s="5">
        <f>Penyusutan!M590</f>
        <v/>
      </c>
      <c r="M590" s="3">
        <f>IF(E590="","","Penyusutan "&amp;E590&amp;" periode "&amp;C590)</f>
        <v/>
      </c>
    </row>
    <row r="591">
      <c r="A591" s="3">
        <f>IF(Penyusutan!D591="","","JRN-"&amp;TEXT(ROW()-1,"0000"))</f>
        <v/>
      </c>
      <c r="B591" s="4" t="n">
        <v>46022</v>
      </c>
      <c r="C591" s="3">
        <f>Penyusutan!B591</f>
        <v/>
      </c>
      <c r="D591" s="3">
        <f>Penyusutan!C591</f>
        <v/>
      </c>
      <c r="E591" s="3">
        <f>Penyusutan!D591</f>
        <v/>
      </c>
      <c r="F591" s="3" t="inlineStr">
        <is>
          <t>Inventaris Ruangan</t>
        </is>
      </c>
      <c r="G591" s="3" t="inlineStr"/>
      <c r="H591" s="3" t="inlineStr">
        <is>
          <t>Beban Penyusutan Inventaris Ruangan</t>
        </is>
      </c>
      <c r="I591" s="5">
        <f>Penyusutan!M591</f>
        <v/>
      </c>
      <c r="J591" s="3" t="inlineStr"/>
      <c r="K591" s="3" t="inlineStr">
        <is>
          <t>Akumulasi Penyusutan Inventaris Ruangan</t>
        </is>
      </c>
      <c r="L591" s="5">
        <f>Penyusutan!M591</f>
        <v/>
      </c>
      <c r="M591" s="3">
        <f>IF(E591="","","Penyusutan "&amp;E591&amp;" periode "&amp;C591)</f>
        <v/>
      </c>
    </row>
    <row r="592">
      <c r="A592" s="3">
        <f>IF(Penyusutan!D592="","","JRN-"&amp;TEXT(ROW()-1,"0000"))</f>
        <v/>
      </c>
      <c r="B592" s="4" t="n">
        <v>46022</v>
      </c>
      <c r="C592" s="3">
        <f>Penyusutan!B592</f>
        <v/>
      </c>
      <c r="D592" s="3">
        <f>Penyusutan!C592</f>
        <v/>
      </c>
      <c r="E592" s="3">
        <f>Penyusutan!D592</f>
        <v/>
      </c>
      <c r="F592" s="3" t="inlineStr">
        <is>
          <t>Inventaris Ruangan</t>
        </is>
      </c>
      <c r="G592" s="3" t="inlineStr"/>
      <c r="H592" s="3" t="inlineStr">
        <is>
          <t>Beban Penyusutan Inventaris Ruangan</t>
        </is>
      </c>
      <c r="I592" s="5">
        <f>Penyusutan!M592</f>
        <v/>
      </c>
      <c r="J592" s="3" t="inlineStr"/>
      <c r="K592" s="3" t="inlineStr">
        <is>
          <t>Akumulasi Penyusutan Inventaris Ruangan</t>
        </is>
      </c>
      <c r="L592" s="5">
        <f>Penyusutan!M592</f>
        <v/>
      </c>
      <c r="M592" s="3">
        <f>IF(E592="","","Penyusutan "&amp;E592&amp;" periode "&amp;C592)</f>
        <v/>
      </c>
    </row>
    <row r="593">
      <c r="A593" s="3">
        <f>IF(Penyusutan!D593="","","JRN-"&amp;TEXT(ROW()-1,"0000"))</f>
        <v/>
      </c>
      <c r="B593" s="4" t="n">
        <v>46022</v>
      </c>
      <c r="C593" s="3">
        <f>Penyusutan!B593</f>
        <v/>
      </c>
      <c r="D593" s="3">
        <f>Penyusutan!C593</f>
        <v/>
      </c>
      <c r="E593" s="3">
        <f>Penyusutan!D593</f>
        <v/>
      </c>
      <c r="F593" s="3" t="inlineStr">
        <is>
          <t>Inventaris Ruangan</t>
        </is>
      </c>
      <c r="G593" s="3" t="inlineStr"/>
      <c r="H593" s="3" t="inlineStr">
        <is>
          <t>Beban Penyusutan Inventaris Ruangan</t>
        </is>
      </c>
      <c r="I593" s="5">
        <f>Penyusutan!M593</f>
        <v/>
      </c>
      <c r="J593" s="3" t="inlineStr"/>
      <c r="K593" s="3" t="inlineStr">
        <is>
          <t>Akumulasi Penyusutan Inventaris Ruangan</t>
        </is>
      </c>
      <c r="L593" s="5">
        <f>Penyusutan!M593</f>
        <v/>
      </c>
      <c r="M593" s="3">
        <f>IF(E593="","","Penyusutan "&amp;E593&amp;" periode "&amp;C593)</f>
        <v/>
      </c>
    </row>
    <row r="594">
      <c r="A594" s="3">
        <f>IF(Penyusutan!D594="","","JRN-"&amp;TEXT(ROW()-1,"0000"))</f>
        <v/>
      </c>
      <c r="B594" s="4" t="n">
        <v>46022</v>
      </c>
      <c r="C594" s="3">
        <f>Penyusutan!B594</f>
        <v/>
      </c>
      <c r="D594" s="3">
        <f>Penyusutan!C594</f>
        <v/>
      </c>
      <c r="E594" s="3">
        <f>Penyusutan!D594</f>
        <v/>
      </c>
      <c r="F594" s="3" t="inlineStr">
        <is>
          <t>Inventaris Ruangan</t>
        </is>
      </c>
      <c r="G594" s="3" t="inlineStr"/>
      <c r="H594" s="3" t="inlineStr">
        <is>
          <t>Beban Penyusutan Inventaris Ruangan</t>
        </is>
      </c>
      <c r="I594" s="5">
        <f>Penyusutan!M594</f>
        <v/>
      </c>
      <c r="J594" s="3" t="inlineStr"/>
      <c r="K594" s="3" t="inlineStr">
        <is>
          <t>Akumulasi Penyusutan Inventaris Ruangan</t>
        </is>
      </c>
      <c r="L594" s="5">
        <f>Penyusutan!M594</f>
        <v/>
      </c>
      <c r="M594" s="3">
        <f>IF(E594="","","Penyusutan "&amp;E594&amp;" periode "&amp;C594)</f>
        <v/>
      </c>
    </row>
    <row r="595">
      <c r="A595" s="3">
        <f>IF(Penyusutan!D595="","","JRN-"&amp;TEXT(ROW()-1,"0000"))</f>
        <v/>
      </c>
      <c r="B595" s="4" t="n">
        <v>46022</v>
      </c>
      <c r="C595" s="3">
        <f>Penyusutan!B595</f>
        <v/>
      </c>
      <c r="D595" s="3">
        <f>Penyusutan!C595</f>
        <v/>
      </c>
      <c r="E595" s="3">
        <f>Penyusutan!D595</f>
        <v/>
      </c>
      <c r="F595" s="3" t="inlineStr">
        <is>
          <t>Inventaris Ruangan</t>
        </is>
      </c>
      <c r="G595" s="3" t="inlineStr"/>
      <c r="H595" s="3" t="inlineStr">
        <is>
          <t>Beban Penyusutan Inventaris Ruangan</t>
        </is>
      </c>
      <c r="I595" s="5">
        <f>Penyusutan!M595</f>
        <v/>
      </c>
      <c r="J595" s="3" t="inlineStr"/>
      <c r="K595" s="3" t="inlineStr">
        <is>
          <t>Akumulasi Penyusutan Inventaris Ruangan</t>
        </is>
      </c>
      <c r="L595" s="5">
        <f>Penyusutan!M595</f>
        <v/>
      </c>
      <c r="M595" s="3">
        <f>IF(E595="","","Penyusutan "&amp;E595&amp;" periode "&amp;C595)</f>
        <v/>
      </c>
    </row>
    <row r="596">
      <c r="A596" s="3">
        <f>IF(Penyusutan!D596="","","JRN-"&amp;TEXT(ROW()-1,"0000"))</f>
        <v/>
      </c>
      <c r="B596" s="4" t="n">
        <v>46022</v>
      </c>
      <c r="C596" s="3">
        <f>Penyusutan!B596</f>
        <v/>
      </c>
      <c r="D596" s="3">
        <f>Penyusutan!C596</f>
        <v/>
      </c>
      <c r="E596" s="3">
        <f>Penyusutan!D596</f>
        <v/>
      </c>
      <c r="F596" s="3" t="inlineStr">
        <is>
          <t>Inventaris Ruangan</t>
        </is>
      </c>
      <c r="G596" s="3" t="inlineStr"/>
      <c r="H596" s="3" t="inlineStr">
        <is>
          <t>Beban Penyusutan Inventaris Ruangan</t>
        </is>
      </c>
      <c r="I596" s="5">
        <f>Penyusutan!M596</f>
        <v/>
      </c>
      <c r="J596" s="3" t="inlineStr"/>
      <c r="K596" s="3" t="inlineStr">
        <is>
          <t>Akumulasi Penyusutan Inventaris Ruangan</t>
        </is>
      </c>
      <c r="L596" s="5">
        <f>Penyusutan!M596</f>
        <v/>
      </c>
      <c r="M596" s="3">
        <f>IF(E596="","","Penyusutan "&amp;E596&amp;" periode "&amp;C596)</f>
        <v/>
      </c>
    </row>
    <row r="597">
      <c r="A597" s="3">
        <f>IF(Penyusutan!D597="","","JRN-"&amp;TEXT(ROW()-1,"0000"))</f>
        <v/>
      </c>
      <c r="B597" s="4" t="n">
        <v>46022</v>
      </c>
      <c r="C597" s="3">
        <f>Penyusutan!B597</f>
        <v/>
      </c>
      <c r="D597" s="3">
        <f>Penyusutan!C597</f>
        <v/>
      </c>
      <c r="E597" s="3">
        <f>Penyusutan!D597</f>
        <v/>
      </c>
      <c r="F597" s="3" t="inlineStr">
        <is>
          <t>Inventaris Ruangan</t>
        </is>
      </c>
      <c r="G597" s="3" t="inlineStr"/>
      <c r="H597" s="3" t="inlineStr">
        <is>
          <t>Beban Penyusutan Inventaris Ruangan</t>
        </is>
      </c>
      <c r="I597" s="5">
        <f>Penyusutan!M597</f>
        <v/>
      </c>
      <c r="J597" s="3" t="inlineStr"/>
      <c r="K597" s="3" t="inlineStr">
        <is>
          <t>Akumulasi Penyusutan Inventaris Ruangan</t>
        </is>
      </c>
      <c r="L597" s="5">
        <f>Penyusutan!M597</f>
        <v/>
      </c>
      <c r="M597" s="3">
        <f>IF(E597="","","Penyusutan "&amp;E597&amp;" periode "&amp;C597)</f>
        <v/>
      </c>
    </row>
    <row r="598">
      <c r="A598" s="3">
        <f>IF(Penyusutan!D598="","","JRN-"&amp;TEXT(ROW()-1,"0000"))</f>
        <v/>
      </c>
      <c r="B598" s="4" t="n">
        <v>46022</v>
      </c>
      <c r="C598" s="3">
        <f>Penyusutan!B598</f>
        <v/>
      </c>
      <c r="D598" s="3">
        <f>Penyusutan!C598</f>
        <v/>
      </c>
      <c r="E598" s="3">
        <f>Penyusutan!D598</f>
        <v/>
      </c>
      <c r="F598" s="3" t="inlineStr">
        <is>
          <t>Inventaris Ruangan</t>
        </is>
      </c>
      <c r="G598" s="3" t="inlineStr"/>
      <c r="H598" s="3" t="inlineStr">
        <is>
          <t>Beban Penyusutan Inventaris Ruangan</t>
        </is>
      </c>
      <c r="I598" s="5">
        <f>Penyusutan!M598</f>
        <v/>
      </c>
      <c r="J598" s="3" t="inlineStr"/>
      <c r="K598" s="3" t="inlineStr">
        <is>
          <t>Akumulasi Penyusutan Inventaris Ruangan</t>
        </is>
      </c>
      <c r="L598" s="5">
        <f>Penyusutan!M598</f>
        <v/>
      </c>
      <c r="M598" s="3">
        <f>IF(E598="","","Penyusutan "&amp;E598&amp;" periode "&amp;C598)</f>
        <v/>
      </c>
    </row>
    <row r="599">
      <c r="A599" s="3">
        <f>IF(Penyusutan!D599="","","JRN-"&amp;TEXT(ROW()-1,"0000"))</f>
        <v/>
      </c>
      <c r="B599" s="4" t="n">
        <v>46022</v>
      </c>
      <c r="C599" s="3">
        <f>Penyusutan!B599</f>
        <v/>
      </c>
      <c r="D599" s="3">
        <f>Penyusutan!C599</f>
        <v/>
      </c>
      <c r="E599" s="3">
        <f>Penyusutan!D599</f>
        <v/>
      </c>
      <c r="F599" s="3" t="inlineStr">
        <is>
          <t>Inventaris Ruangan</t>
        </is>
      </c>
      <c r="G599" s="3" t="inlineStr"/>
      <c r="H599" s="3" t="inlineStr">
        <is>
          <t>Beban Penyusutan Inventaris Ruangan</t>
        </is>
      </c>
      <c r="I599" s="5">
        <f>Penyusutan!M599</f>
        <v/>
      </c>
      <c r="J599" s="3" t="inlineStr"/>
      <c r="K599" s="3" t="inlineStr">
        <is>
          <t>Akumulasi Penyusutan Inventaris Ruangan</t>
        </is>
      </c>
      <c r="L599" s="5">
        <f>Penyusutan!M599</f>
        <v/>
      </c>
      <c r="M599" s="3">
        <f>IF(E599="","","Penyusutan "&amp;E599&amp;" periode "&amp;C599)</f>
        <v/>
      </c>
    </row>
    <row r="600">
      <c r="A600" s="3">
        <f>IF(Penyusutan!D600="","","JRN-"&amp;TEXT(ROW()-1,"0000"))</f>
        <v/>
      </c>
      <c r="B600" s="4" t="n">
        <v>46022</v>
      </c>
      <c r="C600" s="3">
        <f>Penyusutan!B600</f>
        <v/>
      </c>
      <c r="D600" s="3">
        <f>Penyusutan!C600</f>
        <v/>
      </c>
      <c r="E600" s="3">
        <f>Penyusutan!D600</f>
        <v/>
      </c>
      <c r="F600" s="3" t="inlineStr">
        <is>
          <t>Inventaris Ruangan</t>
        </is>
      </c>
      <c r="G600" s="3" t="inlineStr"/>
      <c r="H600" s="3" t="inlineStr">
        <is>
          <t>Beban Penyusutan Inventaris Ruangan</t>
        </is>
      </c>
      <c r="I600" s="5">
        <f>Penyusutan!M600</f>
        <v/>
      </c>
      <c r="J600" s="3" t="inlineStr"/>
      <c r="K600" s="3" t="inlineStr">
        <is>
          <t>Akumulasi Penyusutan Inventaris Ruangan</t>
        </is>
      </c>
      <c r="L600" s="5">
        <f>Penyusutan!M600</f>
        <v/>
      </c>
      <c r="M600" s="3">
        <f>IF(E600="","","Penyusutan "&amp;E600&amp;" periode "&amp;C600)</f>
        <v/>
      </c>
    </row>
    <row r="601">
      <c r="A601" s="3">
        <f>IF(Penyusutan!D601="","","JRN-"&amp;TEXT(ROW()-1,"0000"))</f>
        <v/>
      </c>
      <c r="B601" s="4" t="n">
        <v>46022</v>
      </c>
      <c r="C601" s="3">
        <f>Penyusutan!B601</f>
        <v/>
      </c>
      <c r="D601" s="3">
        <f>Penyusutan!C601</f>
        <v/>
      </c>
      <c r="E601" s="3">
        <f>Penyusutan!D601</f>
        <v/>
      </c>
      <c r="F601" s="3" t="inlineStr">
        <is>
          <t>Inventaris Ruangan</t>
        </is>
      </c>
      <c r="G601" s="3" t="inlineStr"/>
      <c r="H601" s="3" t="inlineStr">
        <is>
          <t>Beban Penyusutan Inventaris Ruangan</t>
        </is>
      </c>
      <c r="I601" s="5">
        <f>Penyusutan!M601</f>
        <v/>
      </c>
      <c r="J601" s="3" t="inlineStr"/>
      <c r="K601" s="3" t="inlineStr">
        <is>
          <t>Akumulasi Penyusutan Inventaris Ruangan</t>
        </is>
      </c>
      <c r="L601" s="5">
        <f>Penyusutan!M601</f>
        <v/>
      </c>
      <c r="M601" s="3">
        <f>IF(E601="","","Penyusutan "&amp;E601&amp;" periode "&amp;C601)</f>
        <v/>
      </c>
    </row>
    <row r="602">
      <c r="A602" s="3">
        <f>IF(Penyusutan!D602="","","JRN-"&amp;TEXT(ROW()-1,"0000"))</f>
        <v/>
      </c>
      <c r="B602" s="4" t="n">
        <v>46022</v>
      </c>
      <c r="C602" s="3">
        <f>Penyusutan!B602</f>
        <v/>
      </c>
      <c r="D602" s="3">
        <f>Penyusutan!C602</f>
        <v/>
      </c>
      <c r="E602" s="3">
        <f>Penyusutan!D602</f>
        <v/>
      </c>
      <c r="F602" s="3" t="inlineStr">
        <is>
          <t>Inventaris Ruangan</t>
        </is>
      </c>
      <c r="G602" s="3" t="inlineStr"/>
      <c r="H602" s="3" t="inlineStr">
        <is>
          <t>Beban Penyusutan Inventaris Ruangan</t>
        </is>
      </c>
      <c r="I602" s="5">
        <f>Penyusutan!M602</f>
        <v/>
      </c>
      <c r="J602" s="3" t="inlineStr"/>
      <c r="K602" s="3" t="inlineStr">
        <is>
          <t>Akumulasi Penyusutan Inventaris Ruangan</t>
        </is>
      </c>
      <c r="L602" s="5">
        <f>Penyusutan!M602</f>
        <v/>
      </c>
      <c r="M602" s="3">
        <f>IF(E602="","","Penyusutan "&amp;E602&amp;" periode "&amp;C602)</f>
        <v/>
      </c>
    </row>
    <row r="603">
      <c r="A603" s="3">
        <f>IF(Penyusutan!D603="","","JRN-"&amp;TEXT(ROW()-1,"0000"))</f>
        <v/>
      </c>
      <c r="B603" s="4" t="n">
        <v>46022</v>
      </c>
      <c r="C603" s="3">
        <f>Penyusutan!B603</f>
        <v/>
      </c>
      <c r="D603" s="3">
        <f>Penyusutan!C603</f>
        <v/>
      </c>
      <c r="E603" s="3">
        <f>Penyusutan!D603</f>
        <v/>
      </c>
      <c r="F603" s="3" t="inlineStr">
        <is>
          <t>Inventaris Ruangan</t>
        </is>
      </c>
      <c r="G603" s="3" t="inlineStr"/>
      <c r="H603" s="3" t="inlineStr">
        <is>
          <t>Beban Penyusutan Inventaris Ruangan</t>
        </is>
      </c>
      <c r="I603" s="5">
        <f>Penyusutan!M603</f>
        <v/>
      </c>
      <c r="J603" s="3" t="inlineStr"/>
      <c r="K603" s="3" t="inlineStr">
        <is>
          <t>Akumulasi Penyusutan Inventaris Ruangan</t>
        </is>
      </c>
      <c r="L603" s="5">
        <f>Penyusutan!M603</f>
        <v/>
      </c>
      <c r="M603" s="3">
        <f>IF(E603="","","Penyusutan "&amp;E603&amp;" periode "&amp;C603)</f>
        <v/>
      </c>
    </row>
    <row r="604">
      <c r="A604" s="3">
        <f>IF(Penyusutan!D604="","","JRN-"&amp;TEXT(ROW()-1,"0000"))</f>
        <v/>
      </c>
      <c r="B604" s="4" t="n">
        <v>46022</v>
      </c>
      <c r="C604" s="3">
        <f>Penyusutan!B604</f>
        <v/>
      </c>
      <c r="D604" s="3">
        <f>Penyusutan!C604</f>
        <v/>
      </c>
      <c r="E604" s="3">
        <f>Penyusutan!D604</f>
        <v/>
      </c>
      <c r="F604" s="3" t="inlineStr">
        <is>
          <t>Inventaris Ruangan</t>
        </is>
      </c>
      <c r="G604" s="3" t="inlineStr"/>
      <c r="H604" s="3" t="inlineStr">
        <is>
          <t>Beban Penyusutan Inventaris Ruangan</t>
        </is>
      </c>
      <c r="I604" s="5">
        <f>Penyusutan!M604</f>
        <v/>
      </c>
      <c r="J604" s="3" t="inlineStr"/>
      <c r="K604" s="3" t="inlineStr">
        <is>
          <t>Akumulasi Penyusutan Inventaris Ruangan</t>
        </is>
      </c>
      <c r="L604" s="5">
        <f>Penyusutan!M604</f>
        <v/>
      </c>
      <c r="M604" s="3">
        <f>IF(E604="","","Penyusutan "&amp;E604&amp;" periode "&amp;C604)</f>
        <v/>
      </c>
    </row>
    <row r="605">
      <c r="A605" s="3">
        <f>IF(Penyusutan!D605="","","JRN-"&amp;TEXT(ROW()-1,"0000"))</f>
        <v/>
      </c>
      <c r="B605" s="4" t="n">
        <v>46022</v>
      </c>
      <c r="C605" s="3">
        <f>Penyusutan!B605</f>
        <v/>
      </c>
      <c r="D605" s="3">
        <f>Penyusutan!C605</f>
        <v/>
      </c>
      <c r="E605" s="3">
        <f>Penyusutan!D605</f>
        <v/>
      </c>
      <c r="F605" s="3" t="inlineStr">
        <is>
          <t>Inventaris Ruangan</t>
        </is>
      </c>
      <c r="G605" s="3" t="inlineStr"/>
      <c r="H605" s="3" t="inlineStr">
        <is>
          <t>Beban Penyusutan Inventaris Ruangan</t>
        </is>
      </c>
      <c r="I605" s="5">
        <f>Penyusutan!M605</f>
        <v/>
      </c>
      <c r="J605" s="3" t="inlineStr"/>
      <c r="K605" s="3" t="inlineStr">
        <is>
          <t>Akumulasi Penyusutan Inventaris Ruangan</t>
        </is>
      </c>
      <c r="L605" s="5">
        <f>Penyusutan!M605</f>
        <v/>
      </c>
      <c r="M605" s="3">
        <f>IF(E605="","","Penyusutan "&amp;E605&amp;" periode "&amp;C605)</f>
        <v/>
      </c>
    </row>
    <row r="606">
      <c r="A606" s="3">
        <f>IF(Penyusutan!D606="","","JRN-"&amp;TEXT(ROW()-1,"0000"))</f>
        <v/>
      </c>
      <c r="B606" s="4" t="n">
        <v>46022</v>
      </c>
      <c r="C606" s="3">
        <f>Penyusutan!B606</f>
        <v/>
      </c>
      <c r="D606" s="3">
        <f>Penyusutan!C606</f>
        <v/>
      </c>
      <c r="E606" s="3">
        <f>Penyusutan!D606</f>
        <v/>
      </c>
      <c r="F606" s="3" t="inlineStr">
        <is>
          <t>Inventaris Ruangan</t>
        </is>
      </c>
      <c r="G606" s="3" t="inlineStr"/>
      <c r="H606" s="3" t="inlineStr">
        <is>
          <t>Beban Penyusutan Inventaris Ruangan</t>
        </is>
      </c>
      <c r="I606" s="5">
        <f>Penyusutan!M606</f>
        <v/>
      </c>
      <c r="J606" s="3" t="inlineStr"/>
      <c r="K606" s="3" t="inlineStr">
        <is>
          <t>Akumulasi Penyusutan Inventaris Ruangan</t>
        </is>
      </c>
      <c r="L606" s="5">
        <f>Penyusutan!M606</f>
        <v/>
      </c>
      <c r="M606" s="3">
        <f>IF(E606="","","Penyusutan "&amp;E606&amp;" periode "&amp;C606)</f>
        <v/>
      </c>
    </row>
    <row r="607">
      <c r="A607" s="3">
        <f>IF(Penyusutan!D607="","","JRN-"&amp;TEXT(ROW()-1,"0000"))</f>
        <v/>
      </c>
      <c r="B607" s="4" t="n">
        <v>46022</v>
      </c>
      <c r="C607" s="3">
        <f>Penyusutan!B607</f>
        <v/>
      </c>
      <c r="D607" s="3">
        <f>Penyusutan!C607</f>
        <v/>
      </c>
      <c r="E607" s="3">
        <f>Penyusutan!D607</f>
        <v/>
      </c>
      <c r="F607" s="3" t="inlineStr">
        <is>
          <t>Inventaris Ruangan</t>
        </is>
      </c>
      <c r="G607" s="3" t="inlineStr"/>
      <c r="H607" s="3" t="inlineStr">
        <is>
          <t>Beban Penyusutan Inventaris Ruangan</t>
        </is>
      </c>
      <c r="I607" s="5">
        <f>Penyusutan!M607</f>
        <v/>
      </c>
      <c r="J607" s="3" t="inlineStr"/>
      <c r="K607" s="3" t="inlineStr">
        <is>
          <t>Akumulasi Penyusutan Inventaris Ruangan</t>
        </is>
      </c>
      <c r="L607" s="5">
        <f>Penyusutan!M607</f>
        <v/>
      </c>
      <c r="M607" s="3">
        <f>IF(E607="","","Penyusutan "&amp;E607&amp;" periode "&amp;C607)</f>
        <v/>
      </c>
    </row>
    <row r="608">
      <c r="A608" s="3">
        <f>IF(Penyusutan!D608="","","JRN-"&amp;TEXT(ROW()-1,"0000"))</f>
        <v/>
      </c>
      <c r="B608" s="4" t="n">
        <v>46022</v>
      </c>
      <c r="C608" s="3">
        <f>Penyusutan!B608</f>
        <v/>
      </c>
      <c r="D608" s="3">
        <f>Penyusutan!C608</f>
        <v/>
      </c>
      <c r="E608" s="3">
        <f>Penyusutan!D608</f>
        <v/>
      </c>
      <c r="F608" s="3" t="inlineStr">
        <is>
          <t>Inventaris Ruangan</t>
        </is>
      </c>
      <c r="G608" s="3" t="inlineStr"/>
      <c r="H608" s="3" t="inlineStr">
        <is>
          <t>Beban Penyusutan Inventaris Ruangan</t>
        </is>
      </c>
      <c r="I608" s="5">
        <f>Penyusutan!M608</f>
        <v/>
      </c>
      <c r="J608" s="3" t="inlineStr"/>
      <c r="K608" s="3" t="inlineStr">
        <is>
          <t>Akumulasi Penyusutan Inventaris Ruangan</t>
        </is>
      </c>
      <c r="L608" s="5">
        <f>Penyusutan!M608</f>
        <v/>
      </c>
      <c r="M608" s="3">
        <f>IF(E608="","","Penyusutan "&amp;E608&amp;" periode "&amp;C608)</f>
        <v/>
      </c>
    </row>
    <row r="609">
      <c r="A609" s="3">
        <f>IF(Penyusutan!D609="","","JRN-"&amp;TEXT(ROW()-1,"0000"))</f>
        <v/>
      </c>
      <c r="B609" s="4" t="n">
        <v>46022</v>
      </c>
      <c r="C609" s="3">
        <f>Penyusutan!B609</f>
        <v/>
      </c>
      <c r="D609" s="3">
        <f>Penyusutan!C609</f>
        <v/>
      </c>
      <c r="E609" s="3">
        <f>Penyusutan!D609</f>
        <v/>
      </c>
      <c r="F609" s="3" t="inlineStr">
        <is>
          <t>Inventaris Ruangan</t>
        </is>
      </c>
      <c r="G609" s="3" t="inlineStr"/>
      <c r="H609" s="3" t="inlineStr">
        <is>
          <t>Beban Penyusutan Inventaris Ruangan</t>
        </is>
      </c>
      <c r="I609" s="5">
        <f>Penyusutan!M609</f>
        <v/>
      </c>
      <c r="J609" s="3" t="inlineStr"/>
      <c r="K609" s="3" t="inlineStr">
        <is>
          <t>Akumulasi Penyusutan Inventaris Ruangan</t>
        </is>
      </c>
      <c r="L609" s="5">
        <f>Penyusutan!M609</f>
        <v/>
      </c>
      <c r="M609" s="3">
        <f>IF(E609="","","Penyusutan "&amp;E609&amp;" periode "&amp;C609)</f>
        <v/>
      </c>
    </row>
    <row r="610">
      <c r="A610" s="3">
        <f>IF(Penyusutan!D610="","","JRN-"&amp;TEXT(ROW()-1,"0000"))</f>
        <v/>
      </c>
      <c r="B610" s="4" t="n">
        <v>46022</v>
      </c>
      <c r="C610" s="3">
        <f>Penyusutan!B610</f>
        <v/>
      </c>
      <c r="D610" s="3">
        <f>Penyusutan!C610</f>
        <v/>
      </c>
      <c r="E610" s="3">
        <f>Penyusutan!D610</f>
        <v/>
      </c>
      <c r="F610" s="3" t="inlineStr">
        <is>
          <t>Inventaris Ruangan</t>
        </is>
      </c>
      <c r="G610" s="3" t="inlineStr"/>
      <c r="H610" s="3" t="inlineStr">
        <is>
          <t>Beban Penyusutan Inventaris Ruangan</t>
        </is>
      </c>
      <c r="I610" s="5">
        <f>Penyusutan!M610</f>
        <v/>
      </c>
      <c r="J610" s="3" t="inlineStr"/>
      <c r="K610" s="3" t="inlineStr">
        <is>
          <t>Akumulasi Penyusutan Inventaris Ruangan</t>
        </is>
      </c>
      <c r="L610" s="5">
        <f>Penyusutan!M610</f>
        <v/>
      </c>
      <c r="M610" s="3">
        <f>IF(E610="","","Penyusutan "&amp;E610&amp;" periode "&amp;C610)</f>
        <v/>
      </c>
    </row>
    <row r="611">
      <c r="A611" s="3">
        <f>IF(Penyusutan!D611="","","JRN-"&amp;TEXT(ROW()-1,"0000"))</f>
        <v/>
      </c>
      <c r="B611" s="4" t="n">
        <v>46022</v>
      </c>
      <c r="C611" s="3">
        <f>Penyusutan!B611</f>
        <v/>
      </c>
      <c r="D611" s="3">
        <f>Penyusutan!C611</f>
        <v/>
      </c>
      <c r="E611" s="3">
        <f>Penyusutan!D611</f>
        <v/>
      </c>
      <c r="F611" s="3" t="inlineStr">
        <is>
          <t>Inventaris Ruangan</t>
        </is>
      </c>
      <c r="G611" s="3" t="inlineStr"/>
      <c r="H611" s="3" t="inlineStr">
        <is>
          <t>Beban Penyusutan Inventaris Ruangan</t>
        </is>
      </c>
      <c r="I611" s="5">
        <f>Penyusutan!M611</f>
        <v/>
      </c>
      <c r="J611" s="3" t="inlineStr"/>
      <c r="K611" s="3" t="inlineStr">
        <is>
          <t>Akumulasi Penyusutan Inventaris Ruangan</t>
        </is>
      </c>
      <c r="L611" s="5">
        <f>Penyusutan!M611</f>
        <v/>
      </c>
      <c r="M611" s="3">
        <f>IF(E611="","","Penyusutan "&amp;E611&amp;" periode "&amp;C611)</f>
        <v/>
      </c>
    </row>
    <row r="612">
      <c r="A612" s="3">
        <f>IF(Penyusutan!D612="","","JRN-"&amp;TEXT(ROW()-1,"0000"))</f>
        <v/>
      </c>
      <c r="B612" s="4" t="n">
        <v>46022</v>
      </c>
      <c r="C612" s="3">
        <f>Penyusutan!B612</f>
        <v/>
      </c>
      <c r="D612" s="3">
        <f>Penyusutan!C612</f>
        <v/>
      </c>
      <c r="E612" s="3">
        <f>Penyusutan!D612</f>
        <v/>
      </c>
      <c r="F612" s="3" t="inlineStr">
        <is>
          <t>Inventaris Ruangan</t>
        </is>
      </c>
      <c r="G612" s="3" t="inlineStr"/>
      <c r="H612" s="3" t="inlineStr">
        <is>
          <t>Beban Penyusutan Inventaris Ruangan</t>
        </is>
      </c>
      <c r="I612" s="5">
        <f>Penyusutan!M612</f>
        <v/>
      </c>
      <c r="J612" s="3" t="inlineStr"/>
      <c r="K612" s="3" t="inlineStr">
        <is>
          <t>Akumulasi Penyusutan Inventaris Ruangan</t>
        </is>
      </c>
      <c r="L612" s="5">
        <f>Penyusutan!M612</f>
        <v/>
      </c>
      <c r="M612" s="3">
        <f>IF(E612="","","Penyusutan "&amp;E612&amp;" periode "&amp;C612)</f>
        <v/>
      </c>
    </row>
    <row r="613">
      <c r="A613" s="3">
        <f>IF(Penyusutan!D613="","","JRN-"&amp;TEXT(ROW()-1,"0000"))</f>
        <v/>
      </c>
      <c r="B613" s="4" t="n">
        <v>46022</v>
      </c>
      <c r="C613" s="3">
        <f>Penyusutan!B613</f>
        <v/>
      </c>
      <c r="D613" s="3">
        <f>Penyusutan!C613</f>
        <v/>
      </c>
      <c r="E613" s="3">
        <f>Penyusutan!D613</f>
        <v/>
      </c>
      <c r="F613" s="3" t="inlineStr">
        <is>
          <t>Inventaris Ruangan</t>
        </is>
      </c>
      <c r="G613" s="3" t="inlineStr"/>
      <c r="H613" s="3" t="inlineStr">
        <is>
          <t>Beban Penyusutan Inventaris Ruangan</t>
        </is>
      </c>
      <c r="I613" s="5">
        <f>Penyusutan!M613</f>
        <v/>
      </c>
      <c r="J613" s="3" t="inlineStr"/>
      <c r="K613" s="3" t="inlineStr">
        <is>
          <t>Akumulasi Penyusutan Inventaris Ruangan</t>
        </is>
      </c>
      <c r="L613" s="5">
        <f>Penyusutan!M613</f>
        <v/>
      </c>
      <c r="M613" s="3">
        <f>IF(E613="","","Penyusutan "&amp;E613&amp;" periode "&amp;C613)</f>
        <v/>
      </c>
    </row>
    <row r="614">
      <c r="A614" s="3">
        <f>IF(Penyusutan!D614="","","JRN-"&amp;TEXT(ROW()-1,"0000"))</f>
        <v/>
      </c>
      <c r="B614" s="4" t="n">
        <v>46022</v>
      </c>
      <c r="C614" s="3">
        <f>Penyusutan!B614</f>
        <v/>
      </c>
      <c r="D614" s="3">
        <f>Penyusutan!C614</f>
        <v/>
      </c>
      <c r="E614" s="3">
        <f>Penyusutan!D614</f>
        <v/>
      </c>
      <c r="F614" s="3" t="inlineStr">
        <is>
          <t>Inventaris Ruangan</t>
        </is>
      </c>
      <c r="G614" s="3" t="inlineStr"/>
      <c r="H614" s="3" t="inlineStr">
        <is>
          <t>Beban Penyusutan Inventaris Ruangan</t>
        </is>
      </c>
      <c r="I614" s="5">
        <f>Penyusutan!M614</f>
        <v/>
      </c>
      <c r="J614" s="3" t="inlineStr"/>
      <c r="K614" s="3" t="inlineStr">
        <is>
          <t>Akumulasi Penyusutan Inventaris Ruangan</t>
        </is>
      </c>
      <c r="L614" s="5">
        <f>Penyusutan!M614</f>
        <v/>
      </c>
      <c r="M614" s="3">
        <f>IF(E614="","","Penyusutan "&amp;E614&amp;" periode "&amp;C614)</f>
        <v/>
      </c>
    </row>
    <row r="615">
      <c r="A615" s="3">
        <f>IF(Penyusutan!D615="","","JRN-"&amp;TEXT(ROW()-1,"0000"))</f>
        <v/>
      </c>
      <c r="B615" s="4" t="n">
        <v>46022</v>
      </c>
      <c r="C615" s="3">
        <f>Penyusutan!B615</f>
        <v/>
      </c>
      <c r="D615" s="3">
        <f>Penyusutan!C615</f>
        <v/>
      </c>
      <c r="E615" s="3">
        <f>Penyusutan!D615</f>
        <v/>
      </c>
      <c r="F615" s="3" t="inlineStr">
        <is>
          <t>Inventaris Ruangan</t>
        </is>
      </c>
      <c r="G615" s="3" t="inlineStr"/>
      <c r="H615" s="3" t="inlineStr">
        <is>
          <t>Beban Penyusutan Inventaris Ruangan</t>
        </is>
      </c>
      <c r="I615" s="5">
        <f>Penyusutan!M615</f>
        <v/>
      </c>
      <c r="J615" s="3" t="inlineStr"/>
      <c r="K615" s="3" t="inlineStr">
        <is>
          <t>Akumulasi Penyusutan Inventaris Ruangan</t>
        </is>
      </c>
      <c r="L615" s="5">
        <f>Penyusutan!M615</f>
        <v/>
      </c>
      <c r="M615" s="3">
        <f>IF(E615="","","Penyusutan "&amp;E615&amp;" periode "&amp;C615)</f>
        <v/>
      </c>
    </row>
    <row r="616">
      <c r="A616" s="3">
        <f>IF(Penyusutan!D616="","","JRN-"&amp;TEXT(ROW()-1,"0000"))</f>
        <v/>
      </c>
      <c r="B616" s="4" t="n">
        <v>46022</v>
      </c>
      <c r="C616" s="3">
        <f>Penyusutan!B616</f>
        <v/>
      </c>
      <c r="D616" s="3">
        <f>Penyusutan!C616</f>
        <v/>
      </c>
      <c r="E616" s="3">
        <f>Penyusutan!D616</f>
        <v/>
      </c>
      <c r="F616" s="3" t="inlineStr">
        <is>
          <t>Inventaris Ruangan</t>
        </is>
      </c>
      <c r="G616" s="3" t="inlineStr"/>
      <c r="H616" s="3" t="inlineStr">
        <is>
          <t>Beban Penyusutan Inventaris Ruangan</t>
        </is>
      </c>
      <c r="I616" s="5">
        <f>Penyusutan!M616</f>
        <v/>
      </c>
      <c r="J616" s="3" t="inlineStr"/>
      <c r="K616" s="3" t="inlineStr">
        <is>
          <t>Akumulasi Penyusutan Inventaris Ruangan</t>
        </is>
      </c>
      <c r="L616" s="5">
        <f>Penyusutan!M616</f>
        <v/>
      </c>
      <c r="M616" s="3">
        <f>IF(E616="","","Penyusutan "&amp;E616&amp;" periode "&amp;C616)</f>
        <v/>
      </c>
    </row>
    <row r="617">
      <c r="A617" s="3">
        <f>IF(Penyusutan!D617="","","JRN-"&amp;TEXT(ROW()-1,"0000"))</f>
        <v/>
      </c>
      <c r="B617" s="4" t="n">
        <v>46022</v>
      </c>
      <c r="C617" s="3">
        <f>Penyusutan!B617</f>
        <v/>
      </c>
      <c r="D617" s="3">
        <f>Penyusutan!C617</f>
        <v/>
      </c>
      <c r="E617" s="3">
        <f>Penyusutan!D617</f>
        <v/>
      </c>
      <c r="F617" s="3" t="inlineStr">
        <is>
          <t>Inventaris Ruangan</t>
        </is>
      </c>
      <c r="G617" s="3" t="inlineStr"/>
      <c r="H617" s="3" t="inlineStr">
        <is>
          <t>Beban Penyusutan Inventaris Ruangan</t>
        </is>
      </c>
      <c r="I617" s="5">
        <f>Penyusutan!M617</f>
        <v/>
      </c>
      <c r="J617" s="3" t="inlineStr"/>
      <c r="K617" s="3" t="inlineStr">
        <is>
          <t>Akumulasi Penyusutan Inventaris Ruangan</t>
        </is>
      </c>
      <c r="L617" s="5">
        <f>Penyusutan!M617</f>
        <v/>
      </c>
      <c r="M617" s="3">
        <f>IF(E617="","","Penyusutan "&amp;E617&amp;" periode "&amp;C617)</f>
        <v/>
      </c>
    </row>
    <row r="618">
      <c r="A618" s="3">
        <f>IF(Penyusutan!D618="","","JRN-"&amp;TEXT(ROW()-1,"0000"))</f>
        <v/>
      </c>
      <c r="B618" s="4" t="n">
        <v>46022</v>
      </c>
      <c r="C618" s="3">
        <f>Penyusutan!B618</f>
        <v/>
      </c>
      <c r="D618" s="3">
        <f>Penyusutan!C618</f>
        <v/>
      </c>
      <c r="E618" s="3">
        <f>Penyusutan!D618</f>
        <v/>
      </c>
      <c r="F618" s="3" t="inlineStr">
        <is>
          <t>Inventaris Ruangan</t>
        </is>
      </c>
      <c r="G618" s="3" t="inlineStr"/>
      <c r="H618" s="3" t="inlineStr">
        <is>
          <t>Beban Penyusutan Inventaris Ruangan</t>
        </is>
      </c>
      <c r="I618" s="5">
        <f>Penyusutan!M618</f>
        <v/>
      </c>
      <c r="J618" s="3" t="inlineStr"/>
      <c r="K618" s="3" t="inlineStr">
        <is>
          <t>Akumulasi Penyusutan Inventaris Ruangan</t>
        </is>
      </c>
      <c r="L618" s="5">
        <f>Penyusutan!M618</f>
        <v/>
      </c>
      <c r="M618" s="3">
        <f>IF(E618="","","Penyusutan "&amp;E618&amp;" periode "&amp;C618)</f>
        <v/>
      </c>
    </row>
    <row r="619">
      <c r="A619" s="3">
        <f>IF(Penyusutan!D619="","","JRN-"&amp;TEXT(ROW()-1,"0000"))</f>
        <v/>
      </c>
      <c r="B619" s="4" t="n">
        <v>46022</v>
      </c>
      <c r="C619" s="3">
        <f>Penyusutan!B619</f>
        <v/>
      </c>
      <c r="D619" s="3">
        <f>Penyusutan!C619</f>
        <v/>
      </c>
      <c r="E619" s="3">
        <f>Penyusutan!D619</f>
        <v/>
      </c>
      <c r="F619" s="3" t="inlineStr">
        <is>
          <t>Inventaris Ruangan</t>
        </is>
      </c>
      <c r="G619" s="3" t="inlineStr"/>
      <c r="H619" s="3" t="inlineStr">
        <is>
          <t>Beban Penyusutan Inventaris Ruangan</t>
        </is>
      </c>
      <c r="I619" s="5">
        <f>Penyusutan!M619</f>
        <v/>
      </c>
      <c r="J619" s="3" t="inlineStr"/>
      <c r="K619" s="3" t="inlineStr">
        <is>
          <t>Akumulasi Penyusutan Inventaris Ruangan</t>
        </is>
      </c>
      <c r="L619" s="5">
        <f>Penyusutan!M619</f>
        <v/>
      </c>
      <c r="M619" s="3">
        <f>IF(E619="","","Penyusutan "&amp;E619&amp;" periode "&amp;C619)</f>
        <v/>
      </c>
    </row>
    <row r="620">
      <c r="A620" s="3">
        <f>IF(Penyusutan!D620="","","JRN-"&amp;TEXT(ROW()-1,"0000"))</f>
        <v/>
      </c>
      <c r="B620" s="4" t="n">
        <v>46022</v>
      </c>
      <c r="C620" s="3">
        <f>Penyusutan!B620</f>
        <v/>
      </c>
      <c r="D620" s="3">
        <f>Penyusutan!C620</f>
        <v/>
      </c>
      <c r="E620" s="3">
        <f>Penyusutan!D620</f>
        <v/>
      </c>
      <c r="F620" s="3" t="inlineStr">
        <is>
          <t>Inventaris Ruangan</t>
        </is>
      </c>
      <c r="G620" s="3" t="inlineStr"/>
      <c r="H620" s="3" t="inlineStr">
        <is>
          <t>Beban Penyusutan Inventaris Ruangan</t>
        </is>
      </c>
      <c r="I620" s="5">
        <f>Penyusutan!M620</f>
        <v/>
      </c>
      <c r="J620" s="3" t="inlineStr"/>
      <c r="K620" s="3" t="inlineStr">
        <is>
          <t>Akumulasi Penyusutan Inventaris Ruangan</t>
        </is>
      </c>
      <c r="L620" s="5">
        <f>Penyusutan!M620</f>
        <v/>
      </c>
      <c r="M620" s="3">
        <f>IF(E620="","","Penyusutan "&amp;E620&amp;" periode "&amp;C620)</f>
        <v/>
      </c>
    </row>
    <row r="621">
      <c r="A621" s="3">
        <f>IF(Penyusutan!D621="","","JRN-"&amp;TEXT(ROW()-1,"0000"))</f>
        <v/>
      </c>
      <c r="B621" s="4" t="n">
        <v>46022</v>
      </c>
      <c r="C621" s="3">
        <f>Penyusutan!B621</f>
        <v/>
      </c>
      <c r="D621" s="3">
        <f>Penyusutan!C621</f>
        <v/>
      </c>
      <c r="E621" s="3">
        <f>Penyusutan!D621</f>
        <v/>
      </c>
      <c r="F621" s="3" t="inlineStr">
        <is>
          <t>Inventaris Ruangan</t>
        </is>
      </c>
      <c r="G621" s="3" t="inlineStr"/>
      <c r="H621" s="3" t="inlineStr">
        <is>
          <t>Beban Penyusutan Inventaris Ruangan</t>
        </is>
      </c>
      <c r="I621" s="5">
        <f>Penyusutan!M621</f>
        <v/>
      </c>
      <c r="J621" s="3" t="inlineStr"/>
      <c r="K621" s="3" t="inlineStr">
        <is>
          <t>Akumulasi Penyusutan Inventaris Ruangan</t>
        </is>
      </c>
      <c r="L621" s="5">
        <f>Penyusutan!M621</f>
        <v/>
      </c>
      <c r="M621" s="3">
        <f>IF(E621="","","Penyusutan "&amp;E621&amp;" periode "&amp;C621)</f>
        <v/>
      </c>
    </row>
    <row r="622">
      <c r="A622" s="3">
        <f>IF(Penyusutan!D622="","","JRN-"&amp;TEXT(ROW()-1,"0000"))</f>
        <v/>
      </c>
      <c r="B622" s="4" t="n">
        <v>46022</v>
      </c>
      <c r="C622" s="3">
        <f>Penyusutan!B622</f>
        <v/>
      </c>
      <c r="D622" s="3">
        <f>Penyusutan!C622</f>
        <v/>
      </c>
      <c r="E622" s="3">
        <f>Penyusutan!D622</f>
        <v/>
      </c>
      <c r="F622" s="3" t="inlineStr">
        <is>
          <t>Inventaris Ruangan</t>
        </is>
      </c>
      <c r="G622" s="3" t="inlineStr"/>
      <c r="H622" s="3" t="inlineStr">
        <is>
          <t>Beban Penyusutan Inventaris Ruangan</t>
        </is>
      </c>
      <c r="I622" s="5">
        <f>Penyusutan!M622</f>
        <v/>
      </c>
      <c r="J622" s="3" t="inlineStr"/>
      <c r="K622" s="3" t="inlineStr">
        <is>
          <t>Akumulasi Penyusutan Inventaris Ruangan</t>
        </is>
      </c>
      <c r="L622" s="5">
        <f>Penyusutan!M622</f>
        <v/>
      </c>
      <c r="M622" s="3">
        <f>IF(E622="","","Penyusutan "&amp;E622&amp;" periode "&amp;C622)</f>
        <v/>
      </c>
    </row>
    <row r="623">
      <c r="A623" s="3">
        <f>IF(Penyusutan!D623="","","JRN-"&amp;TEXT(ROW()-1,"0000"))</f>
        <v/>
      </c>
      <c r="B623" s="4" t="n">
        <v>46022</v>
      </c>
      <c r="C623" s="3">
        <f>Penyusutan!B623</f>
        <v/>
      </c>
      <c r="D623" s="3">
        <f>Penyusutan!C623</f>
        <v/>
      </c>
      <c r="E623" s="3">
        <f>Penyusutan!D623</f>
        <v/>
      </c>
      <c r="F623" s="3" t="inlineStr">
        <is>
          <t>Inventaris Ruangan</t>
        </is>
      </c>
      <c r="G623" s="3" t="inlineStr"/>
      <c r="H623" s="3" t="inlineStr">
        <is>
          <t>Beban Penyusutan Inventaris Ruangan</t>
        </is>
      </c>
      <c r="I623" s="5">
        <f>Penyusutan!M623</f>
        <v/>
      </c>
      <c r="J623" s="3" t="inlineStr"/>
      <c r="K623" s="3" t="inlineStr">
        <is>
          <t>Akumulasi Penyusutan Inventaris Ruangan</t>
        </is>
      </c>
      <c r="L623" s="5">
        <f>Penyusutan!M623</f>
        <v/>
      </c>
      <c r="M623" s="3">
        <f>IF(E623="","","Penyusutan "&amp;E623&amp;" periode "&amp;C623)</f>
        <v/>
      </c>
    </row>
    <row r="624">
      <c r="A624" s="3">
        <f>IF(Penyusutan!D624="","","JRN-"&amp;TEXT(ROW()-1,"0000"))</f>
        <v/>
      </c>
      <c r="B624" s="4" t="n">
        <v>46022</v>
      </c>
      <c r="C624" s="3">
        <f>Penyusutan!B624</f>
        <v/>
      </c>
      <c r="D624" s="3">
        <f>Penyusutan!C624</f>
        <v/>
      </c>
      <c r="E624" s="3">
        <f>Penyusutan!D624</f>
        <v/>
      </c>
      <c r="F624" s="3" t="inlineStr">
        <is>
          <t>Inventaris Ruangan</t>
        </is>
      </c>
      <c r="G624" s="3" t="inlineStr"/>
      <c r="H624" s="3" t="inlineStr">
        <is>
          <t>Beban Penyusutan Inventaris Ruangan</t>
        </is>
      </c>
      <c r="I624" s="5">
        <f>Penyusutan!M624</f>
        <v/>
      </c>
      <c r="J624" s="3" t="inlineStr"/>
      <c r="K624" s="3" t="inlineStr">
        <is>
          <t>Akumulasi Penyusutan Inventaris Ruangan</t>
        </is>
      </c>
      <c r="L624" s="5">
        <f>Penyusutan!M624</f>
        <v/>
      </c>
      <c r="M624" s="3">
        <f>IF(E624="","","Penyusutan "&amp;E624&amp;" periode "&amp;C624)</f>
        <v/>
      </c>
    </row>
    <row r="625">
      <c r="A625" s="3">
        <f>IF(Penyusutan!D625="","","JRN-"&amp;TEXT(ROW()-1,"0000"))</f>
        <v/>
      </c>
      <c r="B625" s="4" t="n">
        <v>46022</v>
      </c>
      <c r="C625" s="3">
        <f>Penyusutan!B625</f>
        <v/>
      </c>
      <c r="D625" s="3">
        <f>Penyusutan!C625</f>
        <v/>
      </c>
      <c r="E625" s="3">
        <f>Penyusutan!D625</f>
        <v/>
      </c>
      <c r="F625" s="3" t="inlineStr">
        <is>
          <t>Inventaris Ruangan</t>
        </is>
      </c>
      <c r="G625" s="3" t="inlineStr"/>
      <c r="H625" s="3" t="inlineStr">
        <is>
          <t>Beban Penyusutan Inventaris Ruangan</t>
        </is>
      </c>
      <c r="I625" s="5">
        <f>Penyusutan!M625</f>
        <v/>
      </c>
      <c r="J625" s="3" t="inlineStr"/>
      <c r="K625" s="3" t="inlineStr">
        <is>
          <t>Akumulasi Penyusutan Inventaris Ruangan</t>
        </is>
      </c>
      <c r="L625" s="5">
        <f>Penyusutan!M625</f>
        <v/>
      </c>
      <c r="M625" s="3">
        <f>IF(E625="","","Penyusutan "&amp;E625&amp;" periode "&amp;C625)</f>
        <v/>
      </c>
    </row>
    <row r="626">
      <c r="A626" s="3">
        <f>IF(Penyusutan!D626="","","JRN-"&amp;TEXT(ROW()-1,"0000"))</f>
        <v/>
      </c>
      <c r="B626" s="4" t="n">
        <v>46022</v>
      </c>
      <c r="C626" s="3">
        <f>Penyusutan!B626</f>
        <v/>
      </c>
      <c r="D626" s="3">
        <f>Penyusutan!C626</f>
        <v/>
      </c>
      <c r="E626" s="3">
        <f>Penyusutan!D626</f>
        <v/>
      </c>
      <c r="F626" s="3" t="inlineStr">
        <is>
          <t>Inventaris Ruangan</t>
        </is>
      </c>
      <c r="G626" s="3" t="inlineStr"/>
      <c r="H626" s="3" t="inlineStr">
        <is>
          <t>Beban Penyusutan Inventaris Ruangan</t>
        </is>
      </c>
      <c r="I626" s="5">
        <f>Penyusutan!M626</f>
        <v/>
      </c>
      <c r="J626" s="3" t="inlineStr"/>
      <c r="K626" s="3" t="inlineStr">
        <is>
          <t>Akumulasi Penyusutan Inventaris Ruangan</t>
        </is>
      </c>
      <c r="L626" s="5">
        <f>Penyusutan!M626</f>
        <v/>
      </c>
      <c r="M626" s="3">
        <f>IF(E626="","","Penyusutan "&amp;E626&amp;" periode "&amp;C626)</f>
        <v/>
      </c>
    </row>
    <row r="627">
      <c r="A627" s="3">
        <f>IF(Penyusutan!D627="","","JRN-"&amp;TEXT(ROW()-1,"0000"))</f>
        <v/>
      </c>
      <c r="B627" s="4" t="n">
        <v>46022</v>
      </c>
      <c r="C627" s="3">
        <f>Penyusutan!B627</f>
        <v/>
      </c>
      <c r="D627" s="3">
        <f>Penyusutan!C627</f>
        <v/>
      </c>
      <c r="E627" s="3">
        <f>Penyusutan!D627</f>
        <v/>
      </c>
      <c r="F627" s="3" t="inlineStr">
        <is>
          <t>Inventaris Ruangan</t>
        </is>
      </c>
      <c r="G627" s="3" t="inlineStr"/>
      <c r="H627" s="3" t="inlineStr">
        <is>
          <t>Beban Penyusutan Inventaris Ruangan</t>
        </is>
      </c>
      <c r="I627" s="5">
        <f>Penyusutan!M627</f>
        <v/>
      </c>
      <c r="J627" s="3" t="inlineStr"/>
      <c r="K627" s="3" t="inlineStr">
        <is>
          <t>Akumulasi Penyusutan Inventaris Ruangan</t>
        </is>
      </c>
      <c r="L627" s="5">
        <f>Penyusutan!M627</f>
        <v/>
      </c>
      <c r="M627" s="3">
        <f>IF(E627="","","Penyusutan "&amp;E627&amp;" periode "&amp;C627)</f>
        <v/>
      </c>
    </row>
    <row r="628">
      <c r="A628" s="3">
        <f>IF(Penyusutan!D628="","","JRN-"&amp;TEXT(ROW()-1,"0000"))</f>
        <v/>
      </c>
      <c r="B628" s="4" t="n">
        <v>46022</v>
      </c>
      <c r="C628" s="3">
        <f>Penyusutan!B628</f>
        <v/>
      </c>
      <c r="D628" s="3">
        <f>Penyusutan!C628</f>
        <v/>
      </c>
      <c r="E628" s="3">
        <f>Penyusutan!D628</f>
        <v/>
      </c>
      <c r="F628" s="3" t="inlineStr">
        <is>
          <t>Inventaris Ruangan</t>
        </is>
      </c>
      <c r="G628" s="3" t="inlineStr"/>
      <c r="H628" s="3" t="inlineStr">
        <is>
          <t>Beban Penyusutan Inventaris Ruangan</t>
        </is>
      </c>
      <c r="I628" s="5">
        <f>Penyusutan!M628</f>
        <v/>
      </c>
      <c r="J628" s="3" t="inlineStr"/>
      <c r="K628" s="3" t="inlineStr">
        <is>
          <t>Akumulasi Penyusutan Inventaris Ruangan</t>
        </is>
      </c>
      <c r="L628" s="5">
        <f>Penyusutan!M628</f>
        <v/>
      </c>
      <c r="M628" s="3">
        <f>IF(E628="","","Penyusutan "&amp;E628&amp;" periode "&amp;C628)</f>
        <v/>
      </c>
    </row>
    <row r="629">
      <c r="A629" s="3">
        <f>IF(Penyusutan!D629="","","JRN-"&amp;TEXT(ROW()-1,"0000"))</f>
        <v/>
      </c>
      <c r="B629" s="4" t="n">
        <v>46022</v>
      </c>
      <c r="C629" s="3">
        <f>Penyusutan!B629</f>
        <v/>
      </c>
      <c r="D629" s="3">
        <f>Penyusutan!C629</f>
        <v/>
      </c>
      <c r="E629" s="3">
        <f>Penyusutan!D629</f>
        <v/>
      </c>
      <c r="F629" s="3" t="inlineStr">
        <is>
          <t>Inventaris Ruangan</t>
        </is>
      </c>
      <c r="G629" s="3" t="inlineStr"/>
      <c r="H629" s="3" t="inlineStr">
        <is>
          <t>Beban Penyusutan Inventaris Ruangan</t>
        </is>
      </c>
      <c r="I629" s="5">
        <f>Penyusutan!M629</f>
        <v/>
      </c>
      <c r="J629" s="3" t="inlineStr"/>
      <c r="K629" s="3" t="inlineStr">
        <is>
          <t>Akumulasi Penyusutan Inventaris Ruangan</t>
        </is>
      </c>
      <c r="L629" s="5">
        <f>Penyusutan!M629</f>
        <v/>
      </c>
      <c r="M629" s="3">
        <f>IF(E629="","","Penyusutan "&amp;E629&amp;" periode "&amp;C629)</f>
        <v/>
      </c>
    </row>
    <row r="630">
      <c r="A630" s="3">
        <f>IF(Penyusutan!D630="","","JRN-"&amp;TEXT(ROW()-1,"0000"))</f>
        <v/>
      </c>
      <c r="B630" s="4" t="n">
        <v>46022</v>
      </c>
      <c r="C630" s="3">
        <f>Penyusutan!B630</f>
        <v/>
      </c>
      <c r="D630" s="3">
        <f>Penyusutan!C630</f>
        <v/>
      </c>
      <c r="E630" s="3">
        <f>Penyusutan!D630</f>
        <v/>
      </c>
      <c r="F630" s="3" t="inlineStr">
        <is>
          <t>Inventaris Ruangan</t>
        </is>
      </c>
      <c r="G630" s="3" t="inlineStr"/>
      <c r="H630" s="3" t="inlineStr">
        <is>
          <t>Beban Penyusutan Inventaris Ruangan</t>
        </is>
      </c>
      <c r="I630" s="5">
        <f>Penyusutan!M630</f>
        <v/>
      </c>
      <c r="J630" s="3" t="inlineStr"/>
      <c r="K630" s="3" t="inlineStr">
        <is>
          <t>Akumulasi Penyusutan Inventaris Ruangan</t>
        </is>
      </c>
      <c r="L630" s="5">
        <f>Penyusutan!M630</f>
        <v/>
      </c>
      <c r="M630" s="3">
        <f>IF(E630="","","Penyusutan "&amp;E630&amp;" periode "&amp;C630)</f>
        <v/>
      </c>
    </row>
    <row r="631">
      <c r="A631" s="3">
        <f>IF(Penyusutan!D631="","","JRN-"&amp;TEXT(ROW()-1,"0000"))</f>
        <v/>
      </c>
      <c r="B631" s="4" t="n">
        <v>46022</v>
      </c>
      <c r="C631" s="3">
        <f>Penyusutan!B631</f>
        <v/>
      </c>
      <c r="D631" s="3">
        <f>Penyusutan!C631</f>
        <v/>
      </c>
      <c r="E631" s="3">
        <f>Penyusutan!D631</f>
        <v/>
      </c>
      <c r="F631" s="3" t="inlineStr">
        <is>
          <t>Inventaris Ruangan</t>
        </is>
      </c>
      <c r="G631" s="3" t="inlineStr"/>
      <c r="H631" s="3" t="inlineStr">
        <is>
          <t>Beban Penyusutan Inventaris Ruangan</t>
        </is>
      </c>
      <c r="I631" s="5">
        <f>Penyusutan!M631</f>
        <v/>
      </c>
      <c r="J631" s="3" t="inlineStr"/>
      <c r="K631" s="3" t="inlineStr">
        <is>
          <t>Akumulasi Penyusutan Inventaris Ruangan</t>
        </is>
      </c>
      <c r="L631" s="5">
        <f>Penyusutan!M631</f>
        <v/>
      </c>
      <c r="M631" s="3">
        <f>IF(E631="","","Penyusutan "&amp;E631&amp;" periode "&amp;C631)</f>
        <v/>
      </c>
    </row>
    <row r="632">
      <c r="A632" s="3">
        <f>IF(Penyusutan!D632="","","JRN-"&amp;TEXT(ROW()-1,"0000"))</f>
        <v/>
      </c>
      <c r="B632" s="4" t="n">
        <v>46022</v>
      </c>
      <c r="C632" s="3">
        <f>Penyusutan!B632</f>
        <v/>
      </c>
      <c r="D632" s="3">
        <f>Penyusutan!C632</f>
        <v/>
      </c>
      <c r="E632" s="3">
        <f>Penyusutan!D632</f>
        <v/>
      </c>
      <c r="F632" s="3" t="inlineStr">
        <is>
          <t>Inventaris Ruangan</t>
        </is>
      </c>
      <c r="G632" s="3" t="inlineStr"/>
      <c r="H632" s="3" t="inlineStr">
        <is>
          <t>Beban Penyusutan Inventaris Ruangan</t>
        </is>
      </c>
      <c r="I632" s="5">
        <f>Penyusutan!M632</f>
        <v/>
      </c>
      <c r="J632" s="3" t="inlineStr"/>
      <c r="K632" s="3" t="inlineStr">
        <is>
          <t>Akumulasi Penyusutan Inventaris Ruangan</t>
        </is>
      </c>
      <c r="L632" s="5">
        <f>Penyusutan!M632</f>
        <v/>
      </c>
      <c r="M632" s="3">
        <f>IF(E632="","","Penyusutan "&amp;E632&amp;" periode "&amp;C632)</f>
        <v/>
      </c>
    </row>
    <row r="633">
      <c r="A633" s="3">
        <f>IF(Penyusutan!D633="","","JRN-"&amp;TEXT(ROW()-1,"0000"))</f>
        <v/>
      </c>
      <c r="B633" s="4" t="n">
        <v>46022</v>
      </c>
      <c r="C633" s="3">
        <f>Penyusutan!B633</f>
        <v/>
      </c>
      <c r="D633" s="3">
        <f>Penyusutan!C633</f>
        <v/>
      </c>
      <c r="E633" s="3">
        <f>Penyusutan!D633</f>
        <v/>
      </c>
      <c r="F633" s="3" t="inlineStr">
        <is>
          <t>Inventaris Ruangan</t>
        </is>
      </c>
      <c r="G633" s="3" t="inlineStr"/>
      <c r="H633" s="3" t="inlineStr">
        <is>
          <t>Beban Penyusutan Inventaris Ruangan</t>
        </is>
      </c>
      <c r="I633" s="5">
        <f>Penyusutan!M633</f>
        <v/>
      </c>
      <c r="J633" s="3" t="inlineStr"/>
      <c r="K633" s="3" t="inlineStr">
        <is>
          <t>Akumulasi Penyusutan Inventaris Ruangan</t>
        </is>
      </c>
      <c r="L633" s="5">
        <f>Penyusutan!M633</f>
        <v/>
      </c>
      <c r="M633" s="3">
        <f>IF(E633="","","Penyusutan "&amp;E633&amp;" periode "&amp;C633)</f>
        <v/>
      </c>
    </row>
    <row r="634">
      <c r="A634" s="3">
        <f>IF(Penyusutan!D634="","","JRN-"&amp;TEXT(ROW()-1,"0000"))</f>
        <v/>
      </c>
      <c r="B634" s="4" t="n">
        <v>46022</v>
      </c>
      <c r="C634" s="3">
        <f>Penyusutan!B634</f>
        <v/>
      </c>
      <c r="D634" s="3">
        <f>Penyusutan!C634</f>
        <v/>
      </c>
      <c r="E634" s="3">
        <f>Penyusutan!D634</f>
        <v/>
      </c>
      <c r="F634" s="3" t="inlineStr">
        <is>
          <t>Inventaris Ruangan</t>
        </is>
      </c>
      <c r="G634" s="3" t="inlineStr"/>
      <c r="H634" s="3" t="inlineStr">
        <is>
          <t>Beban Penyusutan Inventaris Ruangan</t>
        </is>
      </c>
      <c r="I634" s="5">
        <f>Penyusutan!M634</f>
        <v/>
      </c>
      <c r="J634" s="3" t="inlineStr"/>
      <c r="K634" s="3" t="inlineStr">
        <is>
          <t>Akumulasi Penyusutan Inventaris Ruangan</t>
        </is>
      </c>
      <c r="L634" s="5">
        <f>Penyusutan!M634</f>
        <v/>
      </c>
      <c r="M634" s="3">
        <f>IF(E634="","","Penyusutan "&amp;E634&amp;" periode "&amp;C634)</f>
        <v/>
      </c>
    </row>
    <row r="635">
      <c r="A635" s="3">
        <f>IF(Penyusutan!D635="","","JRN-"&amp;TEXT(ROW()-1,"0000"))</f>
        <v/>
      </c>
      <c r="B635" s="4" t="n">
        <v>46022</v>
      </c>
      <c r="C635" s="3">
        <f>Penyusutan!B635</f>
        <v/>
      </c>
      <c r="D635" s="3">
        <f>Penyusutan!C635</f>
        <v/>
      </c>
      <c r="E635" s="3">
        <f>Penyusutan!D635</f>
        <v/>
      </c>
      <c r="F635" s="3" t="inlineStr">
        <is>
          <t>Inventaris Ruangan</t>
        </is>
      </c>
      <c r="G635" s="3" t="inlineStr"/>
      <c r="H635" s="3" t="inlineStr">
        <is>
          <t>Beban Penyusutan Inventaris Ruangan</t>
        </is>
      </c>
      <c r="I635" s="5">
        <f>Penyusutan!M635</f>
        <v/>
      </c>
      <c r="J635" s="3" t="inlineStr"/>
      <c r="K635" s="3" t="inlineStr">
        <is>
          <t>Akumulasi Penyusutan Inventaris Ruangan</t>
        </is>
      </c>
      <c r="L635" s="5">
        <f>Penyusutan!M635</f>
        <v/>
      </c>
      <c r="M635" s="3">
        <f>IF(E635="","","Penyusutan "&amp;E635&amp;" periode "&amp;C635)</f>
        <v/>
      </c>
    </row>
    <row r="636">
      <c r="A636" s="3">
        <f>IF(Penyusutan!D636="","","JRN-"&amp;TEXT(ROW()-1,"0000"))</f>
        <v/>
      </c>
      <c r="B636" s="4" t="n">
        <v>46022</v>
      </c>
      <c r="C636" s="3">
        <f>Penyusutan!B636</f>
        <v/>
      </c>
      <c r="D636" s="3">
        <f>Penyusutan!C636</f>
        <v/>
      </c>
      <c r="E636" s="3">
        <f>Penyusutan!D636</f>
        <v/>
      </c>
      <c r="F636" s="3" t="inlineStr">
        <is>
          <t>Inventaris Ruangan</t>
        </is>
      </c>
      <c r="G636" s="3" t="inlineStr"/>
      <c r="H636" s="3" t="inlineStr">
        <is>
          <t>Beban Penyusutan Inventaris Ruangan</t>
        </is>
      </c>
      <c r="I636" s="5">
        <f>Penyusutan!M636</f>
        <v/>
      </c>
      <c r="J636" s="3" t="inlineStr"/>
      <c r="K636" s="3" t="inlineStr">
        <is>
          <t>Akumulasi Penyusutan Inventaris Ruangan</t>
        </is>
      </c>
      <c r="L636" s="5">
        <f>Penyusutan!M636</f>
        <v/>
      </c>
      <c r="M636" s="3">
        <f>IF(E636="","","Penyusutan "&amp;E636&amp;" periode "&amp;C636)</f>
        <v/>
      </c>
    </row>
    <row r="637">
      <c r="A637" s="3">
        <f>IF(Penyusutan!D637="","","JRN-"&amp;TEXT(ROW()-1,"0000"))</f>
        <v/>
      </c>
      <c r="B637" s="4" t="n">
        <v>46022</v>
      </c>
      <c r="C637" s="3">
        <f>Penyusutan!B637</f>
        <v/>
      </c>
      <c r="D637" s="3">
        <f>Penyusutan!C637</f>
        <v/>
      </c>
      <c r="E637" s="3">
        <f>Penyusutan!D637</f>
        <v/>
      </c>
      <c r="F637" s="3" t="inlineStr">
        <is>
          <t>Inventaris Ruangan</t>
        </is>
      </c>
      <c r="G637" s="3" t="inlineStr"/>
      <c r="H637" s="3" t="inlineStr">
        <is>
          <t>Beban Penyusutan Inventaris Ruangan</t>
        </is>
      </c>
      <c r="I637" s="5">
        <f>Penyusutan!M637</f>
        <v/>
      </c>
      <c r="J637" s="3" t="inlineStr"/>
      <c r="K637" s="3" t="inlineStr">
        <is>
          <t>Akumulasi Penyusutan Inventaris Ruangan</t>
        </is>
      </c>
      <c r="L637" s="5">
        <f>Penyusutan!M637</f>
        <v/>
      </c>
      <c r="M637" s="3">
        <f>IF(E637="","","Penyusutan "&amp;E637&amp;" periode "&amp;C637)</f>
        <v/>
      </c>
    </row>
    <row r="638">
      <c r="A638" s="3">
        <f>IF(Penyusutan!D638="","","JRN-"&amp;TEXT(ROW()-1,"0000"))</f>
        <v/>
      </c>
      <c r="B638" s="4" t="n">
        <v>46022</v>
      </c>
      <c r="C638" s="3">
        <f>Penyusutan!B638</f>
        <v/>
      </c>
      <c r="D638" s="3">
        <f>Penyusutan!C638</f>
        <v/>
      </c>
      <c r="E638" s="3">
        <f>Penyusutan!D638</f>
        <v/>
      </c>
      <c r="F638" s="3" t="inlineStr">
        <is>
          <t>Inventaris Ruangan</t>
        </is>
      </c>
      <c r="G638" s="3" t="inlineStr"/>
      <c r="H638" s="3" t="inlineStr">
        <is>
          <t>Beban Penyusutan Inventaris Ruangan</t>
        </is>
      </c>
      <c r="I638" s="5">
        <f>Penyusutan!M638</f>
        <v/>
      </c>
      <c r="J638" s="3" t="inlineStr"/>
      <c r="K638" s="3" t="inlineStr">
        <is>
          <t>Akumulasi Penyusutan Inventaris Ruangan</t>
        </is>
      </c>
      <c r="L638" s="5">
        <f>Penyusutan!M638</f>
        <v/>
      </c>
      <c r="M638" s="3">
        <f>IF(E638="","","Penyusutan "&amp;E638&amp;" periode "&amp;C638)</f>
        <v/>
      </c>
    </row>
    <row r="639">
      <c r="A639" s="3">
        <f>IF(Penyusutan!D639="","","JRN-"&amp;TEXT(ROW()-1,"0000"))</f>
        <v/>
      </c>
      <c r="B639" s="4" t="n">
        <v>46022</v>
      </c>
      <c r="C639" s="3">
        <f>Penyusutan!B639</f>
        <v/>
      </c>
      <c r="D639" s="3">
        <f>Penyusutan!C639</f>
        <v/>
      </c>
      <c r="E639" s="3">
        <f>Penyusutan!D639</f>
        <v/>
      </c>
      <c r="F639" s="3" t="inlineStr">
        <is>
          <t>Inventaris Ruangan</t>
        </is>
      </c>
      <c r="G639" s="3" t="inlineStr"/>
      <c r="H639" s="3" t="inlineStr">
        <is>
          <t>Beban Penyusutan Inventaris Ruangan</t>
        </is>
      </c>
      <c r="I639" s="5">
        <f>Penyusutan!M639</f>
        <v/>
      </c>
      <c r="J639" s="3" t="inlineStr"/>
      <c r="K639" s="3" t="inlineStr">
        <is>
          <t>Akumulasi Penyusutan Inventaris Ruangan</t>
        </is>
      </c>
      <c r="L639" s="5">
        <f>Penyusutan!M639</f>
        <v/>
      </c>
      <c r="M639" s="3">
        <f>IF(E639="","","Penyusutan "&amp;E639&amp;" periode "&amp;C639)</f>
        <v/>
      </c>
    </row>
    <row r="640">
      <c r="A640" s="3">
        <f>IF(Penyusutan!D640="","","JRN-"&amp;TEXT(ROW()-1,"0000"))</f>
        <v/>
      </c>
      <c r="B640" s="4" t="n">
        <v>46022</v>
      </c>
      <c r="C640" s="3">
        <f>Penyusutan!B640</f>
        <v/>
      </c>
      <c r="D640" s="3">
        <f>Penyusutan!C640</f>
        <v/>
      </c>
      <c r="E640" s="3">
        <f>Penyusutan!D640</f>
        <v/>
      </c>
      <c r="F640" s="3" t="inlineStr">
        <is>
          <t>Inventaris Ruangan</t>
        </is>
      </c>
      <c r="G640" s="3" t="inlineStr"/>
      <c r="H640" s="3" t="inlineStr">
        <is>
          <t>Beban Penyusutan Inventaris Ruangan</t>
        </is>
      </c>
      <c r="I640" s="5">
        <f>Penyusutan!M640</f>
        <v/>
      </c>
      <c r="J640" s="3" t="inlineStr"/>
      <c r="K640" s="3" t="inlineStr">
        <is>
          <t>Akumulasi Penyusutan Inventaris Ruangan</t>
        </is>
      </c>
      <c r="L640" s="5">
        <f>Penyusutan!M640</f>
        <v/>
      </c>
      <c r="M640" s="3">
        <f>IF(E640="","","Penyusutan "&amp;E640&amp;" periode "&amp;C640)</f>
        <v/>
      </c>
    </row>
    <row r="641">
      <c r="A641" s="3">
        <f>IF(Penyusutan!D641="","","JRN-"&amp;TEXT(ROW()-1,"0000"))</f>
        <v/>
      </c>
      <c r="B641" s="4" t="n">
        <v>46022</v>
      </c>
      <c r="C641" s="3">
        <f>Penyusutan!B641</f>
        <v/>
      </c>
      <c r="D641" s="3">
        <f>Penyusutan!C641</f>
        <v/>
      </c>
      <c r="E641" s="3">
        <f>Penyusutan!D641</f>
        <v/>
      </c>
      <c r="F641" s="3" t="inlineStr">
        <is>
          <t>Inventaris Ruangan</t>
        </is>
      </c>
      <c r="G641" s="3" t="inlineStr"/>
      <c r="H641" s="3" t="inlineStr">
        <is>
          <t>Beban Penyusutan Inventaris Ruangan</t>
        </is>
      </c>
      <c r="I641" s="5">
        <f>Penyusutan!M641</f>
        <v/>
      </c>
      <c r="J641" s="3" t="inlineStr"/>
      <c r="K641" s="3" t="inlineStr">
        <is>
          <t>Akumulasi Penyusutan Inventaris Ruangan</t>
        </is>
      </c>
      <c r="L641" s="5">
        <f>Penyusutan!M641</f>
        <v/>
      </c>
      <c r="M641" s="3">
        <f>IF(E641="","","Penyusutan "&amp;E641&amp;" periode "&amp;C641)</f>
        <v/>
      </c>
    </row>
    <row r="642">
      <c r="A642" s="3">
        <f>IF(Penyusutan!D642="","","JRN-"&amp;TEXT(ROW()-1,"0000"))</f>
        <v/>
      </c>
      <c r="B642" s="4" t="n">
        <v>46022</v>
      </c>
      <c r="C642" s="3">
        <f>Penyusutan!B642</f>
        <v/>
      </c>
      <c r="D642" s="3">
        <f>Penyusutan!C642</f>
        <v/>
      </c>
      <c r="E642" s="3">
        <f>Penyusutan!D642</f>
        <v/>
      </c>
      <c r="F642" s="3" t="inlineStr">
        <is>
          <t>Inventaris Ruangan</t>
        </is>
      </c>
      <c r="G642" s="3" t="inlineStr"/>
      <c r="H642" s="3" t="inlineStr">
        <is>
          <t>Beban Penyusutan Inventaris Ruangan</t>
        </is>
      </c>
      <c r="I642" s="5">
        <f>Penyusutan!M642</f>
        <v/>
      </c>
      <c r="J642" s="3" t="inlineStr"/>
      <c r="K642" s="3" t="inlineStr">
        <is>
          <t>Akumulasi Penyusutan Inventaris Ruangan</t>
        </is>
      </c>
      <c r="L642" s="5">
        <f>Penyusutan!M642</f>
        <v/>
      </c>
      <c r="M642" s="3">
        <f>IF(E642="","","Penyusutan "&amp;E642&amp;" periode "&amp;C642)</f>
        <v/>
      </c>
    </row>
    <row r="643">
      <c r="A643" s="3">
        <f>IF(Penyusutan!D643="","","JRN-"&amp;TEXT(ROW()-1,"0000"))</f>
        <v/>
      </c>
      <c r="B643" s="4" t="n">
        <v>46022</v>
      </c>
      <c r="C643" s="3">
        <f>Penyusutan!B643</f>
        <v/>
      </c>
      <c r="D643" s="3">
        <f>Penyusutan!C643</f>
        <v/>
      </c>
      <c r="E643" s="3">
        <f>Penyusutan!D643</f>
        <v/>
      </c>
      <c r="F643" s="3" t="inlineStr">
        <is>
          <t>Inventaris Ruangan</t>
        </is>
      </c>
      <c r="G643" s="3" t="inlineStr"/>
      <c r="H643" s="3" t="inlineStr">
        <is>
          <t>Beban Penyusutan Inventaris Ruangan</t>
        </is>
      </c>
      <c r="I643" s="5">
        <f>Penyusutan!M643</f>
        <v/>
      </c>
      <c r="J643" s="3" t="inlineStr"/>
      <c r="K643" s="3" t="inlineStr">
        <is>
          <t>Akumulasi Penyusutan Inventaris Ruangan</t>
        </is>
      </c>
      <c r="L643" s="5">
        <f>Penyusutan!M643</f>
        <v/>
      </c>
      <c r="M643" s="3">
        <f>IF(E643="","","Penyusutan "&amp;E643&amp;" periode "&amp;C643)</f>
        <v/>
      </c>
    </row>
    <row r="644">
      <c r="A644" s="3">
        <f>IF(Penyusutan!D644="","","JRN-"&amp;TEXT(ROW()-1,"0000"))</f>
        <v/>
      </c>
      <c r="B644" s="4" t="n">
        <v>46022</v>
      </c>
      <c r="C644" s="3">
        <f>Penyusutan!B644</f>
        <v/>
      </c>
      <c r="D644" s="3">
        <f>Penyusutan!C644</f>
        <v/>
      </c>
      <c r="E644" s="3">
        <f>Penyusutan!D644</f>
        <v/>
      </c>
      <c r="F644" s="3" t="inlineStr">
        <is>
          <t>Inventaris Ruangan</t>
        </is>
      </c>
      <c r="G644" s="3" t="inlineStr"/>
      <c r="H644" s="3" t="inlineStr">
        <is>
          <t>Beban Penyusutan Inventaris Ruangan</t>
        </is>
      </c>
      <c r="I644" s="5">
        <f>Penyusutan!M644</f>
        <v/>
      </c>
      <c r="J644" s="3" t="inlineStr"/>
      <c r="K644" s="3" t="inlineStr">
        <is>
          <t>Akumulasi Penyusutan Inventaris Ruangan</t>
        </is>
      </c>
      <c r="L644" s="5">
        <f>Penyusutan!M644</f>
        <v/>
      </c>
      <c r="M644" s="3">
        <f>IF(E644="","","Penyusutan "&amp;E644&amp;" periode "&amp;C644)</f>
        <v/>
      </c>
    </row>
    <row r="645">
      <c r="A645" s="3">
        <f>IF(Penyusutan!D645="","","JRN-"&amp;TEXT(ROW()-1,"0000"))</f>
        <v/>
      </c>
      <c r="B645" s="4" t="n">
        <v>46022</v>
      </c>
      <c r="C645" s="3">
        <f>Penyusutan!B645</f>
        <v/>
      </c>
      <c r="D645" s="3">
        <f>Penyusutan!C645</f>
        <v/>
      </c>
      <c r="E645" s="3">
        <f>Penyusutan!D645</f>
        <v/>
      </c>
      <c r="F645" s="3" t="inlineStr">
        <is>
          <t>Inventaris Ruangan</t>
        </is>
      </c>
      <c r="G645" s="3" t="inlineStr"/>
      <c r="H645" s="3" t="inlineStr">
        <is>
          <t>Beban Penyusutan Inventaris Ruangan</t>
        </is>
      </c>
      <c r="I645" s="5">
        <f>Penyusutan!M645</f>
        <v/>
      </c>
      <c r="J645" s="3" t="inlineStr"/>
      <c r="K645" s="3" t="inlineStr">
        <is>
          <t>Akumulasi Penyusutan Inventaris Ruangan</t>
        </is>
      </c>
      <c r="L645" s="5">
        <f>Penyusutan!M645</f>
        <v/>
      </c>
      <c r="M645" s="3">
        <f>IF(E645="","","Penyusutan "&amp;E645&amp;" periode "&amp;C645)</f>
        <v/>
      </c>
    </row>
    <row r="646">
      <c r="A646" s="3">
        <f>IF(Penyusutan!D646="","","JRN-"&amp;TEXT(ROW()-1,"0000"))</f>
        <v/>
      </c>
      <c r="B646" s="4" t="n">
        <v>46022</v>
      </c>
      <c r="C646" s="3">
        <f>Penyusutan!B646</f>
        <v/>
      </c>
      <c r="D646" s="3">
        <f>Penyusutan!C646</f>
        <v/>
      </c>
      <c r="E646" s="3">
        <f>Penyusutan!D646</f>
        <v/>
      </c>
      <c r="F646" s="3" t="inlineStr">
        <is>
          <t>Inventaris Ruangan</t>
        </is>
      </c>
      <c r="G646" s="3" t="inlineStr"/>
      <c r="H646" s="3" t="inlineStr">
        <is>
          <t>Beban Penyusutan Inventaris Ruangan</t>
        </is>
      </c>
      <c r="I646" s="5">
        <f>Penyusutan!M646</f>
        <v/>
      </c>
      <c r="J646" s="3" t="inlineStr"/>
      <c r="K646" s="3" t="inlineStr">
        <is>
          <t>Akumulasi Penyusutan Inventaris Ruangan</t>
        </is>
      </c>
      <c r="L646" s="5">
        <f>Penyusutan!M646</f>
        <v/>
      </c>
      <c r="M646" s="3">
        <f>IF(E646="","","Penyusutan "&amp;E646&amp;" periode "&amp;C646)</f>
        <v/>
      </c>
    </row>
    <row r="647">
      <c r="A647" s="3">
        <f>IF(Penyusutan!D647="","","JRN-"&amp;TEXT(ROW()-1,"0000"))</f>
        <v/>
      </c>
      <c r="B647" s="4" t="n">
        <v>46022</v>
      </c>
      <c r="C647" s="3">
        <f>Penyusutan!B647</f>
        <v/>
      </c>
      <c r="D647" s="3">
        <f>Penyusutan!C647</f>
        <v/>
      </c>
      <c r="E647" s="3">
        <f>Penyusutan!D647</f>
        <v/>
      </c>
      <c r="F647" s="3" t="inlineStr">
        <is>
          <t>Inventaris Ruangan</t>
        </is>
      </c>
      <c r="G647" s="3" t="inlineStr"/>
      <c r="H647" s="3" t="inlineStr">
        <is>
          <t>Beban Penyusutan Inventaris Ruangan</t>
        </is>
      </c>
      <c r="I647" s="5">
        <f>Penyusutan!M647</f>
        <v/>
      </c>
      <c r="J647" s="3" t="inlineStr"/>
      <c r="K647" s="3" t="inlineStr">
        <is>
          <t>Akumulasi Penyusutan Inventaris Ruangan</t>
        </is>
      </c>
      <c r="L647" s="5">
        <f>Penyusutan!M647</f>
        <v/>
      </c>
      <c r="M647" s="3">
        <f>IF(E647="","","Penyusutan "&amp;E647&amp;" periode "&amp;C647)</f>
        <v/>
      </c>
    </row>
    <row r="648">
      <c r="A648" s="3">
        <f>IF(Penyusutan!D648="","","JRN-"&amp;TEXT(ROW()-1,"0000"))</f>
        <v/>
      </c>
      <c r="B648" s="4" t="n">
        <v>46022</v>
      </c>
      <c r="C648" s="3">
        <f>Penyusutan!B648</f>
        <v/>
      </c>
      <c r="D648" s="3">
        <f>Penyusutan!C648</f>
        <v/>
      </c>
      <c r="E648" s="3">
        <f>Penyusutan!D648</f>
        <v/>
      </c>
      <c r="F648" s="3" t="inlineStr">
        <is>
          <t>Inventaris Ruangan</t>
        </is>
      </c>
      <c r="G648" s="3" t="inlineStr"/>
      <c r="H648" s="3" t="inlineStr">
        <is>
          <t>Beban Penyusutan Inventaris Ruangan</t>
        </is>
      </c>
      <c r="I648" s="5">
        <f>Penyusutan!M648</f>
        <v/>
      </c>
      <c r="J648" s="3" t="inlineStr"/>
      <c r="K648" s="3" t="inlineStr">
        <is>
          <t>Akumulasi Penyusutan Inventaris Ruangan</t>
        </is>
      </c>
      <c r="L648" s="5">
        <f>Penyusutan!M648</f>
        <v/>
      </c>
      <c r="M648" s="3">
        <f>IF(E648="","","Penyusutan "&amp;E648&amp;" periode "&amp;C648)</f>
        <v/>
      </c>
    </row>
    <row r="649">
      <c r="A649" s="3">
        <f>IF(Penyusutan!D649="","","JRN-"&amp;TEXT(ROW()-1,"0000"))</f>
        <v/>
      </c>
      <c r="B649" s="4" t="n">
        <v>46022</v>
      </c>
      <c r="C649" s="3">
        <f>Penyusutan!B649</f>
        <v/>
      </c>
      <c r="D649" s="3">
        <f>Penyusutan!C649</f>
        <v/>
      </c>
      <c r="E649" s="3">
        <f>Penyusutan!D649</f>
        <v/>
      </c>
      <c r="F649" s="3" t="inlineStr">
        <is>
          <t>Inventaris Ruangan</t>
        </is>
      </c>
      <c r="G649" s="3" t="inlineStr"/>
      <c r="H649" s="3" t="inlineStr">
        <is>
          <t>Beban Penyusutan Inventaris Ruangan</t>
        </is>
      </c>
      <c r="I649" s="5">
        <f>Penyusutan!M649</f>
        <v/>
      </c>
      <c r="J649" s="3" t="inlineStr"/>
      <c r="K649" s="3" t="inlineStr">
        <is>
          <t>Akumulasi Penyusutan Inventaris Ruangan</t>
        </is>
      </c>
      <c r="L649" s="5">
        <f>Penyusutan!M649</f>
        <v/>
      </c>
      <c r="M649" s="3">
        <f>IF(E649="","","Penyusutan "&amp;E649&amp;" periode "&amp;C649)</f>
        <v/>
      </c>
    </row>
    <row r="650">
      <c r="A650" s="3">
        <f>IF(Penyusutan!D650="","","JRN-"&amp;TEXT(ROW()-1,"0000"))</f>
        <v/>
      </c>
      <c r="B650" s="4" t="n">
        <v>46022</v>
      </c>
      <c r="C650" s="3">
        <f>Penyusutan!B650</f>
        <v/>
      </c>
      <c r="D650" s="3">
        <f>Penyusutan!C650</f>
        <v/>
      </c>
      <c r="E650" s="3">
        <f>Penyusutan!D650</f>
        <v/>
      </c>
      <c r="F650" s="3" t="inlineStr">
        <is>
          <t>Inventaris Ruangan</t>
        </is>
      </c>
      <c r="G650" s="3" t="inlineStr"/>
      <c r="H650" s="3" t="inlineStr">
        <is>
          <t>Beban Penyusutan Inventaris Ruangan</t>
        </is>
      </c>
      <c r="I650" s="5">
        <f>Penyusutan!M650</f>
        <v/>
      </c>
      <c r="J650" s="3" t="inlineStr"/>
      <c r="K650" s="3" t="inlineStr">
        <is>
          <t>Akumulasi Penyusutan Inventaris Ruangan</t>
        </is>
      </c>
      <c r="L650" s="5">
        <f>Penyusutan!M650</f>
        <v/>
      </c>
      <c r="M650" s="3">
        <f>IF(E650="","","Penyusutan "&amp;E650&amp;" periode "&amp;C650)</f>
        <v/>
      </c>
    </row>
    <row r="651">
      <c r="A651" s="3">
        <f>IF(Penyusutan!D651="","","JRN-"&amp;TEXT(ROW()-1,"0000"))</f>
        <v/>
      </c>
      <c r="B651" s="4" t="n">
        <v>46022</v>
      </c>
      <c r="C651" s="3">
        <f>Penyusutan!B651</f>
        <v/>
      </c>
      <c r="D651" s="3">
        <f>Penyusutan!C651</f>
        <v/>
      </c>
      <c r="E651" s="3">
        <f>Penyusutan!D651</f>
        <v/>
      </c>
      <c r="F651" s="3" t="inlineStr">
        <is>
          <t>Inventaris Ruangan</t>
        </is>
      </c>
      <c r="G651" s="3" t="inlineStr"/>
      <c r="H651" s="3" t="inlineStr">
        <is>
          <t>Beban Penyusutan Inventaris Ruangan</t>
        </is>
      </c>
      <c r="I651" s="5">
        <f>Penyusutan!M651</f>
        <v/>
      </c>
      <c r="J651" s="3" t="inlineStr"/>
      <c r="K651" s="3" t="inlineStr">
        <is>
          <t>Akumulasi Penyusutan Inventaris Ruangan</t>
        </is>
      </c>
      <c r="L651" s="5">
        <f>Penyusutan!M651</f>
        <v/>
      </c>
      <c r="M651" s="3">
        <f>IF(E651="","","Penyusutan "&amp;E651&amp;" periode "&amp;C651)</f>
        <v/>
      </c>
    </row>
    <row r="652">
      <c r="A652" s="3">
        <f>IF(Penyusutan!D652="","","JRN-"&amp;TEXT(ROW()-1,"0000"))</f>
        <v/>
      </c>
      <c r="B652" s="4" t="n">
        <v>46022</v>
      </c>
      <c r="C652" s="3">
        <f>Penyusutan!B652</f>
        <v/>
      </c>
      <c r="D652" s="3">
        <f>Penyusutan!C652</f>
        <v/>
      </c>
      <c r="E652" s="3">
        <f>Penyusutan!D652</f>
        <v/>
      </c>
      <c r="F652" s="3" t="inlineStr">
        <is>
          <t>Inventaris Ruangan</t>
        </is>
      </c>
      <c r="G652" s="3" t="inlineStr"/>
      <c r="H652" s="3" t="inlineStr">
        <is>
          <t>Beban Penyusutan Inventaris Ruangan</t>
        </is>
      </c>
      <c r="I652" s="5">
        <f>Penyusutan!M652</f>
        <v/>
      </c>
      <c r="J652" s="3" t="inlineStr"/>
      <c r="K652" s="3" t="inlineStr">
        <is>
          <t>Akumulasi Penyusutan Inventaris Ruangan</t>
        </is>
      </c>
      <c r="L652" s="5">
        <f>Penyusutan!M652</f>
        <v/>
      </c>
      <c r="M652" s="3">
        <f>IF(E652="","","Penyusutan "&amp;E652&amp;" periode "&amp;C652)</f>
        <v/>
      </c>
    </row>
    <row r="653">
      <c r="A653" s="3">
        <f>IF(Penyusutan!D653="","","JRN-"&amp;TEXT(ROW()-1,"0000"))</f>
        <v/>
      </c>
      <c r="B653" s="4" t="n">
        <v>46022</v>
      </c>
      <c r="C653" s="3">
        <f>Penyusutan!B653</f>
        <v/>
      </c>
      <c r="D653" s="3">
        <f>Penyusutan!C653</f>
        <v/>
      </c>
      <c r="E653" s="3">
        <f>Penyusutan!D653</f>
        <v/>
      </c>
      <c r="F653" s="3" t="inlineStr">
        <is>
          <t>Inventaris Ruangan</t>
        </is>
      </c>
      <c r="G653" s="3" t="inlineStr"/>
      <c r="H653" s="3" t="inlineStr">
        <is>
          <t>Beban Penyusutan Inventaris Ruangan</t>
        </is>
      </c>
      <c r="I653" s="5">
        <f>Penyusutan!M653</f>
        <v/>
      </c>
      <c r="J653" s="3" t="inlineStr"/>
      <c r="K653" s="3" t="inlineStr">
        <is>
          <t>Akumulasi Penyusutan Inventaris Ruangan</t>
        </is>
      </c>
      <c r="L653" s="5">
        <f>Penyusutan!M653</f>
        <v/>
      </c>
      <c r="M653" s="3">
        <f>IF(E653="","","Penyusutan "&amp;E653&amp;" periode "&amp;C653)</f>
        <v/>
      </c>
    </row>
    <row r="654">
      <c r="A654" s="3">
        <f>IF(Penyusutan!D654="","","JRN-"&amp;TEXT(ROW()-1,"0000"))</f>
        <v/>
      </c>
      <c r="B654" s="4" t="n">
        <v>46022</v>
      </c>
      <c r="C654" s="3">
        <f>Penyusutan!B654</f>
        <v/>
      </c>
      <c r="D654" s="3">
        <f>Penyusutan!C654</f>
        <v/>
      </c>
      <c r="E654" s="3">
        <f>Penyusutan!D654</f>
        <v/>
      </c>
      <c r="F654" s="3" t="inlineStr">
        <is>
          <t>Inventaris Ruangan</t>
        </is>
      </c>
      <c r="G654" s="3" t="inlineStr"/>
      <c r="H654" s="3" t="inlineStr">
        <is>
          <t>Beban Penyusutan Inventaris Ruangan</t>
        </is>
      </c>
      <c r="I654" s="5">
        <f>Penyusutan!M654</f>
        <v/>
      </c>
      <c r="J654" s="3" t="inlineStr"/>
      <c r="K654" s="3" t="inlineStr">
        <is>
          <t>Akumulasi Penyusutan Inventaris Ruangan</t>
        </is>
      </c>
      <c r="L654" s="5">
        <f>Penyusutan!M654</f>
        <v/>
      </c>
      <c r="M654" s="3">
        <f>IF(E654="","","Penyusutan "&amp;E654&amp;" periode "&amp;C654)</f>
        <v/>
      </c>
    </row>
    <row r="655">
      <c r="A655" s="3">
        <f>IF(Penyusutan!D655="","","JRN-"&amp;TEXT(ROW()-1,"0000"))</f>
        <v/>
      </c>
      <c r="B655" s="4" t="n">
        <v>46022</v>
      </c>
      <c r="C655" s="3">
        <f>Penyusutan!B655</f>
        <v/>
      </c>
      <c r="D655" s="3">
        <f>Penyusutan!C655</f>
        <v/>
      </c>
      <c r="E655" s="3">
        <f>Penyusutan!D655</f>
        <v/>
      </c>
      <c r="F655" s="3" t="inlineStr">
        <is>
          <t>Inventaris Ruangan</t>
        </is>
      </c>
      <c r="G655" s="3" t="inlineStr"/>
      <c r="H655" s="3" t="inlineStr">
        <is>
          <t>Beban Penyusutan Inventaris Ruangan</t>
        </is>
      </c>
      <c r="I655" s="5">
        <f>Penyusutan!M655</f>
        <v/>
      </c>
      <c r="J655" s="3" t="inlineStr"/>
      <c r="K655" s="3" t="inlineStr">
        <is>
          <t>Akumulasi Penyusutan Inventaris Ruangan</t>
        </is>
      </c>
      <c r="L655" s="5">
        <f>Penyusutan!M655</f>
        <v/>
      </c>
      <c r="M655" s="3">
        <f>IF(E655="","","Penyusutan "&amp;E655&amp;" periode "&amp;C655)</f>
        <v/>
      </c>
    </row>
    <row r="656">
      <c r="A656" s="3">
        <f>IF(Penyusutan!D656="","","JRN-"&amp;TEXT(ROW()-1,"0000"))</f>
        <v/>
      </c>
      <c r="B656" s="4" t="n">
        <v>46022</v>
      </c>
      <c r="C656" s="3">
        <f>Penyusutan!B656</f>
        <v/>
      </c>
      <c r="D656" s="3">
        <f>Penyusutan!C656</f>
        <v/>
      </c>
      <c r="E656" s="3">
        <f>Penyusutan!D656</f>
        <v/>
      </c>
      <c r="F656" s="3" t="inlineStr">
        <is>
          <t>Inventaris Ruangan</t>
        </is>
      </c>
      <c r="G656" s="3" t="inlineStr"/>
      <c r="H656" s="3" t="inlineStr">
        <is>
          <t>Beban Penyusutan Inventaris Ruangan</t>
        </is>
      </c>
      <c r="I656" s="5">
        <f>Penyusutan!M656</f>
        <v/>
      </c>
      <c r="J656" s="3" t="inlineStr"/>
      <c r="K656" s="3" t="inlineStr">
        <is>
          <t>Akumulasi Penyusutan Inventaris Ruangan</t>
        </is>
      </c>
      <c r="L656" s="5">
        <f>Penyusutan!M656</f>
        <v/>
      </c>
      <c r="M656" s="3">
        <f>IF(E656="","","Penyusutan "&amp;E656&amp;" periode "&amp;C656)</f>
        <v/>
      </c>
    </row>
    <row r="657">
      <c r="A657" s="3">
        <f>IF(Penyusutan!D657="","","JRN-"&amp;TEXT(ROW()-1,"0000"))</f>
        <v/>
      </c>
      <c r="B657" s="4" t="n">
        <v>46022</v>
      </c>
      <c r="C657" s="3">
        <f>Penyusutan!B657</f>
        <v/>
      </c>
      <c r="D657" s="3">
        <f>Penyusutan!C657</f>
        <v/>
      </c>
      <c r="E657" s="3">
        <f>Penyusutan!D657</f>
        <v/>
      </c>
      <c r="F657" s="3" t="inlineStr">
        <is>
          <t>Inventaris Ruangan</t>
        </is>
      </c>
      <c r="G657" s="3" t="inlineStr"/>
      <c r="H657" s="3" t="inlineStr">
        <is>
          <t>Beban Penyusutan Inventaris Ruangan</t>
        </is>
      </c>
      <c r="I657" s="5">
        <f>Penyusutan!M657</f>
        <v/>
      </c>
      <c r="J657" s="3" t="inlineStr"/>
      <c r="K657" s="3" t="inlineStr">
        <is>
          <t>Akumulasi Penyusutan Inventaris Ruangan</t>
        </is>
      </c>
      <c r="L657" s="5">
        <f>Penyusutan!M657</f>
        <v/>
      </c>
      <c r="M657" s="3">
        <f>IF(E657="","","Penyusutan "&amp;E657&amp;" periode "&amp;C657)</f>
        <v/>
      </c>
    </row>
    <row r="658">
      <c r="A658" s="3">
        <f>IF(Penyusutan!D658="","","JRN-"&amp;TEXT(ROW()-1,"0000"))</f>
        <v/>
      </c>
      <c r="B658" s="4" t="n">
        <v>46022</v>
      </c>
      <c r="C658" s="3">
        <f>Penyusutan!B658</f>
        <v/>
      </c>
      <c r="D658" s="3">
        <f>Penyusutan!C658</f>
        <v/>
      </c>
      <c r="E658" s="3">
        <f>Penyusutan!D658</f>
        <v/>
      </c>
      <c r="F658" s="3" t="inlineStr">
        <is>
          <t>Inventaris Ruangan</t>
        </is>
      </c>
      <c r="G658" s="3" t="inlineStr"/>
      <c r="H658" s="3" t="inlineStr">
        <is>
          <t>Beban Penyusutan Inventaris Ruangan</t>
        </is>
      </c>
      <c r="I658" s="5">
        <f>Penyusutan!M658</f>
        <v/>
      </c>
      <c r="J658" s="3" t="inlineStr"/>
      <c r="K658" s="3" t="inlineStr">
        <is>
          <t>Akumulasi Penyusutan Inventaris Ruangan</t>
        </is>
      </c>
      <c r="L658" s="5">
        <f>Penyusutan!M658</f>
        <v/>
      </c>
      <c r="M658" s="3">
        <f>IF(E658="","","Penyusutan "&amp;E658&amp;" periode "&amp;C658)</f>
        <v/>
      </c>
    </row>
    <row r="659">
      <c r="A659" s="3">
        <f>IF(Penyusutan!D659="","","JRN-"&amp;TEXT(ROW()-1,"0000"))</f>
        <v/>
      </c>
      <c r="B659" s="4" t="n">
        <v>46022</v>
      </c>
      <c r="C659" s="3">
        <f>Penyusutan!B659</f>
        <v/>
      </c>
      <c r="D659" s="3">
        <f>Penyusutan!C659</f>
        <v/>
      </c>
      <c r="E659" s="3">
        <f>Penyusutan!D659</f>
        <v/>
      </c>
      <c r="F659" s="3" t="inlineStr">
        <is>
          <t>Inventaris Ruangan</t>
        </is>
      </c>
      <c r="G659" s="3" t="inlineStr"/>
      <c r="H659" s="3" t="inlineStr">
        <is>
          <t>Beban Penyusutan Inventaris Ruangan</t>
        </is>
      </c>
      <c r="I659" s="5">
        <f>Penyusutan!M659</f>
        <v/>
      </c>
      <c r="J659" s="3" t="inlineStr"/>
      <c r="K659" s="3" t="inlineStr">
        <is>
          <t>Akumulasi Penyusutan Inventaris Ruangan</t>
        </is>
      </c>
      <c r="L659" s="5">
        <f>Penyusutan!M659</f>
        <v/>
      </c>
      <c r="M659" s="3">
        <f>IF(E659="","","Penyusutan "&amp;E659&amp;" periode "&amp;C659)</f>
        <v/>
      </c>
    </row>
    <row r="660">
      <c r="A660" s="3">
        <f>IF(Penyusutan!D660="","","JRN-"&amp;TEXT(ROW()-1,"0000"))</f>
        <v/>
      </c>
      <c r="B660" s="4" t="n">
        <v>46022</v>
      </c>
      <c r="C660" s="3">
        <f>Penyusutan!B660</f>
        <v/>
      </c>
      <c r="D660" s="3">
        <f>Penyusutan!C660</f>
        <v/>
      </c>
      <c r="E660" s="3">
        <f>Penyusutan!D660</f>
        <v/>
      </c>
      <c r="F660" s="3" t="inlineStr">
        <is>
          <t>Inventaris Ruangan</t>
        </is>
      </c>
      <c r="G660" s="3" t="inlineStr"/>
      <c r="H660" s="3" t="inlineStr">
        <is>
          <t>Beban Penyusutan Inventaris Ruangan</t>
        </is>
      </c>
      <c r="I660" s="5">
        <f>Penyusutan!M660</f>
        <v/>
      </c>
      <c r="J660" s="3" t="inlineStr"/>
      <c r="K660" s="3" t="inlineStr">
        <is>
          <t>Akumulasi Penyusutan Inventaris Ruangan</t>
        </is>
      </c>
      <c r="L660" s="5">
        <f>Penyusutan!M660</f>
        <v/>
      </c>
      <c r="M660" s="3">
        <f>IF(E660="","","Penyusutan "&amp;E660&amp;" periode "&amp;C660)</f>
        <v/>
      </c>
    </row>
    <row r="661">
      <c r="A661" s="3">
        <f>IF(Penyusutan!D661="","","JRN-"&amp;TEXT(ROW()-1,"0000"))</f>
        <v/>
      </c>
      <c r="B661" s="4" t="n">
        <v>46022</v>
      </c>
      <c r="C661" s="3">
        <f>Penyusutan!B661</f>
        <v/>
      </c>
      <c r="D661" s="3">
        <f>Penyusutan!C661</f>
        <v/>
      </c>
      <c r="E661" s="3">
        <f>Penyusutan!D661</f>
        <v/>
      </c>
      <c r="F661" s="3" t="inlineStr">
        <is>
          <t>Inventaris Ruangan</t>
        </is>
      </c>
      <c r="G661" s="3" t="inlineStr"/>
      <c r="H661" s="3" t="inlineStr">
        <is>
          <t>Beban Penyusutan Inventaris Ruangan</t>
        </is>
      </c>
      <c r="I661" s="5">
        <f>Penyusutan!M661</f>
        <v/>
      </c>
      <c r="J661" s="3" t="inlineStr"/>
      <c r="K661" s="3" t="inlineStr">
        <is>
          <t>Akumulasi Penyusutan Inventaris Ruangan</t>
        </is>
      </c>
      <c r="L661" s="5">
        <f>Penyusutan!M661</f>
        <v/>
      </c>
      <c r="M661" s="3">
        <f>IF(E661="","","Penyusutan "&amp;E661&amp;" periode "&amp;C661)</f>
        <v/>
      </c>
    </row>
    <row r="662">
      <c r="A662" s="3">
        <f>IF(Penyusutan!D662="","","JRN-"&amp;TEXT(ROW()-1,"0000"))</f>
        <v/>
      </c>
      <c r="B662" s="4" t="n">
        <v>46022</v>
      </c>
      <c r="C662" s="3">
        <f>Penyusutan!B662</f>
        <v/>
      </c>
      <c r="D662" s="3">
        <f>Penyusutan!C662</f>
        <v/>
      </c>
      <c r="E662" s="3">
        <f>Penyusutan!D662</f>
        <v/>
      </c>
      <c r="F662" s="3" t="inlineStr">
        <is>
          <t>Inventaris Ruangan</t>
        </is>
      </c>
      <c r="G662" s="3" t="inlineStr"/>
      <c r="H662" s="3" t="inlineStr">
        <is>
          <t>Beban Penyusutan Inventaris Ruangan</t>
        </is>
      </c>
      <c r="I662" s="5">
        <f>Penyusutan!M662</f>
        <v/>
      </c>
      <c r="J662" s="3" t="inlineStr"/>
      <c r="K662" s="3" t="inlineStr">
        <is>
          <t>Akumulasi Penyusutan Inventaris Ruangan</t>
        </is>
      </c>
      <c r="L662" s="5">
        <f>Penyusutan!M662</f>
        <v/>
      </c>
      <c r="M662" s="3">
        <f>IF(E662="","","Penyusutan "&amp;E662&amp;" periode "&amp;C662)</f>
        <v/>
      </c>
    </row>
    <row r="663">
      <c r="A663" s="3">
        <f>IF(Penyusutan!D663="","","JRN-"&amp;TEXT(ROW()-1,"0000"))</f>
        <v/>
      </c>
      <c r="B663" s="4" t="n">
        <v>46022</v>
      </c>
      <c r="C663" s="3">
        <f>Penyusutan!B663</f>
        <v/>
      </c>
      <c r="D663" s="3">
        <f>Penyusutan!C663</f>
        <v/>
      </c>
      <c r="E663" s="3">
        <f>Penyusutan!D663</f>
        <v/>
      </c>
      <c r="F663" s="3" t="inlineStr">
        <is>
          <t>Inventaris Ruangan</t>
        </is>
      </c>
      <c r="G663" s="3" t="inlineStr"/>
      <c r="H663" s="3" t="inlineStr">
        <is>
          <t>Beban Penyusutan Inventaris Ruangan</t>
        </is>
      </c>
      <c r="I663" s="5">
        <f>Penyusutan!M663</f>
        <v/>
      </c>
      <c r="J663" s="3" t="inlineStr"/>
      <c r="K663" s="3" t="inlineStr">
        <is>
          <t>Akumulasi Penyusutan Inventaris Ruangan</t>
        </is>
      </c>
      <c r="L663" s="5">
        <f>Penyusutan!M663</f>
        <v/>
      </c>
      <c r="M663" s="3">
        <f>IF(E663="","","Penyusutan "&amp;E663&amp;" periode "&amp;C663)</f>
        <v/>
      </c>
    </row>
    <row r="664">
      <c r="A664" s="3">
        <f>IF(Penyusutan!D664="","","JRN-"&amp;TEXT(ROW()-1,"0000"))</f>
        <v/>
      </c>
      <c r="B664" s="4" t="n">
        <v>46022</v>
      </c>
      <c r="C664" s="3">
        <f>Penyusutan!B664</f>
        <v/>
      </c>
      <c r="D664" s="3">
        <f>Penyusutan!C664</f>
        <v/>
      </c>
      <c r="E664" s="3">
        <f>Penyusutan!D664</f>
        <v/>
      </c>
      <c r="F664" s="3" t="inlineStr">
        <is>
          <t>Inventaris Ruangan</t>
        </is>
      </c>
      <c r="G664" s="3" t="inlineStr"/>
      <c r="H664" s="3" t="inlineStr">
        <is>
          <t>Beban Penyusutan Inventaris Ruangan</t>
        </is>
      </c>
      <c r="I664" s="5">
        <f>Penyusutan!M664</f>
        <v/>
      </c>
      <c r="J664" s="3" t="inlineStr"/>
      <c r="K664" s="3" t="inlineStr">
        <is>
          <t>Akumulasi Penyusutan Inventaris Ruangan</t>
        </is>
      </c>
      <c r="L664" s="5">
        <f>Penyusutan!M664</f>
        <v/>
      </c>
      <c r="M664" s="3">
        <f>IF(E664="","","Penyusutan "&amp;E664&amp;" periode "&amp;C664)</f>
        <v/>
      </c>
    </row>
    <row r="665">
      <c r="A665" s="3">
        <f>IF(Penyusutan!D665="","","JRN-"&amp;TEXT(ROW()-1,"0000"))</f>
        <v/>
      </c>
      <c r="B665" s="4" t="n">
        <v>46022</v>
      </c>
      <c r="C665" s="3">
        <f>Penyusutan!B665</f>
        <v/>
      </c>
      <c r="D665" s="3">
        <f>Penyusutan!C665</f>
        <v/>
      </c>
      <c r="E665" s="3">
        <f>Penyusutan!D665</f>
        <v/>
      </c>
      <c r="F665" s="3" t="inlineStr">
        <is>
          <t>Inventaris Ruangan</t>
        </is>
      </c>
      <c r="G665" s="3" t="inlineStr"/>
      <c r="H665" s="3" t="inlineStr">
        <is>
          <t>Beban Penyusutan Inventaris Ruangan</t>
        </is>
      </c>
      <c r="I665" s="5">
        <f>Penyusutan!M665</f>
        <v/>
      </c>
      <c r="J665" s="3" t="inlineStr"/>
      <c r="K665" s="3" t="inlineStr">
        <is>
          <t>Akumulasi Penyusutan Inventaris Ruangan</t>
        </is>
      </c>
      <c r="L665" s="5">
        <f>Penyusutan!M665</f>
        <v/>
      </c>
      <c r="M665" s="3">
        <f>IF(E665="","","Penyusutan "&amp;E665&amp;" periode "&amp;C665)</f>
        <v/>
      </c>
    </row>
    <row r="666">
      <c r="A666" s="3">
        <f>IF(Penyusutan!D666="","","JRN-"&amp;TEXT(ROW()-1,"0000"))</f>
        <v/>
      </c>
      <c r="B666" s="4" t="n">
        <v>46022</v>
      </c>
      <c r="C666" s="3">
        <f>Penyusutan!B666</f>
        <v/>
      </c>
      <c r="D666" s="3">
        <f>Penyusutan!C666</f>
        <v/>
      </c>
      <c r="E666" s="3">
        <f>Penyusutan!D666</f>
        <v/>
      </c>
      <c r="F666" s="3" t="inlineStr">
        <is>
          <t>Inventaris Ruangan</t>
        </is>
      </c>
      <c r="G666" s="3" t="inlineStr"/>
      <c r="H666" s="3" t="inlineStr">
        <is>
          <t>Beban Penyusutan Inventaris Ruangan</t>
        </is>
      </c>
      <c r="I666" s="5">
        <f>Penyusutan!M666</f>
        <v/>
      </c>
      <c r="J666" s="3" t="inlineStr"/>
      <c r="K666" s="3" t="inlineStr">
        <is>
          <t>Akumulasi Penyusutan Inventaris Ruangan</t>
        </is>
      </c>
      <c r="L666" s="5">
        <f>Penyusutan!M666</f>
        <v/>
      </c>
      <c r="M666" s="3">
        <f>IF(E666="","","Penyusutan "&amp;E666&amp;" periode "&amp;C666)</f>
        <v/>
      </c>
    </row>
    <row r="667">
      <c r="A667" s="3">
        <f>IF(Penyusutan!D667="","","JRN-"&amp;TEXT(ROW()-1,"0000"))</f>
        <v/>
      </c>
      <c r="B667" s="4" t="n">
        <v>46022</v>
      </c>
      <c r="C667" s="3">
        <f>Penyusutan!B667</f>
        <v/>
      </c>
      <c r="D667" s="3">
        <f>Penyusutan!C667</f>
        <v/>
      </c>
      <c r="E667" s="3">
        <f>Penyusutan!D667</f>
        <v/>
      </c>
      <c r="F667" s="3" t="inlineStr">
        <is>
          <t>Inventaris Ruangan</t>
        </is>
      </c>
      <c r="G667" s="3" t="inlineStr"/>
      <c r="H667" s="3" t="inlineStr">
        <is>
          <t>Beban Penyusutan Inventaris Ruangan</t>
        </is>
      </c>
      <c r="I667" s="5">
        <f>Penyusutan!M667</f>
        <v/>
      </c>
      <c r="J667" s="3" t="inlineStr"/>
      <c r="K667" s="3" t="inlineStr">
        <is>
          <t>Akumulasi Penyusutan Inventaris Ruangan</t>
        </is>
      </c>
      <c r="L667" s="5">
        <f>Penyusutan!M667</f>
        <v/>
      </c>
      <c r="M667" s="3">
        <f>IF(E667="","","Penyusutan "&amp;E667&amp;" periode "&amp;C667)</f>
        <v/>
      </c>
    </row>
    <row r="668">
      <c r="A668" s="3">
        <f>IF(Penyusutan!D668="","","JRN-"&amp;TEXT(ROW()-1,"0000"))</f>
        <v/>
      </c>
      <c r="B668" s="4" t="n">
        <v>46022</v>
      </c>
      <c r="C668" s="3">
        <f>Penyusutan!B668</f>
        <v/>
      </c>
      <c r="D668" s="3">
        <f>Penyusutan!C668</f>
        <v/>
      </c>
      <c r="E668" s="3">
        <f>Penyusutan!D668</f>
        <v/>
      </c>
      <c r="F668" s="3" t="inlineStr">
        <is>
          <t>Inventaris Ruangan</t>
        </is>
      </c>
      <c r="G668" s="3" t="inlineStr"/>
      <c r="H668" s="3" t="inlineStr">
        <is>
          <t>Beban Penyusutan Inventaris Ruangan</t>
        </is>
      </c>
      <c r="I668" s="5">
        <f>Penyusutan!M668</f>
        <v/>
      </c>
      <c r="J668" s="3" t="inlineStr"/>
      <c r="K668" s="3" t="inlineStr">
        <is>
          <t>Akumulasi Penyusutan Inventaris Ruangan</t>
        </is>
      </c>
      <c r="L668" s="5">
        <f>Penyusutan!M668</f>
        <v/>
      </c>
      <c r="M668" s="3">
        <f>IF(E668="","","Penyusutan "&amp;E668&amp;" periode "&amp;C668)</f>
        <v/>
      </c>
    </row>
    <row r="669">
      <c r="A669" s="3">
        <f>IF(Penyusutan!D669="","","JRN-"&amp;TEXT(ROW()-1,"0000"))</f>
        <v/>
      </c>
      <c r="B669" s="4" t="n">
        <v>46022</v>
      </c>
      <c r="C669" s="3">
        <f>Penyusutan!B669</f>
        <v/>
      </c>
      <c r="D669" s="3">
        <f>Penyusutan!C669</f>
        <v/>
      </c>
      <c r="E669" s="3">
        <f>Penyusutan!D669</f>
        <v/>
      </c>
      <c r="F669" s="3" t="inlineStr">
        <is>
          <t>Inventaris Ruangan</t>
        </is>
      </c>
      <c r="G669" s="3" t="inlineStr"/>
      <c r="H669" s="3" t="inlineStr">
        <is>
          <t>Beban Penyusutan Inventaris Ruangan</t>
        </is>
      </c>
      <c r="I669" s="5">
        <f>Penyusutan!M669</f>
        <v/>
      </c>
      <c r="J669" s="3" t="inlineStr"/>
      <c r="K669" s="3" t="inlineStr">
        <is>
          <t>Akumulasi Penyusutan Inventaris Ruangan</t>
        </is>
      </c>
      <c r="L669" s="5">
        <f>Penyusutan!M669</f>
        <v/>
      </c>
      <c r="M669" s="3">
        <f>IF(E669="","","Penyusutan "&amp;E669&amp;" periode "&amp;C669)</f>
        <v/>
      </c>
    </row>
    <row r="670">
      <c r="A670" s="3">
        <f>IF(Penyusutan!D670="","","JRN-"&amp;TEXT(ROW()-1,"0000"))</f>
        <v/>
      </c>
      <c r="B670" s="4" t="n">
        <v>46022</v>
      </c>
      <c r="C670" s="3">
        <f>Penyusutan!B670</f>
        <v/>
      </c>
      <c r="D670" s="3">
        <f>Penyusutan!C670</f>
        <v/>
      </c>
      <c r="E670" s="3">
        <f>Penyusutan!D670</f>
        <v/>
      </c>
      <c r="F670" s="3" t="inlineStr">
        <is>
          <t>Inventaris Ruangan</t>
        </is>
      </c>
      <c r="G670" s="3" t="inlineStr"/>
      <c r="H670" s="3" t="inlineStr">
        <is>
          <t>Beban Penyusutan Inventaris Ruangan</t>
        </is>
      </c>
      <c r="I670" s="5">
        <f>Penyusutan!M670</f>
        <v/>
      </c>
      <c r="J670" s="3" t="inlineStr"/>
      <c r="K670" s="3" t="inlineStr">
        <is>
          <t>Akumulasi Penyusutan Inventaris Ruangan</t>
        </is>
      </c>
      <c r="L670" s="5">
        <f>Penyusutan!M670</f>
        <v/>
      </c>
      <c r="M670" s="3">
        <f>IF(E670="","","Penyusutan "&amp;E670&amp;" periode "&amp;C670)</f>
        <v/>
      </c>
    </row>
    <row r="671">
      <c r="A671" s="3">
        <f>IF(Penyusutan!D671="","","JRN-"&amp;TEXT(ROW()-1,"0000"))</f>
        <v/>
      </c>
      <c r="B671" s="4" t="n">
        <v>46022</v>
      </c>
      <c r="C671" s="3">
        <f>Penyusutan!B671</f>
        <v/>
      </c>
      <c r="D671" s="3">
        <f>Penyusutan!C671</f>
        <v/>
      </c>
      <c r="E671" s="3">
        <f>Penyusutan!D671</f>
        <v/>
      </c>
      <c r="F671" s="3" t="inlineStr">
        <is>
          <t>Inventaris Ruangan</t>
        </is>
      </c>
      <c r="G671" s="3" t="inlineStr"/>
      <c r="H671" s="3" t="inlineStr">
        <is>
          <t>Beban Penyusutan Inventaris Ruangan</t>
        </is>
      </c>
      <c r="I671" s="5">
        <f>Penyusutan!M671</f>
        <v/>
      </c>
      <c r="J671" s="3" t="inlineStr"/>
      <c r="K671" s="3" t="inlineStr">
        <is>
          <t>Akumulasi Penyusutan Inventaris Ruangan</t>
        </is>
      </c>
      <c r="L671" s="5">
        <f>Penyusutan!M671</f>
        <v/>
      </c>
      <c r="M671" s="3">
        <f>IF(E671="","","Penyusutan "&amp;E671&amp;" periode "&amp;C671)</f>
        <v/>
      </c>
    </row>
    <row r="672">
      <c r="A672" s="3">
        <f>IF(Penyusutan!D672="","","JRN-"&amp;TEXT(ROW()-1,"0000"))</f>
        <v/>
      </c>
      <c r="B672" s="4" t="n">
        <v>46022</v>
      </c>
      <c r="C672" s="3">
        <f>Penyusutan!B672</f>
        <v/>
      </c>
      <c r="D672" s="3">
        <f>Penyusutan!C672</f>
        <v/>
      </c>
      <c r="E672" s="3">
        <f>Penyusutan!D672</f>
        <v/>
      </c>
      <c r="F672" s="3" t="inlineStr">
        <is>
          <t>Inventaris Ruangan</t>
        </is>
      </c>
      <c r="G672" s="3" t="inlineStr"/>
      <c r="H672" s="3" t="inlineStr">
        <is>
          <t>Beban Penyusutan Inventaris Ruangan</t>
        </is>
      </c>
      <c r="I672" s="5">
        <f>Penyusutan!M672</f>
        <v/>
      </c>
      <c r="J672" s="3" t="inlineStr"/>
      <c r="K672" s="3" t="inlineStr">
        <is>
          <t>Akumulasi Penyusutan Inventaris Ruangan</t>
        </is>
      </c>
      <c r="L672" s="5">
        <f>Penyusutan!M672</f>
        <v/>
      </c>
      <c r="M672" s="3">
        <f>IF(E672="","","Penyusutan "&amp;E672&amp;" periode "&amp;C672)</f>
        <v/>
      </c>
    </row>
    <row r="673">
      <c r="A673" s="3">
        <f>IF(Penyusutan!D673="","","JRN-"&amp;TEXT(ROW()-1,"0000"))</f>
        <v/>
      </c>
      <c r="B673" s="4" t="n">
        <v>46022</v>
      </c>
      <c r="C673" s="3">
        <f>Penyusutan!B673</f>
        <v/>
      </c>
      <c r="D673" s="3">
        <f>Penyusutan!C673</f>
        <v/>
      </c>
      <c r="E673" s="3">
        <f>Penyusutan!D673</f>
        <v/>
      </c>
      <c r="F673" s="3" t="inlineStr">
        <is>
          <t>Inventaris Ruangan</t>
        </is>
      </c>
      <c r="G673" s="3" t="inlineStr"/>
      <c r="H673" s="3" t="inlineStr">
        <is>
          <t>Beban Penyusutan Inventaris Ruangan</t>
        </is>
      </c>
      <c r="I673" s="5">
        <f>Penyusutan!M673</f>
        <v/>
      </c>
      <c r="J673" s="3" t="inlineStr"/>
      <c r="K673" s="3" t="inlineStr">
        <is>
          <t>Akumulasi Penyusutan Inventaris Ruangan</t>
        </is>
      </c>
      <c r="L673" s="5">
        <f>Penyusutan!M673</f>
        <v/>
      </c>
      <c r="M673" s="3">
        <f>IF(E673="","","Penyusutan "&amp;E673&amp;" periode "&amp;C673)</f>
        <v/>
      </c>
    </row>
    <row r="674">
      <c r="A674" s="3">
        <f>IF(Penyusutan!D674="","","JRN-"&amp;TEXT(ROW()-1,"0000"))</f>
        <v/>
      </c>
      <c r="B674" s="4" t="n">
        <v>46022</v>
      </c>
      <c r="C674" s="3">
        <f>Penyusutan!B674</f>
        <v/>
      </c>
      <c r="D674" s="3">
        <f>Penyusutan!C674</f>
        <v/>
      </c>
      <c r="E674" s="3">
        <f>Penyusutan!D674</f>
        <v/>
      </c>
      <c r="F674" s="3" t="inlineStr">
        <is>
          <t>Inventaris Ruangan</t>
        </is>
      </c>
      <c r="G674" s="3" t="inlineStr"/>
      <c r="H674" s="3" t="inlineStr">
        <is>
          <t>Beban Penyusutan Inventaris Ruangan</t>
        </is>
      </c>
      <c r="I674" s="5">
        <f>Penyusutan!M674</f>
        <v/>
      </c>
      <c r="J674" s="3" t="inlineStr"/>
      <c r="K674" s="3" t="inlineStr">
        <is>
          <t>Akumulasi Penyusutan Inventaris Ruangan</t>
        </is>
      </c>
      <c r="L674" s="5">
        <f>Penyusutan!M674</f>
        <v/>
      </c>
      <c r="M674" s="3">
        <f>IF(E674="","","Penyusutan "&amp;E674&amp;" periode "&amp;C674)</f>
        <v/>
      </c>
    </row>
    <row r="675">
      <c r="A675" s="3">
        <f>IF(Penyusutan!D675="","","JRN-"&amp;TEXT(ROW()-1,"0000"))</f>
        <v/>
      </c>
      <c r="B675" s="4" t="n">
        <v>46022</v>
      </c>
      <c r="C675" s="3">
        <f>Penyusutan!B675</f>
        <v/>
      </c>
      <c r="D675" s="3">
        <f>Penyusutan!C675</f>
        <v/>
      </c>
      <c r="E675" s="3">
        <f>Penyusutan!D675</f>
        <v/>
      </c>
      <c r="F675" s="3" t="inlineStr">
        <is>
          <t>Inventaris Ruangan</t>
        </is>
      </c>
      <c r="G675" s="3" t="inlineStr"/>
      <c r="H675" s="3" t="inlineStr">
        <is>
          <t>Beban Penyusutan Inventaris Ruangan</t>
        </is>
      </c>
      <c r="I675" s="5">
        <f>Penyusutan!M675</f>
        <v/>
      </c>
      <c r="J675" s="3" t="inlineStr"/>
      <c r="K675" s="3" t="inlineStr">
        <is>
          <t>Akumulasi Penyusutan Inventaris Ruangan</t>
        </is>
      </c>
      <c r="L675" s="5">
        <f>Penyusutan!M675</f>
        <v/>
      </c>
      <c r="M675" s="3">
        <f>IF(E675="","","Penyusutan "&amp;E675&amp;" periode "&amp;C675)</f>
        <v/>
      </c>
    </row>
    <row r="676">
      <c r="A676" s="3">
        <f>IF(Penyusutan!D676="","","JRN-"&amp;TEXT(ROW()-1,"0000"))</f>
        <v/>
      </c>
      <c r="B676" s="4" t="n">
        <v>46022</v>
      </c>
      <c r="C676" s="3">
        <f>Penyusutan!B676</f>
        <v/>
      </c>
      <c r="D676" s="3">
        <f>Penyusutan!C676</f>
        <v/>
      </c>
      <c r="E676" s="3">
        <f>Penyusutan!D676</f>
        <v/>
      </c>
      <c r="F676" s="3" t="inlineStr">
        <is>
          <t>Inventaris Ruangan</t>
        </is>
      </c>
      <c r="G676" s="3" t="inlineStr"/>
      <c r="H676" s="3" t="inlineStr">
        <is>
          <t>Beban Penyusutan Inventaris Ruangan</t>
        </is>
      </c>
      <c r="I676" s="5">
        <f>Penyusutan!M676</f>
        <v/>
      </c>
      <c r="J676" s="3" t="inlineStr"/>
      <c r="K676" s="3" t="inlineStr">
        <is>
          <t>Akumulasi Penyusutan Inventaris Ruangan</t>
        </is>
      </c>
      <c r="L676" s="5">
        <f>Penyusutan!M676</f>
        <v/>
      </c>
      <c r="M676" s="3">
        <f>IF(E676="","","Penyusutan "&amp;E676&amp;" periode "&amp;C676)</f>
        <v/>
      </c>
    </row>
    <row r="677">
      <c r="A677" s="3">
        <f>IF(Penyusutan!D677="","","JRN-"&amp;TEXT(ROW()-1,"0000"))</f>
        <v/>
      </c>
      <c r="B677" s="4" t="n">
        <v>46022</v>
      </c>
      <c r="C677" s="3">
        <f>Penyusutan!B677</f>
        <v/>
      </c>
      <c r="D677" s="3">
        <f>Penyusutan!C677</f>
        <v/>
      </c>
      <c r="E677" s="3">
        <f>Penyusutan!D677</f>
        <v/>
      </c>
      <c r="F677" s="3" t="inlineStr">
        <is>
          <t>Inventaris Ruangan</t>
        </is>
      </c>
      <c r="G677" s="3" t="inlineStr"/>
      <c r="H677" s="3" t="inlineStr">
        <is>
          <t>Beban Penyusutan Inventaris Ruangan</t>
        </is>
      </c>
      <c r="I677" s="5">
        <f>Penyusutan!M677</f>
        <v/>
      </c>
      <c r="J677" s="3" t="inlineStr"/>
      <c r="K677" s="3" t="inlineStr">
        <is>
          <t>Akumulasi Penyusutan Inventaris Ruangan</t>
        </is>
      </c>
      <c r="L677" s="5">
        <f>Penyusutan!M677</f>
        <v/>
      </c>
      <c r="M677" s="3">
        <f>IF(E677="","","Penyusutan "&amp;E677&amp;" periode "&amp;C677)</f>
        <v/>
      </c>
    </row>
    <row r="678">
      <c r="A678" s="3">
        <f>IF(Penyusutan!D678="","","JRN-"&amp;TEXT(ROW()-1,"0000"))</f>
        <v/>
      </c>
      <c r="B678" s="4" t="n">
        <v>46022</v>
      </c>
      <c r="C678" s="3">
        <f>Penyusutan!B678</f>
        <v/>
      </c>
      <c r="D678" s="3">
        <f>Penyusutan!C678</f>
        <v/>
      </c>
      <c r="E678" s="3">
        <f>Penyusutan!D678</f>
        <v/>
      </c>
      <c r="F678" s="3" t="inlineStr">
        <is>
          <t>Inventaris Ruangan</t>
        </is>
      </c>
      <c r="G678" s="3" t="inlineStr"/>
      <c r="H678" s="3" t="inlineStr">
        <is>
          <t>Beban Penyusutan Inventaris Ruangan</t>
        </is>
      </c>
      <c r="I678" s="5">
        <f>Penyusutan!M678</f>
        <v/>
      </c>
      <c r="J678" s="3" t="inlineStr"/>
      <c r="K678" s="3" t="inlineStr">
        <is>
          <t>Akumulasi Penyusutan Inventaris Ruangan</t>
        </is>
      </c>
      <c r="L678" s="5">
        <f>Penyusutan!M678</f>
        <v/>
      </c>
      <c r="M678" s="3">
        <f>IF(E678="","","Penyusutan "&amp;E678&amp;" periode "&amp;C678)</f>
        <v/>
      </c>
    </row>
    <row r="679">
      <c r="A679" s="3">
        <f>IF(Penyusutan!D679="","","JRN-"&amp;TEXT(ROW()-1,"0000"))</f>
        <v/>
      </c>
      <c r="B679" s="4" t="n">
        <v>46022</v>
      </c>
      <c r="C679" s="3">
        <f>Penyusutan!B679</f>
        <v/>
      </c>
      <c r="D679" s="3">
        <f>Penyusutan!C679</f>
        <v/>
      </c>
      <c r="E679" s="3">
        <f>Penyusutan!D679</f>
        <v/>
      </c>
      <c r="F679" s="3" t="inlineStr">
        <is>
          <t>Inventaris Ruangan</t>
        </is>
      </c>
      <c r="G679" s="3" t="inlineStr"/>
      <c r="H679" s="3" t="inlineStr">
        <is>
          <t>Beban Penyusutan Inventaris Ruangan</t>
        </is>
      </c>
      <c r="I679" s="5">
        <f>Penyusutan!M679</f>
        <v/>
      </c>
      <c r="J679" s="3" t="inlineStr"/>
      <c r="K679" s="3" t="inlineStr">
        <is>
          <t>Akumulasi Penyusutan Inventaris Ruangan</t>
        </is>
      </c>
      <c r="L679" s="5">
        <f>Penyusutan!M679</f>
        <v/>
      </c>
      <c r="M679" s="3">
        <f>IF(E679="","","Penyusutan "&amp;E679&amp;" periode "&amp;C679)</f>
        <v/>
      </c>
    </row>
    <row r="680">
      <c r="A680" s="3">
        <f>IF(Penyusutan!D680="","","JRN-"&amp;TEXT(ROW()-1,"0000"))</f>
        <v/>
      </c>
      <c r="B680" s="4" t="n">
        <v>46022</v>
      </c>
      <c r="C680" s="3">
        <f>Penyusutan!B680</f>
        <v/>
      </c>
      <c r="D680" s="3">
        <f>Penyusutan!C680</f>
        <v/>
      </c>
      <c r="E680" s="3">
        <f>Penyusutan!D680</f>
        <v/>
      </c>
      <c r="F680" s="3" t="inlineStr">
        <is>
          <t>Inventaris Ruangan</t>
        </is>
      </c>
      <c r="G680" s="3" t="inlineStr"/>
      <c r="H680" s="3" t="inlineStr">
        <is>
          <t>Beban Penyusutan Inventaris Ruangan</t>
        </is>
      </c>
      <c r="I680" s="5">
        <f>Penyusutan!M680</f>
        <v/>
      </c>
      <c r="J680" s="3" t="inlineStr"/>
      <c r="K680" s="3" t="inlineStr">
        <is>
          <t>Akumulasi Penyusutan Inventaris Ruangan</t>
        </is>
      </c>
      <c r="L680" s="5">
        <f>Penyusutan!M680</f>
        <v/>
      </c>
      <c r="M680" s="3">
        <f>IF(E680="","","Penyusutan "&amp;E680&amp;" periode "&amp;C680)</f>
        <v/>
      </c>
    </row>
    <row r="681">
      <c r="A681" s="3">
        <f>IF(Penyusutan!D681="","","JRN-"&amp;TEXT(ROW()-1,"0000"))</f>
        <v/>
      </c>
      <c r="B681" s="4" t="n">
        <v>46022</v>
      </c>
      <c r="C681" s="3">
        <f>Penyusutan!B681</f>
        <v/>
      </c>
      <c r="D681" s="3">
        <f>Penyusutan!C681</f>
        <v/>
      </c>
      <c r="E681" s="3">
        <f>Penyusutan!D681</f>
        <v/>
      </c>
      <c r="F681" s="3" t="inlineStr">
        <is>
          <t>Inventaris Ruangan</t>
        </is>
      </c>
      <c r="G681" s="3" t="inlineStr"/>
      <c r="H681" s="3" t="inlineStr">
        <is>
          <t>Beban Penyusutan Inventaris Ruangan</t>
        </is>
      </c>
      <c r="I681" s="5">
        <f>Penyusutan!M681</f>
        <v/>
      </c>
      <c r="J681" s="3" t="inlineStr"/>
      <c r="K681" s="3" t="inlineStr">
        <is>
          <t>Akumulasi Penyusutan Inventaris Ruangan</t>
        </is>
      </c>
      <c r="L681" s="5">
        <f>Penyusutan!M681</f>
        <v/>
      </c>
      <c r="M681" s="3">
        <f>IF(E681="","","Penyusutan "&amp;E681&amp;" periode "&amp;C681)</f>
        <v/>
      </c>
    </row>
    <row r="682">
      <c r="A682" s="3">
        <f>IF(Penyusutan!D682="","","JRN-"&amp;TEXT(ROW()-1,"0000"))</f>
        <v/>
      </c>
      <c r="B682" s="4" t="n">
        <v>46022</v>
      </c>
      <c r="C682" s="3">
        <f>Penyusutan!B682</f>
        <v/>
      </c>
      <c r="D682" s="3">
        <f>Penyusutan!C682</f>
        <v/>
      </c>
      <c r="E682" s="3">
        <f>Penyusutan!D682</f>
        <v/>
      </c>
      <c r="F682" s="3" t="inlineStr">
        <is>
          <t>Inventaris Ruangan</t>
        </is>
      </c>
      <c r="G682" s="3" t="inlineStr"/>
      <c r="H682" s="3" t="inlineStr">
        <is>
          <t>Beban Penyusutan Inventaris Ruangan</t>
        </is>
      </c>
      <c r="I682" s="5">
        <f>Penyusutan!M682</f>
        <v/>
      </c>
      <c r="J682" s="3" t="inlineStr"/>
      <c r="K682" s="3" t="inlineStr">
        <is>
          <t>Akumulasi Penyusutan Inventaris Ruangan</t>
        </is>
      </c>
      <c r="L682" s="5">
        <f>Penyusutan!M682</f>
        <v/>
      </c>
      <c r="M682" s="3">
        <f>IF(E682="","","Penyusutan "&amp;E682&amp;" periode "&amp;C682)</f>
        <v/>
      </c>
    </row>
    <row r="683">
      <c r="A683" s="3">
        <f>IF(Penyusutan!D683="","","JRN-"&amp;TEXT(ROW()-1,"0000"))</f>
        <v/>
      </c>
      <c r="B683" s="4" t="n">
        <v>46022</v>
      </c>
      <c r="C683" s="3">
        <f>Penyusutan!B683</f>
        <v/>
      </c>
      <c r="D683" s="3">
        <f>Penyusutan!C683</f>
        <v/>
      </c>
      <c r="E683" s="3">
        <f>Penyusutan!D683</f>
        <v/>
      </c>
      <c r="F683" s="3" t="inlineStr">
        <is>
          <t>Inventaris Ruangan</t>
        </is>
      </c>
      <c r="G683" s="3" t="inlineStr"/>
      <c r="H683" s="3" t="inlineStr">
        <is>
          <t>Beban Penyusutan Inventaris Ruangan</t>
        </is>
      </c>
      <c r="I683" s="5">
        <f>Penyusutan!M683</f>
        <v/>
      </c>
      <c r="J683" s="3" t="inlineStr"/>
      <c r="K683" s="3" t="inlineStr">
        <is>
          <t>Akumulasi Penyusutan Inventaris Ruangan</t>
        </is>
      </c>
      <c r="L683" s="5">
        <f>Penyusutan!M683</f>
        <v/>
      </c>
      <c r="M683" s="3">
        <f>IF(E683="","","Penyusutan "&amp;E683&amp;" periode "&amp;C683)</f>
        <v/>
      </c>
    </row>
    <row r="684">
      <c r="A684" s="3">
        <f>IF(Penyusutan!D684="","","JRN-"&amp;TEXT(ROW()-1,"0000"))</f>
        <v/>
      </c>
      <c r="B684" s="4" t="n">
        <v>46022</v>
      </c>
      <c r="C684" s="3">
        <f>Penyusutan!B684</f>
        <v/>
      </c>
      <c r="D684" s="3">
        <f>Penyusutan!C684</f>
        <v/>
      </c>
      <c r="E684" s="3">
        <f>Penyusutan!D684</f>
        <v/>
      </c>
      <c r="F684" s="3" t="inlineStr">
        <is>
          <t>Inventaris Ruangan</t>
        </is>
      </c>
      <c r="G684" s="3" t="inlineStr"/>
      <c r="H684" s="3" t="inlineStr">
        <is>
          <t>Beban Penyusutan Inventaris Ruangan</t>
        </is>
      </c>
      <c r="I684" s="5">
        <f>Penyusutan!M684</f>
        <v/>
      </c>
      <c r="J684" s="3" t="inlineStr"/>
      <c r="K684" s="3" t="inlineStr">
        <is>
          <t>Akumulasi Penyusutan Inventaris Ruangan</t>
        </is>
      </c>
      <c r="L684" s="5">
        <f>Penyusutan!M684</f>
        <v/>
      </c>
      <c r="M684" s="3">
        <f>IF(E684="","","Penyusutan "&amp;E684&amp;" periode "&amp;C684)</f>
        <v/>
      </c>
    </row>
    <row r="685">
      <c r="A685" s="3">
        <f>IF(Penyusutan!D685="","","JRN-"&amp;TEXT(ROW()-1,"0000"))</f>
        <v/>
      </c>
      <c r="B685" s="4" t="n">
        <v>46022</v>
      </c>
      <c r="C685" s="3">
        <f>Penyusutan!B685</f>
        <v/>
      </c>
      <c r="D685" s="3">
        <f>Penyusutan!C685</f>
        <v/>
      </c>
      <c r="E685" s="3">
        <f>Penyusutan!D685</f>
        <v/>
      </c>
      <c r="F685" s="3" t="inlineStr">
        <is>
          <t>Inventaris Ruangan</t>
        </is>
      </c>
      <c r="G685" s="3" t="inlineStr"/>
      <c r="H685" s="3" t="inlineStr">
        <is>
          <t>Beban Penyusutan Inventaris Ruangan</t>
        </is>
      </c>
      <c r="I685" s="5">
        <f>Penyusutan!M685</f>
        <v/>
      </c>
      <c r="J685" s="3" t="inlineStr"/>
      <c r="K685" s="3" t="inlineStr">
        <is>
          <t>Akumulasi Penyusutan Inventaris Ruangan</t>
        </is>
      </c>
      <c r="L685" s="5">
        <f>Penyusutan!M685</f>
        <v/>
      </c>
      <c r="M685" s="3">
        <f>IF(E685="","","Penyusutan "&amp;E685&amp;" periode "&amp;C685)</f>
        <v/>
      </c>
    </row>
    <row r="686">
      <c r="A686" s="3">
        <f>IF(Penyusutan!D686="","","JRN-"&amp;TEXT(ROW()-1,"0000"))</f>
        <v/>
      </c>
      <c r="B686" s="4" t="n">
        <v>46022</v>
      </c>
      <c r="C686" s="3">
        <f>Penyusutan!B686</f>
        <v/>
      </c>
      <c r="D686" s="3">
        <f>Penyusutan!C686</f>
        <v/>
      </c>
      <c r="E686" s="3">
        <f>Penyusutan!D686</f>
        <v/>
      </c>
      <c r="F686" s="3" t="inlineStr">
        <is>
          <t>Inventaris Ruangan</t>
        </is>
      </c>
      <c r="G686" s="3" t="inlineStr"/>
      <c r="H686" s="3" t="inlineStr">
        <is>
          <t>Beban Penyusutan Inventaris Ruangan</t>
        </is>
      </c>
      <c r="I686" s="5">
        <f>Penyusutan!M686</f>
        <v/>
      </c>
      <c r="J686" s="3" t="inlineStr"/>
      <c r="K686" s="3" t="inlineStr">
        <is>
          <t>Akumulasi Penyusutan Inventaris Ruangan</t>
        </is>
      </c>
      <c r="L686" s="5">
        <f>Penyusutan!M686</f>
        <v/>
      </c>
      <c r="M686" s="3">
        <f>IF(E686="","","Penyusutan "&amp;E686&amp;" periode "&amp;C686)</f>
        <v/>
      </c>
    </row>
    <row r="687">
      <c r="A687" s="3">
        <f>IF(Penyusutan!D687="","","JRN-"&amp;TEXT(ROW()-1,"0000"))</f>
        <v/>
      </c>
      <c r="B687" s="4" t="n">
        <v>46022</v>
      </c>
      <c r="C687" s="3">
        <f>Penyusutan!B687</f>
        <v/>
      </c>
      <c r="D687" s="3">
        <f>Penyusutan!C687</f>
        <v/>
      </c>
      <c r="E687" s="3">
        <f>Penyusutan!D687</f>
        <v/>
      </c>
      <c r="F687" s="3" t="inlineStr">
        <is>
          <t>Inventaris Ruangan</t>
        </is>
      </c>
      <c r="G687" s="3" t="inlineStr"/>
      <c r="H687" s="3" t="inlineStr">
        <is>
          <t>Beban Penyusutan Inventaris Ruangan</t>
        </is>
      </c>
      <c r="I687" s="5">
        <f>Penyusutan!M687</f>
        <v/>
      </c>
      <c r="J687" s="3" t="inlineStr"/>
      <c r="K687" s="3" t="inlineStr">
        <is>
          <t>Akumulasi Penyusutan Inventaris Ruangan</t>
        </is>
      </c>
      <c r="L687" s="5">
        <f>Penyusutan!M687</f>
        <v/>
      </c>
      <c r="M687" s="3">
        <f>IF(E687="","","Penyusutan "&amp;E687&amp;" periode "&amp;C687)</f>
        <v/>
      </c>
    </row>
    <row r="688">
      <c r="A688" s="3">
        <f>IF(Penyusutan!D688="","","JRN-"&amp;TEXT(ROW()-1,"0000"))</f>
        <v/>
      </c>
      <c r="B688" s="4" t="n">
        <v>46022</v>
      </c>
      <c r="C688" s="3">
        <f>Penyusutan!B688</f>
        <v/>
      </c>
      <c r="D688" s="3">
        <f>Penyusutan!C688</f>
        <v/>
      </c>
      <c r="E688" s="3">
        <f>Penyusutan!D688</f>
        <v/>
      </c>
      <c r="F688" s="3" t="inlineStr">
        <is>
          <t>Inventaris Ruangan</t>
        </is>
      </c>
      <c r="G688" s="3" t="inlineStr"/>
      <c r="H688" s="3" t="inlineStr">
        <is>
          <t>Beban Penyusutan Inventaris Ruangan</t>
        </is>
      </c>
      <c r="I688" s="5">
        <f>Penyusutan!M688</f>
        <v/>
      </c>
      <c r="J688" s="3" t="inlineStr"/>
      <c r="K688" s="3" t="inlineStr">
        <is>
          <t>Akumulasi Penyusutan Inventaris Ruangan</t>
        </is>
      </c>
      <c r="L688" s="5">
        <f>Penyusutan!M688</f>
        <v/>
      </c>
      <c r="M688" s="3">
        <f>IF(E688="","","Penyusutan "&amp;E688&amp;" periode "&amp;C688)</f>
        <v/>
      </c>
    </row>
    <row r="689">
      <c r="A689" s="3">
        <f>IF(Penyusutan!D689="","","JRN-"&amp;TEXT(ROW()-1,"0000"))</f>
        <v/>
      </c>
      <c r="B689" s="4" t="n">
        <v>46022</v>
      </c>
      <c r="C689" s="3">
        <f>Penyusutan!B689</f>
        <v/>
      </c>
      <c r="D689" s="3">
        <f>Penyusutan!C689</f>
        <v/>
      </c>
      <c r="E689" s="3">
        <f>Penyusutan!D689</f>
        <v/>
      </c>
      <c r="F689" s="3" t="inlineStr">
        <is>
          <t>Inventaris Ruangan</t>
        </is>
      </c>
      <c r="G689" s="3" t="inlineStr"/>
      <c r="H689" s="3" t="inlineStr">
        <is>
          <t>Beban Penyusutan Inventaris Ruangan</t>
        </is>
      </c>
      <c r="I689" s="5">
        <f>Penyusutan!M689</f>
        <v/>
      </c>
      <c r="J689" s="3" t="inlineStr"/>
      <c r="K689" s="3" t="inlineStr">
        <is>
          <t>Akumulasi Penyusutan Inventaris Ruangan</t>
        </is>
      </c>
      <c r="L689" s="5">
        <f>Penyusutan!M689</f>
        <v/>
      </c>
      <c r="M689" s="3">
        <f>IF(E689="","","Penyusutan "&amp;E689&amp;" periode "&amp;C689)</f>
        <v/>
      </c>
    </row>
    <row r="690">
      <c r="A690" s="3">
        <f>IF(Penyusutan!D690="","","JRN-"&amp;TEXT(ROW()-1,"0000"))</f>
        <v/>
      </c>
      <c r="B690" s="4" t="n">
        <v>46022</v>
      </c>
      <c r="C690" s="3">
        <f>Penyusutan!B690</f>
        <v/>
      </c>
      <c r="D690" s="3">
        <f>Penyusutan!C690</f>
        <v/>
      </c>
      <c r="E690" s="3">
        <f>Penyusutan!D690</f>
        <v/>
      </c>
      <c r="F690" s="3" t="inlineStr">
        <is>
          <t>Inventaris Ruangan</t>
        </is>
      </c>
      <c r="G690" s="3" t="inlineStr"/>
      <c r="H690" s="3" t="inlineStr">
        <is>
          <t>Beban Penyusutan Inventaris Ruangan</t>
        </is>
      </c>
      <c r="I690" s="5">
        <f>Penyusutan!M690</f>
        <v/>
      </c>
      <c r="J690" s="3" t="inlineStr"/>
      <c r="K690" s="3" t="inlineStr">
        <is>
          <t>Akumulasi Penyusutan Inventaris Ruangan</t>
        </is>
      </c>
      <c r="L690" s="5">
        <f>Penyusutan!M690</f>
        <v/>
      </c>
      <c r="M690" s="3">
        <f>IF(E690="","","Penyusutan "&amp;E690&amp;" periode "&amp;C690)</f>
        <v/>
      </c>
    </row>
    <row r="691">
      <c r="A691" s="3">
        <f>IF(Penyusutan!D691="","","JRN-"&amp;TEXT(ROW()-1,"0000"))</f>
        <v/>
      </c>
      <c r="B691" s="4" t="n">
        <v>46022</v>
      </c>
      <c r="C691" s="3">
        <f>Penyusutan!B691</f>
        <v/>
      </c>
      <c r="D691" s="3">
        <f>Penyusutan!C691</f>
        <v/>
      </c>
      <c r="E691" s="3">
        <f>Penyusutan!D691</f>
        <v/>
      </c>
      <c r="F691" s="3" t="inlineStr">
        <is>
          <t>Inventaris Ruangan</t>
        </is>
      </c>
      <c r="G691" s="3" t="inlineStr"/>
      <c r="H691" s="3" t="inlineStr">
        <is>
          <t>Beban Penyusutan Inventaris Ruangan</t>
        </is>
      </c>
      <c r="I691" s="5">
        <f>Penyusutan!M691</f>
        <v/>
      </c>
      <c r="J691" s="3" t="inlineStr"/>
      <c r="K691" s="3" t="inlineStr">
        <is>
          <t>Akumulasi Penyusutan Inventaris Ruangan</t>
        </is>
      </c>
      <c r="L691" s="5">
        <f>Penyusutan!M691</f>
        <v/>
      </c>
      <c r="M691" s="3">
        <f>IF(E691="","","Penyusutan "&amp;E691&amp;" periode "&amp;C691)</f>
        <v/>
      </c>
    </row>
    <row r="692">
      <c r="A692" s="3">
        <f>IF(Penyusutan!D692="","","JRN-"&amp;TEXT(ROW()-1,"0000"))</f>
        <v/>
      </c>
      <c r="B692" s="4" t="n">
        <v>46022</v>
      </c>
      <c r="C692" s="3">
        <f>Penyusutan!B692</f>
        <v/>
      </c>
      <c r="D692" s="3">
        <f>Penyusutan!C692</f>
        <v/>
      </c>
      <c r="E692" s="3">
        <f>Penyusutan!D692</f>
        <v/>
      </c>
      <c r="F692" s="3" t="inlineStr">
        <is>
          <t>Inventaris Ruangan</t>
        </is>
      </c>
      <c r="G692" s="3" t="inlineStr"/>
      <c r="H692" s="3" t="inlineStr">
        <is>
          <t>Beban Penyusutan Inventaris Ruangan</t>
        </is>
      </c>
      <c r="I692" s="5">
        <f>Penyusutan!M692</f>
        <v/>
      </c>
      <c r="J692" s="3" t="inlineStr"/>
      <c r="K692" s="3" t="inlineStr">
        <is>
          <t>Akumulasi Penyusutan Inventaris Ruangan</t>
        </is>
      </c>
      <c r="L692" s="5">
        <f>Penyusutan!M692</f>
        <v/>
      </c>
      <c r="M692" s="3">
        <f>IF(E692="","","Penyusutan "&amp;E692&amp;" periode "&amp;C692)</f>
        <v/>
      </c>
    </row>
    <row r="693">
      <c r="A693" s="3">
        <f>IF(Penyusutan!D693="","","JRN-"&amp;TEXT(ROW()-1,"0000"))</f>
        <v/>
      </c>
      <c r="B693" s="4" t="n">
        <v>46022</v>
      </c>
      <c r="C693" s="3">
        <f>Penyusutan!B693</f>
        <v/>
      </c>
      <c r="D693" s="3">
        <f>Penyusutan!C693</f>
        <v/>
      </c>
      <c r="E693" s="3">
        <f>Penyusutan!D693</f>
        <v/>
      </c>
      <c r="F693" s="3" t="inlineStr">
        <is>
          <t>Inventaris Ruangan</t>
        </is>
      </c>
      <c r="G693" s="3" t="inlineStr"/>
      <c r="H693" s="3" t="inlineStr">
        <is>
          <t>Beban Penyusutan Inventaris Ruangan</t>
        </is>
      </c>
      <c r="I693" s="5">
        <f>Penyusutan!M693</f>
        <v/>
      </c>
      <c r="J693" s="3" t="inlineStr"/>
      <c r="K693" s="3" t="inlineStr">
        <is>
          <t>Akumulasi Penyusutan Inventaris Ruangan</t>
        </is>
      </c>
      <c r="L693" s="5">
        <f>Penyusutan!M693</f>
        <v/>
      </c>
      <c r="M693" s="3">
        <f>IF(E693="","","Penyusutan "&amp;E693&amp;" periode "&amp;C693)</f>
        <v/>
      </c>
    </row>
    <row r="694">
      <c r="A694" s="3">
        <f>IF(Penyusutan!D694="","","JRN-"&amp;TEXT(ROW()-1,"0000"))</f>
        <v/>
      </c>
      <c r="B694" s="4" t="n">
        <v>46022</v>
      </c>
      <c r="C694" s="3">
        <f>Penyusutan!B694</f>
        <v/>
      </c>
      <c r="D694" s="3">
        <f>Penyusutan!C694</f>
        <v/>
      </c>
      <c r="E694" s="3">
        <f>Penyusutan!D694</f>
        <v/>
      </c>
      <c r="F694" s="3" t="inlineStr">
        <is>
          <t>Inventaris Ruangan</t>
        </is>
      </c>
      <c r="G694" s="3" t="inlineStr"/>
      <c r="H694" s="3" t="inlineStr">
        <is>
          <t>Beban Penyusutan Inventaris Ruangan</t>
        </is>
      </c>
      <c r="I694" s="5">
        <f>Penyusutan!M694</f>
        <v/>
      </c>
      <c r="J694" s="3" t="inlineStr"/>
      <c r="K694" s="3" t="inlineStr">
        <is>
          <t>Akumulasi Penyusutan Inventaris Ruangan</t>
        </is>
      </c>
      <c r="L694" s="5">
        <f>Penyusutan!M694</f>
        <v/>
      </c>
      <c r="M694" s="3">
        <f>IF(E694="","","Penyusutan "&amp;E694&amp;" periode "&amp;C694)</f>
        <v/>
      </c>
    </row>
    <row r="695">
      <c r="A695" s="3">
        <f>IF(Penyusutan!D695="","","JRN-"&amp;TEXT(ROW()-1,"0000"))</f>
        <v/>
      </c>
      <c r="B695" s="4" t="n">
        <v>46022</v>
      </c>
      <c r="C695" s="3">
        <f>Penyusutan!B695</f>
        <v/>
      </c>
      <c r="D695" s="3">
        <f>Penyusutan!C695</f>
        <v/>
      </c>
      <c r="E695" s="3">
        <f>Penyusutan!D695</f>
        <v/>
      </c>
      <c r="F695" s="3" t="inlineStr">
        <is>
          <t>Inventaris Ruangan</t>
        </is>
      </c>
      <c r="G695" s="3" t="inlineStr"/>
      <c r="H695" s="3" t="inlineStr">
        <is>
          <t>Beban Penyusutan Inventaris Ruangan</t>
        </is>
      </c>
      <c r="I695" s="5">
        <f>Penyusutan!M695</f>
        <v/>
      </c>
      <c r="J695" s="3" t="inlineStr"/>
      <c r="K695" s="3" t="inlineStr">
        <is>
          <t>Akumulasi Penyusutan Inventaris Ruangan</t>
        </is>
      </c>
      <c r="L695" s="5">
        <f>Penyusutan!M695</f>
        <v/>
      </c>
      <c r="M695" s="3">
        <f>IF(E695="","","Penyusutan "&amp;E695&amp;" periode "&amp;C695)</f>
        <v/>
      </c>
    </row>
    <row r="696">
      <c r="A696" s="3">
        <f>IF(Penyusutan!D696="","","JRN-"&amp;TEXT(ROW()-1,"0000"))</f>
        <v/>
      </c>
      <c r="B696" s="4" t="n">
        <v>46022</v>
      </c>
      <c r="C696" s="3">
        <f>Penyusutan!B696</f>
        <v/>
      </c>
      <c r="D696" s="3">
        <f>Penyusutan!C696</f>
        <v/>
      </c>
      <c r="E696" s="3">
        <f>Penyusutan!D696</f>
        <v/>
      </c>
      <c r="F696" s="3" t="inlineStr">
        <is>
          <t>Inventaris Ruangan</t>
        </is>
      </c>
      <c r="G696" s="3" t="inlineStr"/>
      <c r="H696" s="3" t="inlineStr">
        <is>
          <t>Beban Penyusutan Inventaris Ruangan</t>
        </is>
      </c>
      <c r="I696" s="5">
        <f>Penyusutan!M696</f>
        <v/>
      </c>
      <c r="J696" s="3" t="inlineStr"/>
      <c r="K696" s="3" t="inlineStr">
        <is>
          <t>Akumulasi Penyusutan Inventaris Ruangan</t>
        </is>
      </c>
      <c r="L696" s="5">
        <f>Penyusutan!M696</f>
        <v/>
      </c>
      <c r="M696" s="3">
        <f>IF(E696="","","Penyusutan "&amp;E696&amp;" periode "&amp;C696)</f>
        <v/>
      </c>
    </row>
    <row r="697">
      <c r="A697" s="3">
        <f>IF(Penyusutan!D697="","","JRN-"&amp;TEXT(ROW()-1,"0000"))</f>
        <v/>
      </c>
      <c r="B697" s="4" t="n">
        <v>46022</v>
      </c>
      <c r="C697" s="3">
        <f>Penyusutan!B697</f>
        <v/>
      </c>
      <c r="D697" s="3">
        <f>Penyusutan!C697</f>
        <v/>
      </c>
      <c r="E697" s="3">
        <f>Penyusutan!D697</f>
        <v/>
      </c>
      <c r="F697" s="3" t="inlineStr">
        <is>
          <t>Inventaris Ruangan</t>
        </is>
      </c>
      <c r="G697" s="3" t="inlineStr"/>
      <c r="H697" s="3" t="inlineStr">
        <is>
          <t>Beban Penyusutan Inventaris Ruangan</t>
        </is>
      </c>
      <c r="I697" s="5">
        <f>Penyusutan!M697</f>
        <v/>
      </c>
      <c r="J697" s="3" t="inlineStr"/>
      <c r="K697" s="3" t="inlineStr">
        <is>
          <t>Akumulasi Penyusutan Inventaris Ruangan</t>
        </is>
      </c>
      <c r="L697" s="5">
        <f>Penyusutan!M697</f>
        <v/>
      </c>
      <c r="M697" s="3">
        <f>IF(E697="","","Penyusutan "&amp;E697&amp;" periode "&amp;C697)</f>
        <v/>
      </c>
    </row>
    <row r="698">
      <c r="A698" s="3">
        <f>IF(Penyusutan!D698="","","JRN-"&amp;TEXT(ROW()-1,"0000"))</f>
        <v/>
      </c>
      <c r="B698" s="4" t="n">
        <v>46022</v>
      </c>
      <c r="C698" s="3">
        <f>Penyusutan!B698</f>
        <v/>
      </c>
      <c r="D698" s="3">
        <f>Penyusutan!C698</f>
        <v/>
      </c>
      <c r="E698" s="3">
        <f>Penyusutan!D698</f>
        <v/>
      </c>
      <c r="F698" s="3" t="inlineStr">
        <is>
          <t>Inventaris Ruangan</t>
        </is>
      </c>
      <c r="G698" s="3" t="inlineStr"/>
      <c r="H698" s="3" t="inlineStr">
        <is>
          <t>Beban Penyusutan Inventaris Ruangan</t>
        </is>
      </c>
      <c r="I698" s="5">
        <f>Penyusutan!M698</f>
        <v/>
      </c>
      <c r="J698" s="3" t="inlineStr"/>
      <c r="K698" s="3" t="inlineStr">
        <is>
          <t>Akumulasi Penyusutan Inventaris Ruangan</t>
        </is>
      </c>
      <c r="L698" s="5">
        <f>Penyusutan!M698</f>
        <v/>
      </c>
      <c r="M698" s="3">
        <f>IF(E698="","","Penyusutan "&amp;E698&amp;" periode "&amp;C698)</f>
        <v/>
      </c>
    </row>
    <row r="699">
      <c r="A699" s="3">
        <f>IF(Penyusutan!D699="","","JRN-"&amp;TEXT(ROW()-1,"0000"))</f>
        <v/>
      </c>
      <c r="B699" s="4" t="n">
        <v>46022</v>
      </c>
      <c r="C699" s="3">
        <f>Penyusutan!B699</f>
        <v/>
      </c>
      <c r="D699" s="3">
        <f>Penyusutan!C699</f>
        <v/>
      </c>
      <c r="E699" s="3">
        <f>Penyusutan!D699</f>
        <v/>
      </c>
      <c r="F699" s="3" t="inlineStr">
        <is>
          <t>Inventaris Ruangan</t>
        </is>
      </c>
      <c r="G699" s="3" t="inlineStr"/>
      <c r="H699" s="3" t="inlineStr">
        <is>
          <t>Beban Penyusutan Inventaris Ruangan</t>
        </is>
      </c>
      <c r="I699" s="5">
        <f>Penyusutan!M699</f>
        <v/>
      </c>
      <c r="J699" s="3" t="inlineStr"/>
      <c r="K699" s="3" t="inlineStr">
        <is>
          <t>Akumulasi Penyusutan Inventaris Ruangan</t>
        </is>
      </c>
      <c r="L699" s="5">
        <f>Penyusutan!M699</f>
        <v/>
      </c>
      <c r="M699" s="3">
        <f>IF(E699="","","Penyusutan "&amp;E699&amp;" periode "&amp;C699)</f>
        <v/>
      </c>
    </row>
    <row r="700">
      <c r="A700" s="3">
        <f>IF(Penyusutan!D700="","","JRN-"&amp;TEXT(ROW()-1,"0000"))</f>
        <v/>
      </c>
      <c r="B700" s="4" t="n">
        <v>46022</v>
      </c>
      <c r="C700" s="3">
        <f>Penyusutan!B700</f>
        <v/>
      </c>
      <c r="D700" s="3">
        <f>Penyusutan!C700</f>
        <v/>
      </c>
      <c r="E700" s="3">
        <f>Penyusutan!D700</f>
        <v/>
      </c>
      <c r="F700" s="3" t="inlineStr">
        <is>
          <t>Inventaris Ruangan</t>
        </is>
      </c>
      <c r="G700" s="3" t="inlineStr"/>
      <c r="H700" s="3" t="inlineStr">
        <is>
          <t>Beban Penyusutan Inventaris Ruangan</t>
        </is>
      </c>
      <c r="I700" s="5">
        <f>Penyusutan!M700</f>
        <v/>
      </c>
      <c r="J700" s="3" t="inlineStr"/>
      <c r="K700" s="3" t="inlineStr">
        <is>
          <t>Akumulasi Penyusutan Inventaris Ruangan</t>
        </is>
      </c>
      <c r="L700" s="5">
        <f>Penyusutan!M700</f>
        <v/>
      </c>
      <c r="M700" s="3">
        <f>IF(E700="","","Penyusutan "&amp;E700&amp;" periode "&amp;C700)</f>
        <v/>
      </c>
    </row>
    <row r="701">
      <c r="A701" s="3">
        <f>IF(Penyusutan!D701="","","JRN-"&amp;TEXT(ROW()-1,"0000"))</f>
        <v/>
      </c>
      <c r="B701" s="4" t="n">
        <v>46022</v>
      </c>
      <c r="C701" s="3">
        <f>Penyusutan!B701</f>
        <v/>
      </c>
      <c r="D701" s="3">
        <f>Penyusutan!C701</f>
        <v/>
      </c>
      <c r="E701" s="3">
        <f>Penyusutan!D701</f>
        <v/>
      </c>
      <c r="F701" s="3" t="inlineStr">
        <is>
          <t>Inventaris Ruangan</t>
        </is>
      </c>
      <c r="G701" s="3" t="inlineStr"/>
      <c r="H701" s="3" t="inlineStr">
        <is>
          <t>Beban Penyusutan Inventaris Ruangan</t>
        </is>
      </c>
      <c r="I701" s="5">
        <f>Penyusutan!M701</f>
        <v/>
      </c>
      <c r="J701" s="3" t="inlineStr"/>
      <c r="K701" s="3" t="inlineStr">
        <is>
          <t>Akumulasi Penyusutan Inventaris Ruangan</t>
        </is>
      </c>
      <c r="L701" s="5">
        <f>Penyusutan!M701</f>
        <v/>
      </c>
      <c r="M701" s="3">
        <f>IF(E701="","","Penyusutan "&amp;E701&amp;" periode "&amp;C701)</f>
        <v/>
      </c>
    </row>
    <row r="702">
      <c r="A702" s="3">
        <f>IF(Penyusutan!D702="","","JRN-"&amp;TEXT(ROW()-1,"0000"))</f>
        <v/>
      </c>
      <c r="B702" s="4" t="n">
        <v>46022</v>
      </c>
      <c r="C702" s="3">
        <f>Penyusutan!B702</f>
        <v/>
      </c>
      <c r="D702" s="3">
        <f>Penyusutan!C702</f>
        <v/>
      </c>
      <c r="E702" s="3">
        <f>Penyusutan!D702</f>
        <v/>
      </c>
      <c r="F702" s="3" t="inlineStr">
        <is>
          <t>Inventaris Ruangan</t>
        </is>
      </c>
      <c r="G702" s="3" t="inlineStr"/>
      <c r="H702" s="3" t="inlineStr">
        <is>
          <t>Beban Penyusutan Inventaris Ruangan</t>
        </is>
      </c>
      <c r="I702" s="5">
        <f>Penyusutan!M702</f>
        <v/>
      </c>
      <c r="J702" s="3" t="inlineStr"/>
      <c r="K702" s="3" t="inlineStr">
        <is>
          <t>Akumulasi Penyusutan Inventaris Ruangan</t>
        </is>
      </c>
      <c r="L702" s="5">
        <f>Penyusutan!M702</f>
        <v/>
      </c>
      <c r="M702" s="3">
        <f>IF(E702="","","Penyusutan "&amp;E702&amp;" periode "&amp;C702)</f>
        <v/>
      </c>
    </row>
    <row r="703">
      <c r="A703" s="3">
        <f>IF(Penyusutan!D703="","","JRN-"&amp;TEXT(ROW()-1,"0000"))</f>
        <v/>
      </c>
      <c r="B703" s="4" t="n">
        <v>46022</v>
      </c>
      <c r="C703" s="3">
        <f>Penyusutan!B703</f>
        <v/>
      </c>
      <c r="D703" s="3">
        <f>Penyusutan!C703</f>
        <v/>
      </c>
      <c r="E703" s="3">
        <f>Penyusutan!D703</f>
        <v/>
      </c>
      <c r="F703" s="3" t="inlineStr">
        <is>
          <t>Inventaris Ruangan</t>
        </is>
      </c>
      <c r="G703" s="3" t="inlineStr"/>
      <c r="H703" s="3" t="inlineStr">
        <is>
          <t>Beban Penyusutan Inventaris Ruangan</t>
        </is>
      </c>
      <c r="I703" s="5">
        <f>Penyusutan!M703</f>
        <v/>
      </c>
      <c r="J703" s="3" t="inlineStr"/>
      <c r="K703" s="3" t="inlineStr">
        <is>
          <t>Akumulasi Penyusutan Inventaris Ruangan</t>
        </is>
      </c>
      <c r="L703" s="5">
        <f>Penyusutan!M703</f>
        <v/>
      </c>
      <c r="M703" s="3">
        <f>IF(E703="","","Penyusutan "&amp;E703&amp;" periode "&amp;C703)</f>
        <v/>
      </c>
    </row>
    <row r="704">
      <c r="A704" s="3">
        <f>IF(Penyusutan!D704="","","JRN-"&amp;TEXT(ROW()-1,"0000"))</f>
        <v/>
      </c>
      <c r="B704" s="4" t="n">
        <v>46022</v>
      </c>
      <c r="C704" s="3">
        <f>Penyusutan!B704</f>
        <v/>
      </c>
      <c r="D704" s="3">
        <f>Penyusutan!C704</f>
        <v/>
      </c>
      <c r="E704" s="3">
        <f>Penyusutan!D704</f>
        <v/>
      </c>
      <c r="F704" s="3" t="inlineStr">
        <is>
          <t>Inventaris Ruangan</t>
        </is>
      </c>
      <c r="G704" s="3" t="inlineStr"/>
      <c r="H704" s="3" t="inlineStr">
        <is>
          <t>Beban Penyusutan Inventaris Ruangan</t>
        </is>
      </c>
      <c r="I704" s="5">
        <f>Penyusutan!M704</f>
        <v/>
      </c>
      <c r="J704" s="3" t="inlineStr"/>
      <c r="K704" s="3" t="inlineStr">
        <is>
          <t>Akumulasi Penyusutan Inventaris Ruangan</t>
        </is>
      </c>
      <c r="L704" s="5">
        <f>Penyusutan!M704</f>
        <v/>
      </c>
      <c r="M704" s="3">
        <f>IF(E704="","","Penyusutan "&amp;E704&amp;" periode "&amp;C704)</f>
        <v/>
      </c>
    </row>
    <row r="705">
      <c r="A705" s="3">
        <f>IF(Penyusutan!D705="","","JRN-"&amp;TEXT(ROW()-1,"0000"))</f>
        <v/>
      </c>
      <c r="B705" s="4" t="n">
        <v>46022</v>
      </c>
      <c r="C705" s="3">
        <f>Penyusutan!B705</f>
        <v/>
      </c>
      <c r="D705" s="3">
        <f>Penyusutan!C705</f>
        <v/>
      </c>
      <c r="E705" s="3">
        <f>Penyusutan!D705</f>
        <v/>
      </c>
      <c r="F705" s="3" t="inlineStr">
        <is>
          <t>Inventaris Ruangan</t>
        </is>
      </c>
      <c r="G705" s="3" t="inlineStr"/>
      <c r="H705" s="3" t="inlineStr">
        <is>
          <t>Beban Penyusutan Inventaris Ruangan</t>
        </is>
      </c>
      <c r="I705" s="5">
        <f>Penyusutan!M705</f>
        <v/>
      </c>
      <c r="J705" s="3" t="inlineStr"/>
      <c r="K705" s="3" t="inlineStr">
        <is>
          <t>Akumulasi Penyusutan Inventaris Ruangan</t>
        </is>
      </c>
      <c r="L705" s="5">
        <f>Penyusutan!M705</f>
        <v/>
      </c>
      <c r="M705" s="3">
        <f>IF(E705="","","Penyusutan "&amp;E705&amp;" periode "&amp;C705)</f>
        <v/>
      </c>
    </row>
    <row r="706">
      <c r="A706" s="3">
        <f>IF(Penyusutan!D706="","","JRN-"&amp;TEXT(ROW()-1,"0000"))</f>
        <v/>
      </c>
      <c r="B706" s="4" t="n">
        <v>46022</v>
      </c>
      <c r="C706" s="3">
        <f>Penyusutan!B706</f>
        <v/>
      </c>
      <c r="D706" s="3">
        <f>Penyusutan!C706</f>
        <v/>
      </c>
      <c r="E706" s="3">
        <f>Penyusutan!D706</f>
        <v/>
      </c>
      <c r="F706" s="3" t="inlineStr">
        <is>
          <t>Inventaris Ruangan</t>
        </is>
      </c>
      <c r="G706" s="3" t="inlineStr"/>
      <c r="H706" s="3" t="inlineStr">
        <is>
          <t>Beban Penyusutan Inventaris Ruangan</t>
        </is>
      </c>
      <c r="I706" s="5">
        <f>Penyusutan!M706</f>
        <v/>
      </c>
      <c r="J706" s="3" t="inlineStr"/>
      <c r="K706" s="3" t="inlineStr">
        <is>
          <t>Akumulasi Penyusutan Inventaris Ruangan</t>
        </is>
      </c>
      <c r="L706" s="5">
        <f>Penyusutan!M706</f>
        <v/>
      </c>
      <c r="M706" s="3">
        <f>IF(E706="","","Penyusutan "&amp;E706&amp;" periode "&amp;C706)</f>
        <v/>
      </c>
    </row>
    <row r="707">
      <c r="A707" s="3">
        <f>IF(Penyusutan!D707="","","JRN-"&amp;TEXT(ROW()-1,"0000"))</f>
        <v/>
      </c>
      <c r="B707" s="4" t="n">
        <v>46022</v>
      </c>
      <c r="C707" s="3">
        <f>Penyusutan!B707</f>
        <v/>
      </c>
      <c r="D707" s="3">
        <f>Penyusutan!C707</f>
        <v/>
      </c>
      <c r="E707" s="3">
        <f>Penyusutan!D707</f>
        <v/>
      </c>
      <c r="F707" s="3" t="inlineStr">
        <is>
          <t>Inventaris Ruangan</t>
        </is>
      </c>
      <c r="G707" s="3" t="inlineStr"/>
      <c r="H707" s="3" t="inlineStr">
        <is>
          <t>Beban Penyusutan Inventaris Ruangan</t>
        </is>
      </c>
      <c r="I707" s="5">
        <f>Penyusutan!M707</f>
        <v/>
      </c>
      <c r="J707" s="3" t="inlineStr"/>
      <c r="K707" s="3" t="inlineStr">
        <is>
          <t>Akumulasi Penyusutan Inventaris Ruangan</t>
        </is>
      </c>
      <c r="L707" s="5">
        <f>Penyusutan!M707</f>
        <v/>
      </c>
      <c r="M707" s="3">
        <f>IF(E707="","","Penyusutan "&amp;E707&amp;" periode "&amp;C707)</f>
        <v/>
      </c>
    </row>
    <row r="708">
      <c r="A708" s="3">
        <f>IF(Penyusutan!D708="","","JRN-"&amp;TEXT(ROW()-1,"0000"))</f>
        <v/>
      </c>
      <c r="B708" s="4" t="n">
        <v>46022</v>
      </c>
      <c r="C708" s="3">
        <f>Penyusutan!B708</f>
        <v/>
      </c>
      <c r="D708" s="3">
        <f>Penyusutan!C708</f>
        <v/>
      </c>
      <c r="E708" s="3">
        <f>Penyusutan!D708</f>
        <v/>
      </c>
      <c r="F708" s="3" t="inlineStr">
        <is>
          <t>Inventaris Ruangan</t>
        </is>
      </c>
      <c r="G708" s="3" t="inlineStr"/>
      <c r="H708" s="3" t="inlineStr">
        <is>
          <t>Beban Penyusutan Inventaris Ruangan</t>
        </is>
      </c>
      <c r="I708" s="5">
        <f>Penyusutan!M708</f>
        <v/>
      </c>
      <c r="J708" s="3" t="inlineStr"/>
      <c r="K708" s="3" t="inlineStr">
        <is>
          <t>Akumulasi Penyusutan Inventaris Ruangan</t>
        </is>
      </c>
      <c r="L708" s="5">
        <f>Penyusutan!M708</f>
        <v/>
      </c>
      <c r="M708" s="3">
        <f>IF(E708="","","Penyusutan "&amp;E708&amp;" periode "&amp;C708)</f>
        <v/>
      </c>
    </row>
    <row r="709">
      <c r="A709" s="3">
        <f>IF(Penyusutan!D709="","","JRN-"&amp;TEXT(ROW()-1,"0000"))</f>
        <v/>
      </c>
      <c r="B709" s="4" t="n">
        <v>46022</v>
      </c>
      <c r="C709" s="3">
        <f>Penyusutan!B709</f>
        <v/>
      </c>
      <c r="D709" s="3">
        <f>Penyusutan!C709</f>
        <v/>
      </c>
      <c r="E709" s="3">
        <f>Penyusutan!D709</f>
        <v/>
      </c>
      <c r="F709" s="3" t="inlineStr">
        <is>
          <t>Inventaris Ruangan</t>
        </is>
      </c>
      <c r="G709" s="3" t="inlineStr"/>
      <c r="H709" s="3" t="inlineStr">
        <is>
          <t>Beban Penyusutan Inventaris Ruangan</t>
        </is>
      </c>
      <c r="I709" s="5">
        <f>Penyusutan!M709</f>
        <v/>
      </c>
      <c r="J709" s="3" t="inlineStr"/>
      <c r="K709" s="3" t="inlineStr">
        <is>
          <t>Akumulasi Penyusutan Inventaris Ruangan</t>
        </is>
      </c>
      <c r="L709" s="5">
        <f>Penyusutan!M709</f>
        <v/>
      </c>
      <c r="M709" s="3">
        <f>IF(E709="","","Penyusutan "&amp;E709&amp;" periode "&amp;C709)</f>
        <v/>
      </c>
    </row>
    <row r="710">
      <c r="A710" s="3">
        <f>IF(Penyusutan!D710="","","JRN-"&amp;TEXT(ROW()-1,"0000"))</f>
        <v/>
      </c>
      <c r="B710" s="4" t="n">
        <v>46022</v>
      </c>
      <c r="C710" s="3">
        <f>Penyusutan!B710</f>
        <v/>
      </c>
      <c r="D710" s="3">
        <f>Penyusutan!C710</f>
        <v/>
      </c>
      <c r="E710" s="3">
        <f>Penyusutan!D710</f>
        <v/>
      </c>
      <c r="F710" s="3" t="inlineStr">
        <is>
          <t>Inventaris Ruangan</t>
        </is>
      </c>
      <c r="G710" s="3" t="inlineStr"/>
      <c r="H710" s="3" t="inlineStr">
        <is>
          <t>Beban Penyusutan Inventaris Ruangan</t>
        </is>
      </c>
      <c r="I710" s="5">
        <f>Penyusutan!M710</f>
        <v/>
      </c>
      <c r="J710" s="3" t="inlineStr"/>
      <c r="K710" s="3" t="inlineStr">
        <is>
          <t>Akumulasi Penyusutan Inventaris Ruangan</t>
        </is>
      </c>
      <c r="L710" s="5">
        <f>Penyusutan!M710</f>
        <v/>
      </c>
      <c r="M710" s="3">
        <f>IF(E710="","","Penyusutan "&amp;E710&amp;" periode "&amp;C710)</f>
        <v/>
      </c>
    </row>
    <row r="711">
      <c r="A711" s="3">
        <f>IF(Penyusutan!D711="","","JRN-"&amp;TEXT(ROW()-1,"0000"))</f>
        <v/>
      </c>
      <c r="B711" s="4" t="n">
        <v>46022</v>
      </c>
      <c r="C711" s="3">
        <f>Penyusutan!B711</f>
        <v/>
      </c>
      <c r="D711" s="3">
        <f>Penyusutan!C711</f>
        <v/>
      </c>
      <c r="E711" s="3">
        <f>Penyusutan!D711</f>
        <v/>
      </c>
      <c r="F711" s="3" t="inlineStr">
        <is>
          <t>Inventaris Ruangan</t>
        </is>
      </c>
      <c r="G711" s="3" t="inlineStr"/>
      <c r="H711" s="3" t="inlineStr">
        <is>
          <t>Beban Penyusutan Inventaris Ruangan</t>
        </is>
      </c>
      <c r="I711" s="5">
        <f>Penyusutan!M711</f>
        <v/>
      </c>
      <c r="J711" s="3" t="inlineStr"/>
      <c r="K711" s="3" t="inlineStr">
        <is>
          <t>Akumulasi Penyusutan Inventaris Ruangan</t>
        </is>
      </c>
      <c r="L711" s="5">
        <f>Penyusutan!M711</f>
        <v/>
      </c>
      <c r="M711" s="3">
        <f>IF(E711="","","Penyusutan "&amp;E711&amp;" periode "&amp;C711)</f>
        <v/>
      </c>
    </row>
    <row r="712">
      <c r="A712" s="3">
        <f>IF(Penyusutan!D712="","","JRN-"&amp;TEXT(ROW()-1,"0000"))</f>
        <v/>
      </c>
      <c r="B712" s="4" t="n">
        <v>46022</v>
      </c>
      <c r="C712" s="3">
        <f>Penyusutan!B712</f>
        <v/>
      </c>
      <c r="D712" s="3">
        <f>Penyusutan!C712</f>
        <v/>
      </c>
      <c r="E712" s="3">
        <f>Penyusutan!D712</f>
        <v/>
      </c>
      <c r="F712" s="3" t="inlineStr">
        <is>
          <t>Inventaris Ruangan</t>
        </is>
      </c>
      <c r="G712" s="3" t="inlineStr"/>
      <c r="H712" s="3" t="inlineStr">
        <is>
          <t>Beban Penyusutan Inventaris Ruangan</t>
        </is>
      </c>
      <c r="I712" s="5">
        <f>Penyusutan!M712</f>
        <v/>
      </c>
      <c r="J712" s="3" t="inlineStr"/>
      <c r="K712" s="3" t="inlineStr">
        <is>
          <t>Akumulasi Penyusutan Inventaris Ruangan</t>
        </is>
      </c>
      <c r="L712" s="5">
        <f>Penyusutan!M712</f>
        <v/>
      </c>
      <c r="M712" s="3">
        <f>IF(E712="","","Penyusutan "&amp;E712&amp;" periode "&amp;C712)</f>
        <v/>
      </c>
    </row>
    <row r="713">
      <c r="A713" s="3">
        <f>IF(Penyusutan!D713="","","JRN-"&amp;TEXT(ROW()-1,"0000"))</f>
        <v/>
      </c>
      <c r="B713" s="4" t="n">
        <v>46022</v>
      </c>
      <c r="C713" s="3">
        <f>Penyusutan!B713</f>
        <v/>
      </c>
      <c r="D713" s="3">
        <f>Penyusutan!C713</f>
        <v/>
      </c>
      <c r="E713" s="3">
        <f>Penyusutan!D713</f>
        <v/>
      </c>
      <c r="F713" s="3" t="inlineStr">
        <is>
          <t>Inventaris Ruangan</t>
        </is>
      </c>
      <c r="G713" s="3" t="inlineStr"/>
      <c r="H713" s="3" t="inlineStr">
        <is>
          <t>Beban Penyusutan Inventaris Ruangan</t>
        </is>
      </c>
      <c r="I713" s="5">
        <f>Penyusutan!M713</f>
        <v/>
      </c>
      <c r="J713" s="3" t="inlineStr"/>
      <c r="K713" s="3" t="inlineStr">
        <is>
          <t>Akumulasi Penyusutan Inventaris Ruangan</t>
        </is>
      </c>
      <c r="L713" s="5">
        <f>Penyusutan!M713</f>
        <v/>
      </c>
      <c r="M713" s="3">
        <f>IF(E713="","","Penyusutan "&amp;E713&amp;" periode "&amp;C713)</f>
        <v/>
      </c>
    </row>
    <row r="714">
      <c r="A714" s="3">
        <f>IF(Penyusutan!D714="","","JRN-"&amp;TEXT(ROW()-1,"0000"))</f>
        <v/>
      </c>
      <c r="B714" s="4" t="n">
        <v>46022</v>
      </c>
      <c r="C714" s="3">
        <f>Penyusutan!B714</f>
        <v/>
      </c>
      <c r="D714" s="3">
        <f>Penyusutan!C714</f>
        <v/>
      </c>
      <c r="E714" s="3">
        <f>Penyusutan!D714</f>
        <v/>
      </c>
      <c r="F714" s="3" t="inlineStr">
        <is>
          <t>Inventaris Ruangan</t>
        </is>
      </c>
      <c r="G714" s="3" t="inlineStr"/>
      <c r="H714" s="3" t="inlineStr">
        <is>
          <t>Beban Penyusutan Inventaris Ruangan</t>
        </is>
      </c>
      <c r="I714" s="5">
        <f>Penyusutan!M714</f>
        <v/>
      </c>
      <c r="J714" s="3" t="inlineStr"/>
      <c r="K714" s="3" t="inlineStr">
        <is>
          <t>Akumulasi Penyusutan Inventaris Ruangan</t>
        </is>
      </c>
      <c r="L714" s="5">
        <f>Penyusutan!M714</f>
        <v/>
      </c>
      <c r="M714" s="3">
        <f>IF(E714="","","Penyusutan "&amp;E714&amp;" periode "&amp;C714)</f>
        <v/>
      </c>
    </row>
    <row r="715">
      <c r="A715" s="3">
        <f>IF(Penyusutan!D715="","","JRN-"&amp;TEXT(ROW()-1,"0000"))</f>
        <v/>
      </c>
      <c r="B715" s="4" t="n">
        <v>46022</v>
      </c>
      <c r="C715" s="3">
        <f>Penyusutan!B715</f>
        <v/>
      </c>
      <c r="D715" s="3">
        <f>Penyusutan!C715</f>
        <v/>
      </c>
      <c r="E715" s="3">
        <f>Penyusutan!D715</f>
        <v/>
      </c>
      <c r="F715" s="3" t="inlineStr">
        <is>
          <t>Inventaris Ruangan</t>
        </is>
      </c>
      <c r="G715" s="3" t="inlineStr"/>
      <c r="H715" s="3" t="inlineStr">
        <is>
          <t>Beban Penyusutan Inventaris Ruangan</t>
        </is>
      </c>
      <c r="I715" s="5">
        <f>Penyusutan!M715</f>
        <v/>
      </c>
      <c r="J715" s="3" t="inlineStr"/>
      <c r="K715" s="3" t="inlineStr">
        <is>
          <t>Akumulasi Penyusutan Inventaris Ruangan</t>
        </is>
      </c>
      <c r="L715" s="5">
        <f>Penyusutan!M715</f>
        <v/>
      </c>
      <c r="M715" s="3">
        <f>IF(E715="","","Penyusutan "&amp;E715&amp;" periode "&amp;C715)</f>
        <v/>
      </c>
    </row>
    <row r="716">
      <c r="A716" s="3">
        <f>IF(Penyusutan!D716="","","JRN-"&amp;TEXT(ROW()-1,"0000"))</f>
        <v/>
      </c>
      <c r="B716" s="4" t="n">
        <v>46022</v>
      </c>
      <c r="C716" s="3">
        <f>Penyusutan!B716</f>
        <v/>
      </c>
      <c r="D716" s="3">
        <f>Penyusutan!C716</f>
        <v/>
      </c>
      <c r="E716" s="3">
        <f>Penyusutan!D716</f>
        <v/>
      </c>
      <c r="F716" s="3" t="inlineStr">
        <is>
          <t>Inventaris Ruangan</t>
        </is>
      </c>
      <c r="G716" s="3" t="inlineStr"/>
      <c r="H716" s="3" t="inlineStr">
        <is>
          <t>Beban Penyusutan Inventaris Ruangan</t>
        </is>
      </c>
      <c r="I716" s="5">
        <f>Penyusutan!M716</f>
        <v/>
      </c>
      <c r="J716" s="3" t="inlineStr"/>
      <c r="K716" s="3" t="inlineStr">
        <is>
          <t>Akumulasi Penyusutan Inventaris Ruangan</t>
        </is>
      </c>
      <c r="L716" s="5">
        <f>Penyusutan!M716</f>
        <v/>
      </c>
      <c r="M716" s="3">
        <f>IF(E716="","","Penyusutan "&amp;E716&amp;" periode "&amp;C716)</f>
        <v/>
      </c>
    </row>
    <row r="717">
      <c r="A717" s="3">
        <f>IF(Penyusutan!D717="","","JRN-"&amp;TEXT(ROW()-1,"0000"))</f>
        <v/>
      </c>
      <c r="B717" s="4" t="n">
        <v>46022</v>
      </c>
      <c r="C717" s="3">
        <f>Penyusutan!B717</f>
        <v/>
      </c>
      <c r="D717" s="3">
        <f>Penyusutan!C717</f>
        <v/>
      </c>
      <c r="E717" s="3">
        <f>Penyusutan!D717</f>
        <v/>
      </c>
      <c r="F717" s="3" t="inlineStr">
        <is>
          <t>Inventaris Ruangan</t>
        </is>
      </c>
      <c r="G717" s="3" t="inlineStr"/>
      <c r="H717" s="3" t="inlineStr">
        <is>
          <t>Beban Penyusutan Inventaris Ruangan</t>
        </is>
      </c>
      <c r="I717" s="5">
        <f>Penyusutan!M717</f>
        <v/>
      </c>
      <c r="J717" s="3" t="inlineStr"/>
      <c r="K717" s="3" t="inlineStr">
        <is>
          <t>Akumulasi Penyusutan Inventaris Ruangan</t>
        </is>
      </c>
      <c r="L717" s="5">
        <f>Penyusutan!M717</f>
        <v/>
      </c>
      <c r="M717" s="3">
        <f>IF(E717="","","Penyusutan "&amp;E717&amp;" periode "&amp;C717)</f>
        <v/>
      </c>
    </row>
    <row r="718">
      <c r="A718" s="3">
        <f>IF(Penyusutan!D718="","","JRN-"&amp;TEXT(ROW()-1,"0000"))</f>
        <v/>
      </c>
      <c r="B718" s="4" t="n">
        <v>46022</v>
      </c>
      <c r="C718" s="3">
        <f>Penyusutan!B718</f>
        <v/>
      </c>
      <c r="D718" s="3">
        <f>Penyusutan!C718</f>
        <v/>
      </c>
      <c r="E718" s="3">
        <f>Penyusutan!D718</f>
        <v/>
      </c>
      <c r="F718" s="3" t="inlineStr">
        <is>
          <t>Inventaris Ruangan</t>
        </is>
      </c>
      <c r="G718" s="3" t="inlineStr"/>
      <c r="H718" s="3" t="inlineStr">
        <is>
          <t>Beban Penyusutan Inventaris Ruangan</t>
        </is>
      </c>
      <c r="I718" s="5">
        <f>Penyusutan!M718</f>
        <v/>
      </c>
      <c r="J718" s="3" t="inlineStr"/>
      <c r="K718" s="3" t="inlineStr">
        <is>
          <t>Akumulasi Penyusutan Inventaris Ruangan</t>
        </is>
      </c>
      <c r="L718" s="5">
        <f>Penyusutan!M718</f>
        <v/>
      </c>
      <c r="M718" s="3">
        <f>IF(E718="","","Penyusutan "&amp;E718&amp;" periode "&amp;C718)</f>
        <v/>
      </c>
    </row>
    <row r="719">
      <c r="A719" s="3">
        <f>IF(Penyusutan!D719="","","JRN-"&amp;TEXT(ROW()-1,"0000"))</f>
        <v/>
      </c>
      <c r="B719" s="4" t="n">
        <v>46022</v>
      </c>
      <c r="C719" s="3">
        <f>Penyusutan!B719</f>
        <v/>
      </c>
      <c r="D719" s="3">
        <f>Penyusutan!C719</f>
        <v/>
      </c>
      <c r="E719" s="3">
        <f>Penyusutan!D719</f>
        <v/>
      </c>
      <c r="F719" s="3" t="inlineStr">
        <is>
          <t>Inventaris Ruangan</t>
        </is>
      </c>
      <c r="G719" s="3" t="inlineStr"/>
      <c r="H719" s="3" t="inlineStr">
        <is>
          <t>Beban Penyusutan Inventaris Ruangan</t>
        </is>
      </c>
      <c r="I719" s="5">
        <f>Penyusutan!M719</f>
        <v/>
      </c>
      <c r="J719" s="3" t="inlineStr"/>
      <c r="K719" s="3" t="inlineStr">
        <is>
          <t>Akumulasi Penyusutan Inventaris Ruangan</t>
        </is>
      </c>
      <c r="L719" s="5">
        <f>Penyusutan!M719</f>
        <v/>
      </c>
      <c r="M719" s="3">
        <f>IF(E719="","","Penyusutan "&amp;E719&amp;" periode "&amp;C719)</f>
        <v/>
      </c>
    </row>
    <row r="720">
      <c r="A720" s="3">
        <f>IF(Penyusutan!D720="","","JRN-"&amp;TEXT(ROW()-1,"0000"))</f>
        <v/>
      </c>
      <c r="B720" s="4" t="n">
        <v>46022</v>
      </c>
      <c r="C720" s="3">
        <f>Penyusutan!B720</f>
        <v/>
      </c>
      <c r="D720" s="3">
        <f>Penyusutan!C720</f>
        <v/>
      </c>
      <c r="E720" s="3">
        <f>Penyusutan!D720</f>
        <v/>
      </c>
      <c r="F720" s="3" t="inlineStr">
        <is>
          <t>Inventaris Ruangan</t>
        </is>
      </c>
      <c r="G720" s="3" t="inlineStr"/>
      <c r="H720" s="3" t="inlineStr">
        <is>
          <t>Beban Penyusutan Inventaris Ruangan</t>
        </is>
      </c>
      <c r="I720" s="5">
        <f>Penyusutan!M720</f>
        <v/>
      </c>
      <c r="J720" s="3" t="inlineStr"/>
      <c r="K720" s="3" t="inlineStr">
        <is>
          <t>Akumulasi Penyusutan Inventaris Ruangan</t>
        </is>
      </c>
      <c r="L720" s="5">
        <f>Penyusutan!M720</f>
        <v/>
      </c>
      <c r="M720" s="3">
        <f>IF(E720="","","Penyusutan "&amp;E720&amp;" periode "&amp;C720)</f>
        <v/>
      </c>
    </row>
    <row r="721">
      <c r="A721" s="3">
        <f>IF(Penyusutan!D721="","","JRN-"&amp;TEXT(ROW()-1,"0000"))</f>
        <v/>
      </c>
      <c r="B721" s="4" t="n">
        <v>46022</v>
      </c>
      <c r="C721" s="3">
        <f>Penyusutan!B721</f>
        <v/>
      </c>
      <c r="D721" s="3">
        <f>Penyusutan!C721</f>
        <v/>
      </c>
      <c r="E721" s="3">
        <f>Penyusutan!D721</f>
        <v/>
      </c>
      <c r="F721" s="3" t="inlineStr">
        <is>
          <t>Inventaris Ruangan</t>
        </is>
      </c>
      <c r="G721" s="3" t="inlineStr"/>
      <c r="H721" s="3" t="inlineStr">
        <is>
          <t>Beban Penyusutan Inventaris Ruangan</t>
        </is>
      </c>
      <c r="I721" s="5">
        <f>Penyusutan!M721</f>
        <v/>
      </c>
      <c r="J721" s="3" t="inlineStr"/>
      <c r="K721" s="3" t="inlineStr">
        <is>
          <t>Akumulasi Penyusutan Inventaris Ruangan</t>
        </is>
      </c>
      <c r="L721" s="5">
        <f>Penyusutan!M721</f>
        <v/>
      </c>
      <c r="M721" s="3">
        <f>IF(E721="","","Penyusutan "&amp;E721&amp;" periode "&amp;C721)</f>
        <v/>
      </c>
    </row>
    <row r="722">
      <c r="A722" s="3">
        <f>IF(Penyusutan!D722="","","JRN-"&amp;TEXT(ROW()-1,"0000"))</f>
        <v/>
      </c>
      <c r="B722" s="4" t="n">
        <v>46022</v>
      </c>
      <c r="C722" s="3">
        <f>Penyusutan!B722</f>
        <v/>
      </c>
      <c r="D722" s="3">
        <f>Penyusutan!C722</f>
        <v/>
      </c>
      <c r="E722" s="3">
        <f>Penyusutan!D722</f>
        <v/>
      </c>
      <c r="F722" s="3" t="inlineStr">
        <is>
          <t>Inventaris Ruangan</t>
        </is>
      </c>
      <c r="G722" s="3" t="inlineStr"/>
      <c r="H722" s="3" t="inlineStr">
        <is>
          <t>Beban Penyusutan Inventaris Ruangan</t>
        </is>
      </c>
      <c r="I722" s="5">
        <f>Penyusutan!M722</f>
        <v/>
      </c>
      <c r="J722" s="3" t="inlineStr"/>
      <c r="K722" s="3" t="inlineStr">
        <is>
          <t>Akumulasi Penyusutan Inventaris Ruangan</t>
        </is>
      </c>
      <c r="L722" s="5">
        <f>Penyusutan!M722</f>
        <v/>
      </c>
      <c r="M722" s="3">
        <f>IF(E722="","","Penyusutan "&amp;E722&amp;" periode "&amp;C722)</f>
        <v/>
      </c>
    </row>
    <row r="723">
      <c r="A723" s="3">
        <f>IF(Penyusutan!D723="","","JRN-"&amp;TEXT(ROW()-1,"0000"))</f>
        <v/>
      </c>
      <c r="B723" s="4" t="n">
        <v>46022</v>
      </c>
      <c r="C723" s="3">
        <f>Penyusutan!B723</f>
        <v/>
      </c>
      <c r="D723" s="3">
        <f>Penyusutan!C723</f>
        <v/>
      </c>
      <c r="E723" s="3">
        <f>Penyusutan!D723</f>
        <v/>
      </c>
      <c r="F723" s="3" t="inlineStr">
        <is>
          <t>Inventaris Ruangan</t>
        </is>
      </c>
      <c r="G723" s="3" t="inlineStr"/>
      <c r="H723" s="3" t="inlineStr">
        <is>
          <t>Beban Penyusutan Inventaris Ruangan</t>
        </is>
      </c>
      <c r="I723" s="5">
        <f>Penyusutan!M723</f>
        <v/>
      </c>
      <c r="J723" s="3" t="inlineStr"/>
      <c r="K723" s="3" t="inlineStr">
        <is>
          <t>Akumulasi Penyusutan Inventaris Ruangan</t>
        </is>
      </c>
      <c r="L723" s="5">
        <f>Penyusutan!M723</f>
        <v/>
      </c>
      <c r="M723" s="3">
        <f>IF(E723="","","Penyusutan "&amp;E723&amp;" periode "&amp;C723)</f>
        <v/>
      </c>
    </row>
    <row r="724">
      <c r="A724" s="3">
        <f>IF(Penyusutan!D724="","","JRN-"&amp;TEXT(ROW()-1,"0000"))</f>
        <v/>
      </c>
      <c r="B724" s="4" t="n">
        <v>46022</v>
      </c>
      <c r="C724" s="3">
        <f>Penyusutan!B724</f>
        <v/>
      </c>
      <c r="D724" s="3">
        <f>Penyusutan!C724</f>
        <v/>
      </c>
      <c r="E724" s="3">
        <f>Penyusutan!D724</f>
        <v/>
      </c>
      <c r="F724" s="3" t="inlineStr">
        <is>
          <t>Inventaris Ruangan</t>
        </is>
      </c>
      <c r="G724" s="3" t="inlineStr"/>
      <c r="H724" s="3" t="inlineStr">
        <is>
          <t>Beban Penyusutan Inventaris Ruangan</t>
        </is>
      </c>
      <c r="I724" s="5">
        <f>Penyusutan!M724</f>
        <v/>
      </c>
      <c r="J724" s="3" t="inlineStr"/>
      <c r="K724" s="3" t="inlineStr">
        <is>
          <t>Akumulasi Penyusutan Inventaris Ruangan</t>
        </is>
      </c>
      <c r="L724" s="5">
        <f>Penyusutan!M724</f>
        <v/>
      </c>
      <c r="M724" s="3">
        <f>IF(E724="","","Penyusutan "&amp;E724&amp;" periode "&amp;C724)</f>
        <v/>
      </c>
    </row>
    <row r="725">
      <c r="A725" s="3">
        <f>IF(Penyusutan!D725="","","JRN-"&amp;TEXT(ROW()-1,"0000"))</f>
        <v/>
      </c>
      <c r="B725" s="4" t="n">
        <v>46022</v>
      </c>
      <c r="C725" s="3">
        <f>Penyusutan!B725</f>
        <v/>
      </c>
      <c r="D725" s="3">
        <f>Penyusutan!C725</f>
        <v/>
      </c>
      <c r="E725" s="3">
        <f>Penyusutan!D725</f>
        <v/>
      </c>
      <c r="F725" s="3" t="inlineStr">
        <is>
          <t>Inventaris Ruangan</t>
        </is>
      </c>
      <c r="G725" s="3" t="inlineStr"/>
      <c r="H725" s="3" t="inlineStr">
        <is>
          <t>Beban Penyusutan Inventaris Ruangan</t>
        </is>
      </c>
      <c r="I725" s="5">
        <f>Penyusutan!M725</f>
        <v/>
      </c>
      <c r="J725" s="3" t="inlineStr"/>
      <c r="K725" s="3" t="inlineStr">
        <is>
          <t>Akumulasi Penyusutan Inventaris Ruangan</t>
        </is>
      </c>
      <c r="L725" s="5">
        <f>Penyusutan!M725</f>
        <v/>
      </c>
      <c r="M725" s="3">
        <f>IF(E725="","","Penyusutan "&amp;E725&amp;" periode "&amp;C725)</f>
        <v/>
      </c>
    </row>
    <row r="726">
      <c r="A726" s="3">
        <f>IF(Penyusutan!D726="","","JRN-"&amp;TEXT(ROW()-1,"0000"))</f>
        <v/>
      </c>
      <c r="B726" s="4" t="n">
        <v>46022</v>
      </c>
      <c r="C726" s="3">
        <f>Penyusutan!B726</f>
        <v/>
      </c>
      <c r="D726" s="3">
        <f>Penyusutan!C726</f>
        <v/>
      </c>
      <c r="E726" s="3">
        <f>Penyusutan!D726</f>
        <v/>
      </c>
      <c r="F726" s="3" t="inlineStr">
        <is>
          <t>Inventaris Ruangan</t>
        </is>
      </c>
      <c r="G726" s="3" t="inlineStr"/>
      <c r="H726" s="3" t="inlineStr">
        <is>
          <t>Beban Penyusutan Inventaris Ruangan</t>
        </is>
      </c>
      <c r="I726" s="5">
        <f>Penyusutan!M726</f>
        <v/>
      </c>
      <c r="J726" s="3" t="inlineStr"/>
      <c r="K726" s="3" t="inlineStr">
        <is>
          <t>Akumulasi Penyusutan Inventaris Ruangan</t>
        </is>
      </c>
      <c r="L726" s="5">
        <f>Penyusutan!M726</f>
        <v/>
      </c>
      <c r="M726" s="3">
        <f>IF(E726="","","Penyusutan "&amp;E726&amp;" periode "&amp;C726)</f>
        <v/>
      </c>
    </row>
    <row r="727">
      <c r="A727" s="3">
        <f>IF(Penyusutan!D727="","","JRN-"&amp;TEXT(ROW()-1,"0000"))</f>
        <v/>
      </c>
      <c r="B727" s="4" t="n">
        <v>46022</v>
      </c>
      <c r="C727" s="3">
        <f>Penyusutan!B727</f>
        <v/>
      </c>
      <c r="D727" s="3">
        <f>Penyusutan!C727</f>
        <v/>
      </c>
      <c r="E727" s="3">
        <f>Penyusutan!D727</f>
        <v/>
      </c>
      <c r="F727" s="3" t="inlineStr">
        <is>
          <t>Inventaris Ruangan</t>
        </is>
      </c>
      <c r="G727" s="3" t="inlineStr"/>
      <c r="H727" s="3" t="inlineStr">
        <is>
          <t>Beban Penyusutan Inventaris Ruangan</t>
        </is>
      </c>
      <c r="I727" s="5">
        <f>Penyusutan!M727</f>
        <v/>
      </c>
      <c r="J727" s="3" t="inlineStr"/>
      <c r="K727" s="3" t="inlineStr">
        <is>
          <t>Akumulasi Penyusutan Inventaris Ruangan</t>
        </is>
      </c>
      <c r="L727" s="5">
        <f>Penyusutan!M727</f>
        <v/>
      </c>
      <c r="M727" s="3">
        <f>IF(E727="","","Penyusutan "&amp;E727&amp;" periode "&amp;C727)</f>
        <v/>
      </c>
    </row>
    <row r="728">
      <c r="A728" s="3">
        <f>IF(Penyusutan!D728="","","JRN-"&amp;TEXT(ROW()-1,"0000"))</f>
        <v/>
      </c>
      <c r="B728" s="4" t="n">
        <v>46022</v>
      </c>
      <c r="C728" s="3">
        <f>Penyusutan!B728</f>
        <v/>
      </c>
      <c r="D728" s="3">
        <f>Penyusutan!C728</f>
        <v/>
      </c>
      <c r="E728" s="3">
        <f>Penyusutan!D728</f>
        <v/>
      </c>
      <c r="F728" s="3" t="inlineStr">
        <is>
          <t>Inventaris Ruangan</t>
        </is>
      </c>
      <c r="G728" s="3" t="inlineStr"/>
      <c r="H728" s="3" t="inlineStr">
        <is>
          <t>Beban Penyusutan Inventaris Ruangan</t>
        </is>
      </c>
      <c r="I728" s="5">
        <f>Penyusutan!M728</f>
        <v/>
      </c>
      <c r="J728" s="3" t="inlineStr"/>
      <c r="K728" s="3" t="inlineStr">
        <is>
          <t>Akumulasi Penyusutan Inventaris Ruangan</t>
        </is>
      </c>
      <c r="L728" s="5">
        <f>Penyusutan!M728</f>
        <v/>
      </c>
      <c r="M728" s="3">
        <f>IF(E728="","","Penyusutan "&amp;E728&amp;" periode "&amp;C728)</f>
        <v/>
      </c>
    </row>
    <row r="729">
      <c r="A729" s="3">
        <f>IF(Penyusutan!D729="","","JRN-"&amp;TEXT(ROW()-1,"0000"))</f>
        <v/>
      </c>
      <c r="B729" s="4" t="n">
        <v>46022</v>
      </c>
      <c r="C729" s="3">
        <f>Penyusutan!B729</f>
        <v/>
      </c>
      <c r="D729" s="3">
        <f>Penyusutan!C729</f>
        <v/>
      </c>
      <c r="E729" s="3">
        <f>Penyusutan!D729</f>
        <v/>
      </c>
      <c r="F729" s="3" t="inlineStr">
        <is>
          <t>Inventaris Ruangan</t>
        </is>
      </c>
      <c r="G729" s="3" t="inlineStr"/>
      <c r="H729" s="3" t="inlineStr">
        <is>
          <t>Beban Penyusutan Inventaris Ruangan</t>
        </is>
      </c>
      <c r="I729" s="5">
        <f>Penyusutan!M729</f>
        <v/>
      </c>
      <c r="J729" s="3" t="inlineStr"/>
      <c r="K729" s="3" t="inlineStr">
        <is>
          <t>Akumulasi Penyusutan Inventaris Ruangan</t>
        </is>
      </c>
      <c r="L729" s="5">
        <f>Penyusutan!M729</f>
        <v/>
      </c>
      <c r="M729" s="3">
        <f>IF(E729="","","Penyusutan "&amp;E729&amp;" periode "&amp;C729)</f>
        <v/>
      </c>
    </row>
    <row r="730">
      <c r="A730" s="3">
        <f>IF(Penyusutan!D730="","","JRN-"&amp;TEXT(ROW()-1,"0000"))</f>
        <v/>
      </c>
      <c r="B730" s="4" t="n">
        <v>46022</v>
      </c>
      <c r="C730" s="3">
        <f>Penyusutan!B730</f>
        <v/>
      </c>
      <c r="D730" s="3">
        <f>Penyusutan!C730</f>
        <v/>
      </c>
      <c r="E730" s="3">
        <f>Penyusutan!D730</f>
        <v/>
      </c>
      <c r="F730" s="3" t="inlineStr">
        <is>
          <t>Inventaris Ruangan</t>
        </is>
      </c>
      <c r="G730" s="3" t="inlineStr"/>
      <c r="H730" s="3" t="inlineStr">
        <is>
          <t>Beban Penyusutan Inventaris Ruangan</t>
        </is>
      </c>
      <c r="I730" s="5">
        <f>Penyusutan!M730</f>
        <v/>
      </c>
      <c r="J730" s="3" t="inlineStr"/>
      <c r="K730" s="3" t="inlineStr">
        <is>
          <t>Akumulasi Penyusutan Inventaris Ruangan</t>
        </is>
      </c>
      <c r="L730" s="5">
        <f>Penyusutan!M730</f>
        <v/>
      </c>
      <c r="M730" s="3">
        <f>IF(E730="","","Penyusutan "&amp;E730&amp;" periode "&amp;C730)</f>
        <v/>
      </c>
    </row>
    <row r="731">
      <c r="A731" s="3">
        <f>IF(Penyusutan!D731="","","JRN-"&amp;TEXT(ROW()-1,"0000"))</f>
        <v/>
      </c>
      <c r="B731" s="4" t="n">
        <v>46022</v>
      </c>
      <c r="C731" s="3">
        <f>Penyusutan!B731</f>
        <v/>
      </c>
      <c r="D731" s="3">
        <f>Penyusutan!C731</f>
        <v/>
      </c>
      <c r="E731" s="3">
        <f>Penyusutan!D731</f>
        <v/>
      </c>
      <c r="F731" s="3" t="inlineStr">
        <is>
          <t>Inventaris Ruangan</t>
        </is>
      </c>
      <c r="G731" s="3" t="inlineStr"/>
      <c r="H731" s="3" t="inlineStr">
        <is>
          <t>Beban Penyusutan Inventaris Ruangan</t>
        </is>
      </c>
      <c r="I731" s="5">
        <f>Penyusutan!M731</f>
        <v/>
      </c>
      <c r="J731" s="3" t="inlineStr"/>
      <c r="K731" s="3" t="inlineStr">
        <is>
          <t>Akumulasi Penyusutan Inventaris Ruangan</t>
        </is>
      </c>
      <c r="L731" s="5">
        <f>Penyusutan!M731</f>
        <v/>
      </c>
      <c r="M731" s="3">
        <f>IF(E731="","","Penyusutan "&amp;E731&amp;" periode "&amp;C731)</f>
        <v/>
      </c>
    </row>
    <row r="732">
      <c r="A732" s="3">
        <f>IF(Penyusutan!D732="","","JRN-"&amp;TEXT(ROW()-1,"0000"))</f>
        <v/>
      </c>
      <c r="B732" s="4" t="n">
        <v>46022</v>
      </c>
      <c r="C732" s="3">
        <f>Penyusutan!B732</f>
        <v/>
      </c>
      <c r="D732" s="3">
        <f>Penyusutan!C732</f>
        <v/>
      </c>
      <c r="E732" s="3">
        <f>Penyusutan!D732</f>
        <v/>
      </c>
      <c r="F732" s="3" t="inlineStr">
        <is>
          <t>Inventaris Ruangan</t>
        </is>
      </c>
      <c r="G732" s="3" t="inlineStr"/>
      <c r="H732" s="3" t="inlineStr">
        <is>
          <t>Beban Penyusutan Inventaris Ruangan</t>
        </is>
      </c>
      <c r="I732" s="5">
        <f>Penyusutan!M732</f>
        <v/>
      </c>
      <c r="J732" s="3" t="inlineStr"/>
      <c r="K732" s="3" t="inlineStr">
        <is>
          <t>Akumulasi Penyusutan Inventaris Ruangan</t>
        </is>
      </c>
      <c r="L732" s="5">
        <f>Penyusutan!M732</f>
        <v/>
      </c>
      <c r="M732" s="3">
        <f>IF(E732="","","Penyusutan "&amp;E732&amp;" periode "&amp;C732)</f>
        <v/>
      </c>
    </row>
    <row r="733">
      <c r="A733" s="3">
        <f>IF(Penyusutan!D733="","","JRN-"&amp;TEXT(ROW()-1,"0000"))</f>
        <v/>
      </c>
      <c r="B733" s="4" t="n">
        <v>46022</v>
      </c>
      <c r="C733" s="3">
        <f>Penyusutan!B733</f>
        <v/>
      </c>
      <c r="D733" s="3">
        <f>Penyusutan!C733</f>
        <v/>
      </c>
      <c r="E733" s="3">
        <f>Penyusutan!D733</f>
        <v/>
      </c>
      <c r="F733" s="3" t="inlineStr">
        <is>
          <t>Inventaris Ruangan</t>
        </is>
      </c>
      <c r="G733" s="3" t="inlineStr"/>
      <c r="H733" s="3" t="inlineStr">
        <is>
          <t>Beban Penyusutan Inventaris Ruangan</t>
        </is>
      </c>
      <c r="I733" s="5">
        <f>Penyusutan!M733</f>
        <v/>
      </c>
      <c r="J733" s="3" t="inlineStr"/>
      <c r="K733" s="3" t="inlineStr">
        <is>
          <t>Akumulasi Penyusutan Inventaris Ruangan</t>
        </is>
      </c>
      <c r="L733" s="5">
        <f>Penyusutan!M733</f>
        <v/>
      </c>
      <c r="M733" s="3">
        <f>IF(E733="","","Penyusutan "&amp;E733&amp;" periode "&amp;C733)</f>
        <v/>
      </c>
    </row>
    <row r="734">
      <c r="A734" s="3">
        <f>IF(Penyusutan!D734="","","JRN-"&amp;TEXT(ROW()-1,"0000"))</f>
        <v/>
      </c>
      <c r="B734" s="4" t="n">
        <v>46022</v>
      </c>
      <c r="C734" s="3">
        <f>Penyusutan!B734</f>
        <v/>
      </c>
      <c r="D734" s="3">
        <f>Penyusutan!C734</f>
        <v/>
      </c>
      <c r="E734" s="3">
        <f>Penyusutan!D734</f>
        <v/>
      </c>
      <c r="F734" s="3" t="inlineStr">
        <is>
          <t>Inventaris Ruangan</t>
        </is>
      </c>
      <c r="G734" s="3" t="inlineStr"/>
      <c r="H734" s="3" t="inlineStr">
        <is>
          <t>Beban Penyusutan Inventaris Ruangan</t>
        </is>
      </c>
      <c r="I734" s="5">
        <f>Penyusutan!M734</f>
        <v/>
      </c>
      <c r="J734" s="3" t="inlineStr"/>
      <c r="K734" s="3" t="inlineStr">
        <is>
          <t>Akumulasi Penyusutan Inventaris Ruangan</t>
        </is>
      </c>
      <c r="L734" s="5">
        <f>Penyusutan!M734</f>
        <v/>
      </c>
      <c r="M734" s="3">
        <f>IF(E734="","","Penyusutan "&amp;E734&amp;" periode "&amp;C734)</f>
        <v/>
      </c>
    </row>
    <row r="735">
      <c r="A735" s="3">
        <f>IF(Penyusutan!D735="","","JRN-"&amp;TEXT(ROW()-1,"0000"))</f>
        <v/>
      </c>
      <c r="B735" s="4" t="n">
        <v>46022</v>
      </c>
      <c r="C735" s="3">
        <f>Penyusutan!B735</f>
        <v/>
      </c>
      <c r="D735" s="3">
        <f>Penyusutan!C735</f>
        <v/>
      </c>
      <c r="E735" s="3">
        <f>Penyusutan!D735</f>
        <v/>
      </c>
      <c r="F735" s="3" t="inlineStr">
        <is>
          <t>Inventaris Ruangan</t>
        </is>
      </c>
      <c r="G735" s="3" t="inlineStr"/>
      <c r="H735" s="3" t="inlineStr">
        <is>
          <t>Beban Penyusutan Inventaris Ruangan</t>
        </is>
      </c>
      <c r="I735" s="5">
        <f>Penyusutan!M735</f>
        <v/>
      </c>
      <c r="J735" s="3" t="inlineStr"/>
      <c r="K735" s="3" t="inlineStr">
        <is>
          <t>Akumulasi Penyusutan Inventaris Ruangan</t>
        </is>
      </c>
      <c r="L735" s="5">
        <f>Penyusutan!M735</f>
        <v/>
      </c>
      <c r="M735" s="3">
        <f>IF(E735="","","Penyusutan "&amp;E735&amp;" periode "&amp;C735)</f>
        <v/>
      </c>
    </row>
    <row r="736">
      <c r="A736" s="3">
        <f>IF(Penyusutan!D736="","","JRN-"&amp;TEXT(ROW()-1,"0000"))</f>
        <v/>
      </c>
      <c r="B736" s="4" t="n">
        <v>46022</v>
      </c>
      <c r="C736" s="3">
        <f>Penyusutan!B736</f>
        <v/>
      </c>
      <c r="D736" s="3">
        <f>Penyusutan!C736</f>
        <v/>
      </c>
      <c r="E736" s="3">
        <f>Penyusutan!D736</f>
        <v/>
      </c>
      <c r="F736" s="3" t="inlineStr">
        <is>
          <t>Inventaris Ruangan</t>
        </is>
      </c>
      <c r="G736" s="3" t="inlineStr"/>
      <c r="H736" s="3" t="inlineStr">
        <is>
          <t>Beban Penyusutan Inventaris Ruangan</t>
        </is>
      </c>
      <c r="I736" s="5">
        <f>Penyusutan!M736</f>
        <v/>
      </c>
      <c r="J736" s="3" t="inlineStr"/>
      <c r="K736" s="3" t="inlineStr">
        <is>
          <t>Akumulasi Penyusutan Inventaris Ruangan</t>
        </is>
      </c>
      <c r="L736" s="5">
        <f>Penyusutan!M736</f>
        <v/>
      </c>
      <c r="M736" s="3">
        <f>IF(E736="","","Penyusutan "&amp;E736&amp;" periode "&amp;C736)</f>
        <v/>
      </c>
    </row>
    <row r="737">
      <c r="A737" s="3">
        <f>IF(Penyusutan!D737="","","JRN-"&amp;TEXT(ROW()-1,"0000"))</f>
        <v/>
      </c>
      <c r="B737" s="4" t="n">
        <v>46022</v>
      </c>
      <c r="C737" s="3">
        <f>Penyusutan!B737</f>
        <v/>
      </c>
      <c r="D737" s="3">
        <f>Penyusutan!C737</f>
        <v/>
      </c>
      <c r="E737" s="3">
        <f>Penyusutan!D737</f>
        <v/>
      </c>
      <c r="F737" s="3" t="inlineStr">
        <is>
          <t>Inventaris Ruangan</t>
        </is>
      </c>
      <c r="G737" s="3" t="inlineStr"/>
      <c r="H737" s="3" t="inlineStr">
        <is>
          <t>Beban Penyusutan Inventaris Ruangan</t>
        </is>
      </c>
      <c r="I737" s="5">
        <f>Penyusutan!M737</f>
        <v/>
      </c>
      <c r="J737" s="3" t="inlineStr"/>
      <c r="K737" s="3" t="inlineStr">
        <is>
          <t>Akumulasi Penyusutan Inventaris Ruangan</t>
        </is>
      </c>
      <c r="L737" s="5">
        <f>Penyusutan!M737</f>
        <v/>
      </c>
      <c r="M737" s="3">
        <f>IF(E737="","","Penyusutan "&amp;E737&amp;" periode "&amp;C737)</f>
        <v/>
      </c>
    </row>
    <row r="738">
      <c r="A738" s="3">
        <f>IF(Penyusutan!D738="","","JRN-"&amp;TEXT(ROW()-1,"0000"))</f>
        <v/>
      </c>
      <c r="B738" s="4" t="n">
        <v>46022</v>
      </c>
      <c r="C738" s="3">
        <f>Penyusutan!B738</f>
        <v/>
      </c>
      <c r="D738" s="3">
        <f>Penyusutan!C738</f>
        <v/>
      </c>
      <c r="E738" s="3">
        <f>Penyusutan!D738</f>
        <v/>
      </c>
      <c r="F738" s="3" t="inlineStr">
        <is>
          <t>Inventaris Ruangan</t>
        </is>
      </c>
      <c r="G738" s="3" t="inlineStr"/>
      <c r="H738" s="3" t="inlineStr">
        <is>
          <t>Beban Penyusutan Inventaris Ruangan</t>
        </is>
      </c>
      <c r="I738" s="5">
        <f>Penyusutan!M738</f>
        <v/>
      </c>
      <c r="J738" s="3" t="inlineStr"/>
      <c r="K738" s="3" t="inlineStr">
        <is>
          <t>Akumulasi Penyusutan Inventaris Ruangan</t>
        </is>
      </c>
      <c r="L738" s="5">
        <f>Penyusutan!M738</f>
        <v/>
      </c>
      <c r="M738" s="3">
        <f>IF(E738="","","Penyusutan "&amp;E738&amp;" periode "&amp;C738)</f>
        <v/>
      </c>
    </row>
    <row r="739">
      <c r="A739" s="3">
        <f>IF(Penyusutan!D739="","","JRN-"&amp;TEXT(ROW()-1,"0000"))</f>
        <v/>
      </c>
      <c r="B739" s="4" t="n">
        <v>46022</v>
      </c>
      <c r="C739" s="3">
        <f>Penyusutan!B739</f>
        <v/>
      </c>
      <c r="D739" s="3">
        <f>Penyusutan!C739</f>
        <v/>
      </c>
      <c r="E739" s="3">
        <f>Penyusutan!D739</f>
        <v/>
      </c>
      <c r="F739" s="3" t="inlineStr">
        <is>
          <t>Inventaris Ruangan</t>
        </is>
      </c>
      <c r="G739" s="3" t="inlineStr"/>
      <c r="H739" s="3" t="inlineStr">
        <is>
          <t>Beban Penyusutan Inventaris Ruangan</t>
        </is>
      </c>
      <c r="I739" s="5">
        <f>Penyusutan!M739</f>
        <v/>
      </c>
      <c r="J739" s="3" t="inlineStr"/>
      <c r="K739" s="3" t="inlineStr">
        <is>
          <t>Akumulasi Penyusutan Inventaris Ruangan</t>
        </is>
      </c>
      <c r="L739" s="5">
        <f>Penyusutan!M739</f>
        <v/>
      </c>
      <c r="M739" s="3">
        <f>IF(E739="","","Penyusutan "&amp;E739&amp;" periode "&amp;C739)</f>
        <v/>
      </c>
    </row>
    <row r="740">
      <c r="A740" s="3">
        <f>IF(Penyusutan!D740="","","JRN-"&amp;TEXT(ROW()-1,"0000"))</f>
        <v/>
      </c>
      <c r="B740" s="4" t="n">
        <v>46022</v>
      </c>
      <c r="C740" s="3">
        <f>Penyusutan!B740</f>
        <v/>
      </c>
      <c r="D740" s="3">
        <f>Penyusutan!C740</f>
        <v/>
      </c>
      <c r="E740" s="3">
        <f>Penyusutan!D740</f>
        <v/>
      </c>
      <c r="F740" s="3" t="inlineStr">
        <is>
          <t>Inventaris Ruangan</t>
        </is>
      </c>
      <c r="G740" s="3" t="inlineStr"/>
      <c r="H740" s="3" t="inlineStr">
        <is>
          <t>Beban Penyusutan Inventaris Ruangan</t>
        </is>
      </c>
      <c r="I740" s="5">
        <f>Penyusutan!M740</f>
        <v/>
      </c>
      <c r="J740" s="3" t="inlineStr"/>
      <c r="K740" s="3" t="inlineStr">
        <is>
          <t>Akumulasi Penyusutan Inventaris Ruangan</t>
        </is>
      </c>
      <c r="L740" s="5">
        <f>Penyusutan!M740</f>
        <v/>
      </c>
      <c r="M740" s="3">
        <f>IF(E740="","","Penyusutan "&amp;E740&amp;" periode "&amp;C740)</f>
        <v/>
      </c>
    </row>
    <row r="741">
      <c r="A741" s="3">
        <f>IF(Penyusutan!D741="","","JRN-"&amp;TEXT(ROW()-1,"0000"))</f>
        <v/>
      </c>
      <c r="B741" s="4" t="n">
        <v>46022</v>
      </c>
      <c r="C741" s="3">
        <f>Penyusutan!B741</f>
        <v/>
      </c>
      <c r="D741" s="3">
        <f>Penyusutan!C741</f>
        <v/>
      </c>
      <c r="E741" s="3">
        <f>Penyusutan!D741</f>
        <v/>
      </c>
      <c r="F741" s="3" t="inlineStr">
        <is>
          <t>Inventaris Ruangan</t>
        </is>
      </c>
      <c r="G741" s="3" t="inlineStr"/>
      <c r="H741" s="3" t="inlineStr">
        <is>
          <t>Beban Penyusutan Inventaris Ruangan</t>
        </is>
      </c>
      <c r="I741" s="5">
        <f>Penyusutan!M741</f>
        <v/>
      </c>
      <c r="J741" s="3" t="inlineStr"/>
      <c r="K741" s="3" t="inlineStr">
        <is>
          <t>Akumulasi Penyusutan Inventaris Ruangan</t>
        </is>
      </c>
      <c r="L741" s="5">
        <f>Penyusutan!M741</f>
        <v/>
      </c>
      <c r="M741" s="3">
        <f>IF(E741="","","Penyusutan "&amp;E741&amp;" periode "&amp;C741)</f>
        <v/>
      </c>
    </row>
    <row r="742">
      <c r="A742" s="3">
        <f>IF(Penyusutan!D742="","","JRN-"&amp;TEXT(ROW()-1,"0000"))</f>
        <v/>
      </c>
      <c r="B742" s="4" t="n">
        <v>46022</v>
      </c>
      <c r="C742" s="3">
        <f>Penyusutan!B742</f>
        <v/>
      </c>
      <c r="D742" s="3">
        <f>Penyusutan!C742</f>
        <v/>
      </c>
      <c r="E742" s="3">
        <f>Penyusutan!D742</f>
        <v/>
      </c>
      <c r="F742" s="3" t="inlineStr">
        <is>
          <t>Inventaris Ruangan</t>
        </is>
      </c>
      <c r="G742" s="3" t="inlineStr"/>
      <c r="H742" s="3" t="inlineStr">
        <is>
          <t>Beban Penyusutan Inventaris Ruangan</t>
        </is>
      </c>
      <c r="I742" s="5">
        <f>Penyusutan!M742</f>
        <v/>
      </c>
      <c r="J742" s="3" t="inlineStr"/>
      <c r="K742" s="3" t="inlineStr">
        <is>
          <t>Akumulasi Penyusutan Inventaris Ruangan</t>
        </is>
      </c>
      <c r="L742" s="5">
        <f>Penyusutan!M742</f>
        <v/>
      </c>
      <c r="M742" s="3">
        <f>IF(E742="","","Penyusutan "&amp;E742&amp;" periode "&amp;C742)</f>
        <v/>
      </c>
    </row>
    <row r="743">
      <c r="A743" s="3">
        <f>IF(Penyusutan!D743="","","JRN-"&amp;TEXT(ROW()-1,"0000"))</f>
        <v/>
      </c>
      <c r="B743" s="4" t="n">
        <v>46022</v>
      </c>
      <c r="C743" s="3">
        <f>Penyusutan!B743</f>
        <v/>
      </c>
      <c r="D743" s="3">
        <f>Penyusutan!C743</f>
        <v/>
      </c>
      <c r="E743" s="3">
        <f>Penyusutan!D743</f>
        <v/>
      </c>
      <c r="F743" s="3" t="inlineStr">
        <is>
          <t>Inventaris Ruangan</t>
        </is>
      </c>
      <c r="G743" s="3" t="inlineStr"/>
      <c r="H743" s="3" t="inlineStr">
        <is>
          <t>Beban Penyusutan Inventaris Ruangan</t>
        </is>
      </c>
      <c r="I743" s="5">
        <f>Penyusutan!M743</f>
        <v/>
      </c>
      <c r="J743" s="3" t="inlineStr"/>
      <c r="K743" s="3" t="inlineStr">
        <is>
          <t>Akumulasi Penyusutan Inventaris Ruangan</t>
        </is>
      </c>
      <c r="L743" s="5">
        <f>Penyusutan!M743</f>
        <v/>
      </c>
      <c r="M743" s="3">
        <f>IF(E743="","","Penyusutan "&amp;E743&amp;" periode "&amp;C743)</f>
        <v/>
      </c>
    </row>
    <row r="744">
      <c r="A744" s="3">
        <f>IF(Penyusutan!D744="","","JRN-"&amp;TEXT(ROW()-1,"0000"))</f>
        <v/>
      </c>
      <c r="B744" s="4" t="n">
        <v>46022</v>
      </c>
      <c r="C744" s="3">
        <f>Penyusutan!B744</f>
        <v/>
      </c>
      <c r="D744" s="3">
        <f>Penyusutan!C744</f>
        <v/>
      </c>
      <c r="E744" s="3">
        <f>Penyusutan!D744</f>
        <v/>
      </c>
      <c r="F744" s="3" t="inlineStr">
        <is>
          <t>Inventaris Ruangan</t>
        </is>
      </c>
      <c r="G744" s="3" t="inlineStr"/>
      <c r="H744" s="3" t="inlineStr">
        <is>
          <t>Beban Penyusutan Inventaris Ruangan</t>
        </is>
      </c>
      <c r="I744" s="5">
        <f>Penyusutan!M744</f>
        <v/>
      </c>
      <c r="J744" s="3" t="inlineStr"/>
      <c r="K744" s="3" t="inlineStr">
        <is>
          <t>Akumulasi Penyusutan Inventaris Ruangan</t>
        </is>
      </c>
      <c r="L744" s="5">
        <f>Penyusutan!M744</f>
        <v/>
      </c>
      <c r="M744" s="3">
        <f>IF(E744="","","Penyusutan "&amp;E744&amp;" periode "&amp;C744)</f>
        <v/>
      </c>
    </row>
    <row r="745">
      <c r="A745" s="3">
        <f>IF(Penyusutan!D745="","","JRN-"&amp;TEXT(ROW()-1,"0000"))</f>
        <v/>
      </c>
      <c r="B745" s="4" t="n">
        <v>46022</v>
      </c>
      <c r="C745" s="3">
        <f>Penyusutan!B745</f>
        <v/>
      </c>
      <c r="D745" s="3">
        <f>Penyusutan!C745</f>
        <v/>
      </c>
      <c r="E745" s="3">
        <f>Penyusutan!D745</f>
        <v/>
      </c>
      <c r="F745" s="3" t="inlineStr">
        <is>
          <t>Inventaris Ruangan</t>
        </is>
      </c>
      <c r="G745" s="3" t="inlineStr"/>
      <c r="H745" s="3" t="inlineStr">
        <is>
          <t>Beban Penyusutan Inventaris Ruangan</t>
        </is>
      </c>
      <c r="I745" s="5">
        <f>Penyusutan!M745</f>
        <v/>
      </c>
      <c r="J745" s="3" t="inlineStr"/>
      <c r="K745" s="3" t="inlineStr">
        <is>
          <t>Akumulasi Penyusutan Inventaris Ruangan</t>
        </is>
      </c>
      <c r="L745" s="5">
        <f>Penyusutan!M745</f>
        <v/>
      </c>
      <c r="M745" s="3">
        <f>IF(E745="","","Penyusutan "&amp;E745&amp;" periode "&amp;C745)</f>
        <v/>
      </c>
    </row>
    <row r="746">
      <c r="A746" s="3">
        <f>IF(Penyusutan!D746="","","JRN-"&amp;TEXT(ROW()-1,"0000"))</f>
        <v/>
      </c>
      <c r="B746" s="4" t="n">
        <v>46022</v>
      </c>
      <c r="C746" s="3">
        <f>Penyusutan!B746</f>
        <v/>
      </c>
      <c r="D746" s="3">
        <f>Penyusutan!C746</f>
        <v/>
      </c>
      <c r="E746" s="3">
        <f>Penyusutan!D746</f>
        <v/>
      </c>
      <c r="F746" s="3" t="inlineStr">
        <is>
          <t>Inventaris Ruangan</t>
        </is>
      </c>
      <c r="G746" s="3" t="inlineStr"/>
      <c r="H746" s="3" t="inlineStr">
        <is>
          <t>Beban Penyusutan Inventaris Ruangan</t>
        </is>
      </c>
      <c r="I746" s="5">
        <f>Penyusutan!M746</f>
        <v/>
      </c>
      <c r="J746" s="3" t="inlineStr"/>
      <c r="K746" s="3" t="inlineStr">
        <is>
          <t>Akumulasi Penyusutan Inventaris Ruangan</t>
        </is>
      </c>
      <c r="L746" s="5">
        <f>Penyusutan!M746</f>
        <v/>
      </c>
      <c r="M746" s="3">
        <f>IF(E746="","","Penyusutan "&amp;E746&amp;" periode "&amp;C746)</f>
        <v/>
      </c>
    </row>
    <row r="747">
      <c r="A747" s="3">
        <f>IF(Penyusutan!D747="","","JRN-"&amp;TEXT(ROW()-1,"0000"))</f>
        <v/>
      </c>
      <c r="B747" s="4" t="n">
        <v>46022</v>
      </c>
      <c r="C747" s="3">
        <f>Penyusutan!B747</f>
        <v/>
      </c>
      <c r="D747" s="3">
        <f>Penyusutan!C747</f>
        <v/>
      </c>
      <c r="E747" s="3">
        <f>Penyusutan!D747</f>
        <v/>
      </c>
      <c r="F747" s="3" t="inlineStr">
        <is>
          <t>Inventaris Ruangan</t>
        </is>
      </c>
      <c r="G747" s="3" t="inlineStr"/>
      <c r="H747" s="3" t="inlineStr">
        <is>
          <t>Beban Penyusutan Inventaris Ruangan</t>
        </is>
      </c>
      <c r="I747" s="5">
        <f>Penyusutan!M747</f>
        <v/>
      </c>
      <c r="J747" s="3" t="inlineStr"/>
      <c r="K747" s="3" t="inlineStr">
        <is>
          <t>Akumulasi Penyusutan Inventaris Ruangan</t>
        </is>
      </c>
      <c r="L747" s="5">
        <f>Penyusutan!M747</f>
        <v/>
      </c>
      <c r="M747" s="3">
        <f>IF(E747="","","Penyusutan "&amp;E747&amp;" periode "&amp;C747)</f>
        <v/>
      </c>
    </row>
    <row r="748">
      <c r="A748" s="3">
        <f>IF(Penyusutan!D748="","","JRN-"&amp;TEXT(ROW()-1,"0000"))</f>
        <v/>
      </c>
      <c r="B748" s="4" t="n">
        <v>46022</v>
      </c>
      <c r="C748" s="3">
        <f>Penyusutan!B748</f>
        <v/>
      </c>
      <c r="D748" s="3">
        <f>Penyusutan!C748</f>
        <v/>
      </c>
      <c r="E748" s="3">
        <f>Penyusutan!D748</f>
        <v/>
      </c>
      <c r="F748" s="3" t="inlineStr">
        <is>
          <t>Inventaris Ruangan</t>
        </is>
      </c>
      <c r="G748" s="3" t="inlineStr"/>
      <c r="H748" s="3" t="inlineStr">
        <is>
          <t>Beban Penyusutan Inventaris Ruangan</t>
        </is>
      </c>
      <c r="I748" s="5">
        <f>Penyusutan!M748</f>
        <v/>
      </c>
      <c r="J748" s="3" t="inlineStr"/>
      <c r="K748" s="3" t="inlineStr">
        <is>
          <t>Akumulasi Penyusutan Inventaris Ruangan</t>
        </is>
      </c>
      <c r="L748" s="5">
        <f>Penyusutan!M748</f>
        <v/>
      </c>
      <c r="M748" s="3">
        <f>IF(E748="","","Penyusutan "&amp;E748&amp;" periode "&amp;C748)</f>
        <v/>
      </c>
    </row>
    <row r="749">
      <c r="A749" s="3">
        <f>IF(Penyusutan!D749="","","JRN-"&amp;TEXT(ROW()-1,"0000"))</f>
        <v/>
      </c>
      <c r="B749" s="4" t="n">
        <v>46022</v>
      </c>
      <c r="C749" s="3">
        <f>Penyusutan!B749</f>
        <v/>
      </c>
      <c r="D749" s="3">
        <f>Penyusutan!C749</f>
        <v/>
      </c>
      <c r="E749" s="3">
        <f>Penyusutan!D749</f>
        <v/>
      </c>
      <c r="F749" s="3" t="inlineStr">
        <is>
          <t>Inventaris Ruangan</t>
        </is>
      </c>
      <c r="G749" s="3" t="inlineStr"/>
      <c r="H749" s="3" t="inlineStr">
        <is>
          <t>Beban Penyusutan Inventaris Ruangan</t>
        </is>
      </c>
      <c r="I749" s="5">
        <f>Penyusutan!M749</f>
        <v/>
      </c>
      <c r="J749" s="3" t="inlineStr"/>
      <c r="K749" s="3" t="inlineStr">
        <is>
          <t>Akumulasi Penyusutan Inventaris Ruangan</t>
        </is>
      </c>
      <c r="L749" s="5">
        <f>Penyusutan!M749</f>
        <v/>
      </c>
      <c r="M749" s="3">
        <f>IF(E749="","","Penyusutan "&amp;E749&amp;" periode "&amp;C749)</f>
        <v/>
      </c>
    </row>
    <row r="750">
      <c r="A750" s="3">
        <f>IF(Penyusutan!D750="","","JRN-"&amp;TEXT(ROW()-1,"0000"))</f>
        <v/>
      </c>
      <c r="B750" s="4" t="n">
        <v>46022</v>
      </c>
      <c r="C750" s="3">
        <f>Penyusutan!B750</f>
        <v/>
      </c>
      <c r="D750" s="3">
        <f>Penyusutan!C750</f>
        <v/>
      </c>
      <c r="E750" s="3">
        <f>Penyusutan!D750</f>
        <v/>
      </c>
      <c r="F750" s="3" t="inlineStr">
        <is>
          <t>Inventaris Ruangan</t>
        </is>
      </c>
      <c r="G750" s="3" t="inlineStr"/>
      <c r="H750" s="3" t="inlineStr">
        <is>
          <t>Beban Penyusutan Inventaris Ruangan</t>
        </is>
      </c>
      <c r="I750" s="5">
        <f>Penyusutan!M750</f>
        <v/>
      </c>
      <c r="J750" s="3" t="inlineStr"/>
      <c r="K750" s="3" t="inlineStr">
        <is>
          <t>Akumulasi Penyusutan Inventaris Ruangan</t>
        </is>
      </c>
      <c r="L750" s="5">
        <f>Penyusutan!M750</f>
        <v/>
      </c>
      <c r="M750" s="3">
        <f>IF(E750="","","Penyusutan "&amp;E750&amp;" periode "&amp;C750)</f>
        <v/>
      </c>
    </row>
    <row r="751">
      <c r="A751" s="3">
        <f>IF(Penyusutan!D751="","","JRN-"&amp;TEXT(ROW()-1,"0000"))</f>
        <v/>
      </c>
      <c r="B751" s="4" t="n">
        <v>46022</v>
      </c>
      <c r="C751" s="3">
        <f>Penyusutan!B751</f>
        <v/>
      </c>
      <c r="D751" s="3">
        <f>Penyusutan!C751</f>
        <v/>
      </c>
      <c r="E751" s="3">
        <f>Penyusutan!D751</f>
        <v/>
      </c>
      <c r="F751" s="3" t="inlineStr">
        <is>
          <t>Inventaris Ruangan</t>
        </is>
      </c>
      <c r="G751" s="3" t="inlineStr"/>
      <c r="H751" s="3" t="inlineStr">
        <is>
          <t>Beban Penyusutan Inventaris Ruangan</t>
        </is>
      </c>
      <c r="I751" s="5">
        <f>Penyusutan!M751</f>
        <v/>
      </c>
      <c r="J751" s="3" t="inlineStr"/>
      <c r="K751" s="3" t="inlineStr">
        <is>
          <t>Akumulasi Penyusutan Inventaris Ruangan</t>
        </is>
      </c>
      <c r="L751" s="5">
        <f>Penyusutan!M751</f>
        <v/>
      </c>
      <c r="M751" s="3">
        <f>IF(E751="","","Penyusutan "&amp;E751&amp;" periode "&amp;C751)</f>
        <v/>
      </c>
    </row>
    <row r="752">
      <c r="A752" s="3">
        <f>IF(Penyusutan!D752="","","JRN-"&amp;TEXT(ROW()-1,"0000"))</f>
        <v/>
      </c>
      <c r="B752" s="4" t="n">
        <v>46022</v>
      </c>
      <c r="C752" s="3">
        <f>Penyusutan!B752</f>
        <v/>
      </c>
      <c r="D752" s="3">
        <f>Penyusutan!C752</f>
        <v/>
      </c>
      <c r="E752" s="3">
        <f>Penyusutan!D752</f>
        <v/>
      </c>
      <c r="F752" s="3" t="inlineStr">
        <is>
          <t>Inventaris Ruangan</t>
        </is>
      </c>
      <c r="G752" s="3" t="inlineStr"/>
      <c r="H752" s="3" t="inlineStr">
        <is>
          <t>Beban Penyusutan Inventaris Ruangan</t>
        </is>
      </c>
      <c r="I752" s="5">
        <f>Penyusutan!M752</f>
        <v/>
      </c>
      <c r="J752" s="3" t="inlineStr"/>
      <c r="K752" s="3" t="inlineStr">
        <is>
          <t>Akumulasi Penyusutan Inventaris Ruangan</t>
        </is>
      </c>
      <c r="L752" s="5">
        <f>Penyusutan!M752</f>
        <v/>
      </c>
      <c r="M752" s="3">
        <f>IF(E752="","","Penyusutan "&amp;E752&amp;" periode "&amp;C752)</f>
        <v/>
      </c>
    </row>
    <row r="753">
      <c r="A753" s="3">
        <f>IF(Penyusutan!D753="","","JRN-"&amp;TEXT(ROW()-1,"0000"))</f>
        <v/>
      </c>
      <c r="B753" s="4" t="n">
        <v>46022</v>
      </c>
      <c r="C753" s="3">
        <f>Penyusutan!B753</f>
        <v/>
      </c>
      <c r="D753" s="3">
        <f>Penyusutan!C753</f>
        <v/>
      </c>
      <c r="E753" s="3">
        <f>Penyusutan!D753</f>
        <v/>
      </c>
      <c r="F753" s="3" t="inlineStr">
        <is>
          <t>Inventaris Ruangan</t>
        </is>
      </c>
      <c r="G753" s="3" t="inlineStr"/>
      <c r="H753" s="3" t="inlineStr">
        <is>
          <t>Beban Penyusutan Inventaris Ruangan</t>
        </is>
      </c>
      <c r="I753" s="5">
        <f>Penyusutan!M753</f>
        <v/>
      </c>
      <c r="J753" s="3" t="inlineStr"/>
      <c r="K753" s="3" t="inlineStr">
        <is>
          <t>Akumulasi Penyusutan Inventaris Ruangan</t>
        </is>
      </c>
      <c r="L753" s="5">
        <f>Penyusutan!M753</f>
        <v/>
      </c>
      <c r="M753" s="3">
        <f>IF(E753="","","Penyusutan "&amp;E753&amp;" periode "&amp;C753)</f>
        <v/>
      </c>
    </row>
    <row r="754">
      <c r="A754" s="3">
        <f>IF(Penyusutan!D754="","","JRN-"&amp;TEXT(ROW()-1,"0000"))</f>
        <v/>
      </c>
      <c r="B754" s="4" t="n">
        <v>46022</v>
      </c>
      <c r="C754" s="3">
        <f>Penyusutan!B754</f>
        <v/>
      </c>
      <c r="D754" s="3">
        <f>Penyusutan!C754</f>
        <v/>
      </c>
      <c r="E754" s="3">
        <f>Penyusutan!D754</f>
        <v/>
      </c>
      <c r="F754" s="3" t="inlineStr">
        <is>
          <t>Inventaris Ruangan</t>
        </is>
      </c>
      <c r="G754" s="3" t="inlineStr"/>
      <c r="H754" s="3" t="inlineStr">
        <is>
          <t>Beban Penyusutan Inventaris Ruangan</t>
        </is>
      </c>
      <c r="I754" s="5">
        <f>Penyusutan!M754</f>
        <v/>
      </c>
      <c r="J754" s="3" t="inlineStr"/>
      <c r="K754" s="3" t="inlineStr">
        <is>
          <t>Akumulasi Penyusutan Inventaris Ruangan</t>
        </is>
      </c>
      <c r="L754" s="5">
        <f>Penyusutan!M754</f>
        <v/>
      </c>
      <c r="M754" s="3">
        <f>IF(E754="","","Penyusutan "&amp;E754&amp;" periode "&amp;C754)</f>
        <v/>
      </c>
    </row>
    <row r="755">
      <c r="A755" s="3">
        <f>IF(Penyusutan!D755="","","JRN-"&amp;TEXT(ROW()-1,"0000"))</f>
        <v/>
      </c>
      <c r="B755" s="4" t="n">
        <v>46022</v>
      </c>
      <c r="C755" s="3">
        <f>Penyusutan!B755</f>
        <v/>
      </c>
      <c r="D755" s="3">
        <f>Penyusutan!C755</f>
        <v/>
      </c>
      <c r="E755" s="3">
        <f>Penyusutan!D755</f>
        <v/>
      </c>
      <c r="F755" s="3" t="inlineStr">
        <is>
          <t>Inventaris Ruangan</t>
        </is>
      </c>
      <c r="G755" s="3" t="inlineStr"/>
      <c r="H755" s="3" t="inlineStr">
        <is>
          <t>Beban Penyusutan Inventaris Ruangan</t>
        </is>
      </c>
      <c r="I755" s="5">
        <f>Penyusutan!M755</f>
        <v/>
      </c>
      <c r="J755" s="3" t="inlineStr"/>
      <c r="K755" s="3" t="inlineStr">
        <is>
          <t>Akumulasi Penyusutan Inventaris Ruangan</t>
        </is>
      </c>
      <c r="L755" s="5">
        <f>Penyusutan!M755</f>
        <v/>
      </c>
      <c r="M755" s="3">
        <f>IF(E755="","","Penyusutan "&amp;E755&amp;" periode "&amp;C755)</f>
        <v/>
      </c>
    </row>
    <row r="756">
      <c r="A756" s="3">
        <f>IF(Penyusutan!D756="","","JRN-"&amp;TEXT(ROW()-1,"0000"))</f>
        <v/>
      </c>
      <c r="B756" s="4" t="n">
        <v>46022</v>
      </c>
      <c r="C756" s="3">
        <f>Penyusutan!B756</f>
        <v/>
      </c>
      <c r="D756" s="3">
        <f>Penyusutan!C756</f>
        <v/>
      </c>
      <c r="E756" s="3">
        <f>Penyusutan!D756</f>
        <v/>
      </c>
      <c r="F756" s="3" t="inlineStr">
        <is>
          <t>Inventaris Ruangan</t>
        </is>
      </c>
      <c r="G756" s="3" t="inlineStr"/>
      <c r="H756" s="3" t="inlineStr">
        <is>
          <t>Beban Penyusutan Inventaris Ruangan</t>
        </is>
      </c>
      <c r="I756" s="5">
        <f>Penyusutan!M756</f>
        <v/>
      </c>
      <c r="J756" s="3" t="inlineStr"/>
      <c r="K756" s="3" t="inlineStr">
        <is>
          <t>Akumulasi Penyusutan Inventaris Ruangan</t>
        </is>
      </c>
      <c r="L756" s="5">
        <f>Penyusutan!M756</f>
        <v/>
      </c>
      <c r="M756" s="3">
        <f>IF(E756="","","Penyusutan "&amp;E756&amp;" periode "&amp;C756)</f>
        <v/>
      </c>
    </row>
    <row r="757">
      <c r="A757" s="3">
        <f>IF(Penyusutan!D757="","","JRN-"&amp;TEXT(ROW()-1,"0000"))</f>
        <v/>
      </c>
      <c r="B757" s="4" t="n">
        <v>46022</v>
      </c>
      <c r="C757" s="3">
        <f>Penyusutan!B757</f>
        <v/>
      </c>
      <c r="D757" s="3">
        <f>Penyusutan!C757</f>
        <v/>
      </c>
      <c r="E757" s="3">
        <f>Penyusutan!D757</f>
        <v/>
      </c>
      <c r="F757" s="3" t="inlineStr">
        <is>
          <t>Inventaris Ruangan</t>
        </is>
      </c>
      <c r="G757" s="3" t="inlineStr"/>
      <c r="H757" s="3" t="inlineStr">
        <is>
          <t>Beban Penyusutan Inventaris Ruangan</t>
        </is>
      </c>
      <c r="I757" s="5">
        <f>Penyusutan!M757</f>
        <v/>
      </c>
      <c r="J757" s="3" t="inlineStr"/>
      <c r="K757" s="3" t="inlineStr">
        <is>
          <t>Akumulasi Penyusutan Inventaris Ruangan</t>
        </is>
      </c>
      <c r="L757" s="5">
        <f>Penyusutan!M757</f>
        <v/>
      </c>
      <c r="M757" s="3">
        <f>IF(E757="","","Penyusutan "&amp;E757&amp;" periode "&amp;C757)</f>
        <v/>
      </c>
    </row>
    <row r="758">
      <c r="A758" s="3">
        <f>IF(Penyusutan!D758="","","JRN-"&amp;TEXT(ROW()-1,"0000"))</f>
        <v/>
      </c>
      <c r="B758" s="4" t="n">
        <v>46022</v>
      </c>
      <c r="C758" s="3">
        <f>Penyusutan!B758</f>
        <v/>
      </c>
      <c r="D758" s="3">
        <f>Penyusutan!C758</f>
        <v/>
      </c>
      <c r="E758" s="3">
        <f>Penyusutan!D758</f>
        <v/>
      </c>
      <c r="F758" s="3" t="inlineStr">
        <is>
          <t>Inventaris Ruangan</t>
        </is>
      </c>
      <c r="G758" s="3" t="inlineStr"/>
      <c r="H758" s="3" t="inlineStr">
        <is>
          <t>Beban Penyusutan Inventaris Ruangan</t>
        </is>
      </c>
      <c r="I758" s="5">
        <f>Penyusutan!M758</f>
        <v/>
      </c>
      <c r="J758" s="3" t="inlineStr"/>
      <c r="K758" s="3" t="inlineStr">
        <is>
          <t>Akumulasi Penyusutan Inventaris Ruangan</t>
        </is>
      </c>
      <c r="L758" s="5">
        <f>Penyusutan!M758</f>
        <v/>
      </c>
      <c r="M758" s="3">
        <f>IF(E758="","","Penyusutan "&amp;E758&amp;" periode "&amp;C758)</f>
        <v/>
      </c>
    </row>
    <row r="759">
      <c r="A759" s="3">
        <f>IF(Penyusutan!D759="","","JRN-"&amp;TEXT(ROW()-1,"0000"))</f>
        <v/>
      </c>
      <c r="B759" s="4" t="n">
        <v>46022</v>
      </c>
      <c r="C759" s="3">
        <f>Penyusutan!B759</f>
        <v/>
      </c>
      <c r="D759" s="3">
        <f>Penyusutan!C759</f>
        <v/>
      </c>
      <c r="E759" s="3">
        <f>Penyusutan!D759</f>
        <v/>
      </c>
      <c r="F759" s="3" t="inlineStr">
        <is>
          <t>Inventaris Ruangan</t>
        </is>
      </c>
      <c r="G759" s="3" t="inlineStr"/>
      <c r="H759" s="3" t="inlineStr">
        <is>
          <t>Beban Penyusutan Inventaris Ruangan</t>
        </is>
      </c>
      <c r="I759" s="5">
        <f>Penyusutan!M759</f>
        <v/>
      </c>
      <c r="J759" s="3" t="inlineStr"/>
      <c r="K759" s="3" t="inlineStr">
        <is>
          <t>Akumulasi Penyusutan Inventaris Ruangan</t>
        </is>
      </c>
      <c r="L759" s="5">
        <f>Penyusutan!M759</f>
        <v/>
      </c>
      <c r="M759" s="3">
        <f>IF(E759="","","Penyusutan "&amp;E759&amp;" periode "&amp;C759)</f>
        <v/>
      </c>
    </row>
    <row r="760">
      <c r="A760" s="3">
        <f>IF(Penyusutan!D760="","","JRN-"&amp;TEXT(ROW()-1,"0000"))</f>
        <v/>
      </c>
      <c r="B760" s="4" t="n">
        <v>46022</v>
      </c>
      <c r="C760" s="3">
        <f>Penyusutan!B760</f>
        <v/>
      </c>
      <c r="D760" s="3">
        <f>Penyusutan!C760</f>
        <v/>
      </c>
      <c r="E760" s="3">
        <f>Penyusutan!D760</f>
        <v/>
      </c>
      <c r="F760" s="3" t="inlineStr">
        <is>
          <t>Inventaris Ruangan</t>
        </is>
      </c>
      <c r="G760" s="3" t="inlineStr"/>
      <c r="H760" s="3" t="inlineStr">
        <is>
          <t>Beban Penyusutan Inventaris Ruangan</t>
        </is>
      </c>
      <c r="I760" s="5">
        <f>Penyusutan!M760</f>
        <v/>
      </c>
      <c r="J760" s="3" t="inlineStr"/>
      <c r="K760" s="3" t="inlineStr">
        <is>
          <t>Akumulasi Penyusutan Inventaris Ruangan</t>
        </is>
      </c>
      <c r="L760" s="5">
        <f>Penyusutan!M760</f>
        <v/>
      </c>
      <c r="M760" s="3">
        <f>IF(E760="","","Penyusutan "&amp;E760&amp;" periode "&amp;C760)</f>
        <v/>
      </c>
    </row>
    <row r="761">
      <c r="A761" s="3">
        <f>IF(Penyusutan!D761="","","JRN-"&amp;TEXT(ROW()-1,"0000"))</f>
        <v/>
      </c>
      <c r="B761" s="4" t="n">
        <v>46022</v>
      </c>
      <c r="C761" s="3">
        <f>Penyusutan!B761</f>
        <v/>
      </c>
      <c r="D761" s="3">
        <f>Penyusutan!C761</f>
        <v/>
      </c>
      <c r="E761" s="3">
        <f>Penyusutan!D761</f>
        <v/>
      </c>
      <c r="F761" s="3" t="inlineStr">
        <is>
          <t>Inventaris Ruangan</t>
        </is>
      </c>
      <c r="G761" s="3" t="inlineStr"/>
      <c r="H761" s="3" t="inlineStr">
        <is>
          <t>Beban Penyusutan Inventaris Ruangan</t>
        </is>
      </c>
      <c r="I761" s="5">
        <f>Penyusutan!M761</f>
        <v/>
      </c>
      <c r="J761" s="3" t="inlineStr"/>
      <c r="K761" s="3" t="inlineStr">
        <is>
          <t>Akumulasi Penyusutan Inventaris Ruangan</t>
        </is>
      </c>
      <c r="L761" s="5">
        <f>Penyusutan!M761</f>
        <v/>
      </c>
      <c r="M761" s="3">
        <f>IF(E761="","","Penyusutan "&amp;E761&amp;" periode "&amp;C761)</f>
        <v/>
      </c>
    </row>
    <row r="762">
      <c r="A762" s="3">
        <f>IF(Penyusutan!D762="","","JRN-"&amp;TEXT(ROW()-1,"0000"))</f>
        <v/>
      </c>
      <c r="B762" s="4" t="n">
        <v>46022</v>
      </c>
      <c r="C762" s="3">
        <f>Penyusutan!B762</f>
        <v/>
      </c>
      <c r="D762" s="3">
        <f>Penyusutan!C762</f>
        <v/>
      </c>
      <c r="E762" s="3">
        <f>Penyusutan!D762</f>
        <v/>
      </c>
      <c r="F762" s="3" t="inlineStr">
        <is>
          <t>Inventaris Ruangan</t>
        </is>
      </c>
      <c r="G762" s="3" t="inlineStr"/>
      <c r="H762" s="3" t="inlineStr">
        <is>
          <t>Beban Penyusutan Inventaris Ruangan</t>
        </is>
      </c>
      <c r="I762" s="5">
        <f>Penyusutan!M762</f>
        <v/>
      </c>
      <c r="J762" s="3" t="inlineStr"/>
      <c r="K762" s="3" t="inlineStr">
        <is>
          <t>Akumulasi Penyusutan Inventaris Ruangan</t>
        </is>
      </c>
      <c r="L762" s="5">
        <f>Penyusutan!M762</f>
        <v/>
      </c>
      <c r="M762" s="3">
        <f>IF(E762="","","Penyusutan "&amp;E762&amp;" periode "&amp;C762)</f>
        <v/>
      </c>
    </row>
    <row r="763">
      <c r="A763" s="3">
        <f>IF(Penyusutan!D763="","","JRN-"&amp;TEXT(ROW()-1,"0000"))</f>
        <v/>
      </c>
      <c r="B763" s="4" t="n">
        <v>46022</v>
      </c>
      <c r="C763" s="3">
        <f>Penyusutan!B763</f>
        <v/>
      </c>
      <c r="D763" s="3">
        <f>Penyusutan!C763</f>
        <v/>
      </c>
      <c r="E763" s="3">
        <f>Penyusutan!D763</f>
        <v/>
      </c>
      <c r="F763" s="3" t="inlineStr">
        <is>
          <t>Inventaris Ruangan</t>
        </is>
      </c>
      <c r="G763" s="3" t="inlineStr"/>
      <c r="H763" s="3" t="inlineStr">
        <is>
          <t>Beban Penyusutan Inventaris Ruangan</t>
        </is>
      </c>
      <c r="I763" s="5">
        <f>Penyusutan!M763</f>
        <v/>
      </c>
      <c r="J763" s="3" t="inlineStr"/>
      <c r="K763" s="3" t="inlineStr">
        <is>
          <t>Akumulasi Penyusutan Inventaris Ruangan</t>
        </is>
      </c>
      <c r="L763" s="5">
        <f>Penyusutan!M763</f>
        <v/>
      </c>
      <c r="M763" s="3">
        <f>IF(E763="","","Penyusutan "&amp;E763&amp;" periode "&amp;C763)</f>
        <v/>
      </c>
    </row>
    <row r="764">
      <c r="A764" s="3">
        <f>IF(Penyusutan!D764="","","JRN-"&amp;TEXT(ROW()-1,"0000"))</f>
        <v/>
      </c>
      <c r="B764" s="4" t="n">
        <v>46022</v>
      </c>
      <c r="C764" s="3">
        <f>Penyusutan!B764</f>
        <v/>
      </c>
      <c r="D764" s="3">
        <f>Penyusutan!C764</f>
        <v/>
      </c>
      <c r="E764" s="3">
        <f>Penyusutan!D764</f>
        <v/>
      </c>
      <c r="F764" s="3" t="inlineStr">
        <is>
          <t>Inventaris Ruangan</t>
        </is>
      </c>
      <c r="G764" s="3" t="inlineStr"/>
      <c r="H764" s="3" t="inlineStr">
        <is>
          <t>Beban Penyusutan Inventaris Ruangan</t>
        </is>
      </c>
      <c r="I764" s="5">
        <f>Penyusutan!M764</f>
        <v/>
      </c>
      <c r="J764" s="3" t="inlineStr"/>
      <c r="K764" s="3" t="inlineStr">
        <is>
          <t>Akumulasi Penyusutan Inventaris Ruangan</t>
        </is>
      </c>
      <c r="L764" s="5">
        <f>Penyusutan!M764</f>
        <v/>
      </c>
      <c r="M764" s="3">
        <f>IF(E764="","","Penyusutan "&amp;E764&amp;" periode "&amp;C764)</f>
        <v/>
      </c>
    </row>
    <row r="765">
      <c r="A765" s="3">
        <f>IF(Penyusutan!D765="","","JRN-"&amp;TEXT(ROW()-1,"0000"))</f>
        <v/>
      </c>
      <c r="B765" s="4" t="n">
        <v>46022</v>
      </c>
      <c r="C765" s="3">
        <f>Penyusutan!B765</f>
        <v/>
      </c>
      <c r="D765" s="3">
        <f>Penyusutan!C765</f>
        <v/>
      </c>
      <c r="E765" s="3">
        <f>Penyusutan!D765</f>
        <v/>
      </c>
      <c r="F765" s="3" t="inlineStr">
        <is>
          <t>Inventaris Ruangan</t>
        </is>
      </c>
      <c r="G765" s="3" t="inlineStr"/>
      <c r="H765" s="3" t="inlineStr">
        <is>
          <t>Beban Penyusutan Inventaris Ruangan</t>
        </is>
      </c>
      <c r="I765" s="5">
        <f>Penyusutan!M765</f>
        <v/>
      </c>
      <c r="J765" s="3" t="inlineStr"/>
      <c r="K765" s="3" t="inlineStr">
        <is>
          <t>Akumulasi Penyusutan Inventaris Ruangan</t>
        </is>
      </c>
      <c r="L765" s="5">
        <f>Penyusutan!M765</f>
        <v/>
      </c>
      <c r="M765" s="3">
        <f>IF(E765="","","Penyusutan "&amp;E765&amp;" periode "&amp;C765)</f>
        <v/>
      </c>
    </row>
    <row r="766">
      <c r="A766" s="3">
        <f>IF(Penyusutan!D766="","","JRN-"&amp;TEXT(ROW()-1,"0000"))</f>
        <v/>
      </c>
      <c r="B766" s="4" t="n">
        <v>46022</v>
      </c>
      <c r="C766" s="3">
        <f>Penyusutan!B766</f>
        <v/>
      </c>
      <c r="D766" s="3">
        <f>Penyusutan!C766</f>
        <v/>
      </c>
      <c r="E766" s="3">
        <f>Penyusutan!D766</f>
        <v/>
      </c>
      <c r="F766" s="3" t="inlineStr">
        <is>
          <t>Inventaris Ruangan</t>
        </is>
      </c>
      <c r="G766" s="3" t="inlineStr"/>
      <c r="H766" s="3" t="inlineStr">
        <is>
          <t>Beban Penyusutan Inventaris Ruangan</t>
        </is>
      </c>
      <c r="I766" s="5">
        <f>Penyusutan!M766</f>
        <v/>
      </c>
      <c r="J766" s="3" t="inlineStr"/>
      <c r="K766" s="3" t="inlineStr">
        <is>
          <t>Akumulasi Penyusutan Inventaris Ruangan</t>
        </is>
      </c>
      <c r="L766" s="5">
        <f>Penyusutan!M766</f>
        <v/>
      </c>
      <c r="M766" s="3">
        <f>IF(E766="","","Penyusutan "&amp;E766&amp;" periode "&amp;C766)</f>
        <v/>
      </c>
    </row>
    <row r="767">
      <c r="A767" s="3">
        <f>IF(Penyusutan!D767="","","JRN-"&amp;TEXT(ROW()-1,"0000"))</f>
        <v/>
      </c>
      <c r="B767" s="4" t="n">
        <v>46022</v>
      </c>
      <c r="C767" s="3">
        <f>Penyusutan!B767</f>
        <v/>
      </c>
      <c r="D767" s="3">
        <f>Penyusutan!C767</f>
        <v/>
      </c>
      <c r="E767" s="3">
        <f>Penyusutan!D767</f>
        <v/>
      </c>
      <c r="F767" s="3" t="inlineStr">
        <is>
          <t>Inventaris Ruangan</t>
        </is>
      </c>
      <c r="G767" s="3" t="inlineStr"/>
      <c r="H767" s="3" t="inlineStr">
        <is>
          <t>Beban Penyusutan Inventaris Ruangan</t>
        </is>
      </c>
      <c r="I767" s="5">
        <f>Penyusutan!M767</f>
        <v/>
      </c>
      <c r="J767" s="3" t="inlineStr"/>
      <c r="K767" s="3" t="inlineStr">
        <is>
          <t>Akumulasi Penyusutan Inventaris Ruangan</t>
        </is>
      </c>
      <c r="L767" s="5">
        <f>Penyusutan!M767</f>
        <v/>
      </c>
      <c r="M767" s="3">
        <f>IF(E767="","","Penyusutan "&amp;E767&amp;" periode "&amp;C767)</f>
        <v/>
      </c>
    </row>
    <row r="768">
      <c r="A768" s="3">
        <f>IF(Penyusutan!D768="","","JRN-"&amp;TEXT(ROW()-1,"0000"))</f>
        <v/>
      </c>
      <c r="B768" s="4" t="n">
        <v>46022</v>
      </c>
      <c r="C768" s="3">
        <f>Penyusutan!B768</f>
        <v/>
      </c>
      <c r="D768" s="3">
        <f>Penyusutan!C768</f>
        <v/>
      </c>
      <c r="E768" s="3">
        <f>Penyusutan!D768</f>
        <v/>
      </c>
      <c r="F768" s="3" t="inlineStr">
        <is>
          <t>Inventaris Ruangan</t>
        </is>
      </c>
      <c r="G768" s="3" t="inlineStr"/>
      <c r="H768" s="3" t="inlineStr">
        <is>
          <t>Beban Penyusutan Inventaris Ruangan</t>
        </is>
      </c>
      <c r="I768" s="5">
        <f>Penyusutan!M768</f>
        <v/>
      </c>
      <c r="J768" s="3" t="inlineStr"/>
      <c r="K768" s="3" t="inlineStr">
        <is>
          <t>Akumulasi Penyusutan Inventaris Ruangan</t>
        </is>
      </c>
      <c r="L768" s="5">
        <f>Penyusutan!M768</f>
        <v/>
      </c>
      <c r="M768" s="3">
        <f>IF(E768="","","Penyusutan "&amp;E768&amp;" periode "&amp;C768)</f>
        <v/>
      </c>
    </row>
    <row r="769">
      <c r="A769" s="3">
        <f>IF(Penyusutan!D769="","","JRN-"&amp;TEXT(ROW()-1,"0000"))</f>
        <v/>
      </c>
      <c r="B769" s="4" t="n">
        <v>46022</v>
      </c>
      <c r="C769" s="3">
        <f>Penyusutan!B769</f>
        <v/>
      </c>
      <c r="D769" s="3">
        <f>Penyusutan!C769</f>
        <v/>
      </c>
      <c r="E769" s="3">
        <f>Penyusutan!D769</f>
        <v/>
      </c>
      <c r="F769" s="3" t="inlineStr">
        <is>
          <t>Inventaris Ruangan</t>
        </is>
      </c>
      <c r="G769" s="3" t="inlineStr"/>
      <c r="H769" s="3" t="inlineStr">
        <is>
          <t>Beban Penyusutan Inventaris Ruangan</t>
        </is>
      </c>
      <c r="I769" s="5">
        <f>Penyusutan!M769</f>
        <v/>
      </c>
      <c r="J769" s="3" t="inlineStr"/>
      <c r="K769" s="3" t="inlineStr">
        <is>
          <t>Akumulasi Penyusutan Inventaris Ruangan</t>
        </is>
      </c>
      <c r="L769" s="5">
        <f>Penyusutan!M769</f>
        <v/>
      </c>
      <c r="M769" s="3">
        <f>IF(E769="","","Penyusutan "&amp;E769&amp;" periode "&amp;C769)</f>
        <v/>
      </c>
    </row>
    <row r="770">
      <c r="A770" s="3">
        <f>IF(Penyusutan!D770="","","JRN-"&amp;TEXT(ROW()-1,"0000"))</f>
        <v/>
      </c>
      <c r="B770" s="4" t="n">
        <v>46022</v>
      </c>
      <c r="C770" s="3">
        <f>Penyusutan!B770</f>
        <v/>
      </c>
      <c r="D770" s="3">
        <f>Penyusutan!C770</f>
        <v/>
      </c>
      <c r="E770" s="3">
        <f>Penyusutan!D770</f>
        <v/>
      </c>
      <c r="F770" s="3" t="inlineStr">
        <is>
          <t>Inventaris Ruangan</t>
        </is>
      </c>
      <c r="G770" s="3" t="inlineStr"/>
      <c r="H770" s="3" t="inlineStr">
        <is>
          <t>Beban Penyusutan Inventaris Ruangan</t>
        </is>
      </c>
      <c r="I770" s="5">
        <f>Penyusutan!M770</f>
        <v/>
      </c>
      <c r="J770" s="3" t="inlineStr"/>
      <c r="K770" s="3" t="inlineStr">
        <is>
          <t>Akumulasi Penyusutan Inventaris Ruangan</t>
        </is>
      </c>
      <c r="L770" s="5">
        <f>Penyusutan!M770</f>
        <v/>
      </c>
      <c r="M770" s="3">
        <f>IF(E770="","","Penyusutan "&amp;E770&amp;" periode "&amp;C770)</f>
        <v/>
      </c>
    </row>
    <row r="771">
      <c r="A771" s="3">
        <f>IF(Penyusutan!D771="","","JRN-"&amp;TEXT(ROW()-1,"0000"))</f>
        <v/>
      </c>
      <c r="B771" s="4" t="n">
        <v>46022</v>
      </c>
      <c r="C771" s="3">
        <f>Penyusutan!B771</f>
        <v/>
      </c>
      <c r="D771" s="3">
        <f>Penyusutan!C771</f>
        <v/>
      </c>
      <c r="E771" s="3">
        <f>Penyusutan!D771</f>
        <v/>
      </c>
      <c r="F771" s="3" t="inlineStr">
        <is>
          <t>Inventaris Ruangan</t>
        </is>
      </c>
      <c r="G771" s="3" t="inlineStr"/>
      <c r="H771" s="3" t="inlineStr">
        <is>
          <t>Beban Penyusutan Inventaris Ruangan</t>
        </is>
      </c>
      <c r="I771" s="5">
        <f>Penyusutan!M771</f>
        <v/>
      </c>
      <c r="J771" s="3" t="inlineStr"/>
      <c r="K771" s="3" t="inlineStr">
        <is>
          <t>Akumulasi Penyusutan Inventaris Ruangan</t>
        </is>
      </c>
      <c r="L771" s="5">
        <f>Penyusutan!M771</f>
        <v/>
      </c>
      <c r="M771" s="3">
        <f>IF(E771="","","Penyusutan "&amp;E771&amp;" periode "&amp;C771)</f>
        <v/>
      </c>
    </row>
    <row r="772">
      <c r="A772" s="3">
        <f>IF(Penyusutan!D772="","","JRN-"&amp;TEXT(ROW()-1,"0000"))</f>
        <v/>
      </c>
      <c r="B772" s="4" t="n">
        <v>46022</v>
      </c>
      <c r="C772" s="3">
        <f>Penyusutan!B772</f>
        <v/>
      </c>
      <c r="D772" s="3">
        <f>Penyusutan!C772</f>
        <v/>
      </c>
      <c r="E772" s="3">
        <f>Penyusutan!D772</f>
        <v/>
      </c>
      <c r="F772" s="3" t="inlineStr">
        <is>
          <t>Inventaris Ruangan</t>
        </is>
      </c>
      <c r="G772" s="3" t="inlineStr"/>
      <c r="H772" s="3" t="inlineStr">
        <is>
          <t>Beban Penyusutan Inventaris Ruangan</t>
        </is>
      </c>
      <c r="I772" s="5">
        <f>Penyusutan!M772</f>
        <v/>
      </c>
      <c r="J772" s="3" t="inlineStr"/>
      <c r="K772" s="3" t="inlineStr">
        <is>
          <t>Akumulasi Penyusutan Inventaris Ruangan</t>
        </is>
      </c>
      <c r="L772" s="5">
        <f>Penyusutan!M772</f>
        <v/>
      </c>
      <c r="M772" s="3">
        <f>IF(E772="","","Penyusutan "&amp;E772&amp;" periode "&amp;C772)</f>
        <v/>
      </c>
    </row>
    <row r="773">
      <c r="A773" s="3">
        <f>IF(Penyusutan!D773="","","JRN-"&amp;TEXT(ROW()-1,"0000"))</f>
        <v/>
      </c>
      <c r="B773" s="4" t="n">
        <v>46022</v>
      </c>
      <c r="C773" s="3">
        <f>Penyusutan!B773</f>
        <v/>
      </c>
      <c r="D773" s="3">
        <f>Penyusutan!C773</f>
        <v/>
      </c>
      <c r="E773" s="3">
        <f>Penyusutan!D773</f>
        <v/>
      </c>
      <c r="F773" s="3" t="inlineStr">
        <is>
          <t>Inventaris Ruangan</t>
        </is>
      </c>
      <c r="G773" s="3" t="inlineStr"/>
      <c r="H773" s="3" t="inlineStr">
        <is>
          <t>Beban Penyusutan Inventaris Ruangan</t>
        </is>
      </c>
      <c r="I773" s="5">
        <f>Penyusutan!M773</f>
        <v/>
      </c>
      <c r="J773" s="3" t="inlineStr"/>
      <c r="K773" s="3" t="inlineStr">
        <is>
          <t>Akumulasi Penyusutan Inventaris Ruangan</t>
        </is>
      </c>
      <c r="L773" s="5">
        <f>Penyusutan!M773</f>
        <v/>
      </c>
      <c r="M773" s="3">
        <f>IF(E773="","","Penyusutan "&amp;E773&amp;" periode "&amp;C773)</f>
        <v/>
      </c>
    </row>
    <row r="774">
      <c r="A774" s="3">
        <f>IF(Penyusutan!D774="","","JRN-"&amp;TEXT(ROW()-1,"0000"))</f>
        <v/>
      </c>
      <c r="B774" s="4" t="n">
        <v>46022</v>
      </c>
      <c r="C774" s="3">
        <f>Penyusutan!B774</f>
        <v/>
      </c>
      <c r="D774" s="3">
        <f>Penyusutan!C774</f>
        <v/>
      </c>
      <c r="E774" s="3">
        <f>Penyusutan!D774</f>
        <v/>
      </c>
      <c r="F774" s="3" t="inlineStr">
        <is>
          <t>Inventaris Ruangan</t>
        </is>
      </c>
      <c r="G774" s="3" t="inlineStr"/>
      <c r="H774" s="3" t="inlineStr">
        <is>
          <t>Beban Penyusutan Inventaris Ruangan</t>
        </is>
      </c>
      <c r="I774" s="5">
        <f>Penyusutan!M774</f>
        <v/>
      </c>
      <c r="J774" s="3" t="inlineStr"/>
      <c r="K774" s="3" t="inlineStr">
        <is>
          <t>Akumulasi Penyusutan Inventaris Ruangan</t>
        </is>
      </c>
      <c r="L774" s="5">
        <f>Penyusutan!M774</f>
        <v/>
      </c>
      <c r="M774" s="3">
        <f>IF(E774="","","Penyusutan "&amp;E774&amp;" periode "&amp;C774)</f>
        <v/>
      </c>
    </row>
    <row r="775">
      <c r="A775" s="3">
        <f>IF(Penyusutan!D775="","","JRN-"&amp;TEXT(ROW()-1,"0000"))</f>
        <v/>
      </c>
      <c r="B775" s="4" t="n">
        <v>46022</v>
      </c>
      <c r="C775" s="3">
        <f>Penyusutan!B775</f>
        <v/>
      </c>
      <c r="D775" s="3">
        <f>Penyusutan!C775</f>
        <v/>
      </c>
      <c r="E775" s="3">
        <f>Penyusutan!D775</f>
        <v/>
      </c>
      <c r="F775" s="3" t="inlineStr">
        <is>
          <t>Inventaris Ruangan</t>
        </is>
      </c>
      <c r="G775" s="3" t="inlineStr"/>
      <c r="H775" s="3" t="inlineStr">
        <is>
          <t>Beban Penyusutan Inventaris Ruangan</t>
        </is>
      </c>
      <c r="I775" s="5">
        <f>Penyusutan!M775</f>
        <v/>
      </c>
      <c r="J775" s="3" t="inlineStr"/>
      <c r="K775" s="3" t="inlineStr">
        <is>
          <t>Akumulasi Penyusutan Inventaris Ruangan</t>
        </is>
      </c>
      <c r="L775" s="5">
        <f>Penyusutan!M775</f>
        <v/>
      </c>
      <c r="M775" s="3">
        <f>IF(E775="","","Penyusutan "&amp;E775&amp;" periode "&amp;C775)</f>
        <v/>
      </c>
    </row>
    <row r="776">
      <c r="A776" s="3">
        <f>IF(Penyusutan!D776="","","JRN-"&amp;TEXT(ROW()-1,"0000"))</f>
        <v/>
      </c>
      <c r="B776" s="4" t="n">
        <v>46022</v>
      </c>
      <c r="C776" s="3">
        <f>Penyusutan!B776</f>
        <v/>
      </c>
      <c r="D776" s="3">
        <f>Penyusutan!C776</f>
        <v/>
      </c>
      <c r="E776" s="3">
        <f>Penyusutan!D776</f>
        <v/>
      </c>
      <c r="F776" s="3" t="inlineStr">
        <is>
          <t>Inventaris Ruangan</t>
        </is>
      </c>
      <c r="G776" s="3" t="inlineStr"/>
      <c r="H776" s="3" t="inlineStr">
        <is>
          <t>Beban Penyusutan Inventaris Ruangan</t>
        </is>
      </c>
      <c r="I776" s="5">
        <f>Penyusutan!M776</f>
        <v/>
      </c>
      <c r="J776" s="3" t="inlineStr"/>
      <c r="K776" s="3" t="inlineStr">
        <is>
          <t>Akumulasi Penyusutan Inventaris Ruangan</t>
        </is>
      </c>
      <c r="L776" s="5">
        <f>Penyusutan!M776</f>
        <v/>
      </c>
      <c r="M776" s="3">
        <f>IF(E776="","","Penyusutan "&amp;E776&amp;" periode "&amp;C776)</f>
        <v/>
      </c>
    </row>
    <row r="777">
      <c r="A777" s="3">
        <f>IF(Penyusutan!D777="","","JRN-"&amp;TEXT(ROW()-1,"0000"))</f>
        <v/>
      </c>
      <c r="B777" s="4" t="n">
        <v>46022</v>
      </c>
      <c r="C777" s="3">
        <f>Penyusutan!B777</f>
        <v/>
      </c>
      <c r="D777" s="3">
        <f>Penyusutan!C777</f>
        <v/>
      </c>
      <c r="E777" s="3">
        <f>Penyusutan!D777</f>
        <v/>
      </c>
      <c r="F777" s="3" t="inlineStr">
        <is>
          <t>Inventaris Ruangan</t>
        </is>
      </c>
      <c r="G777" s="3" t="inlineStr"/>
      <c r="H777" s="3" t="inlineStr">
        <is>
          <t>Beban Penyusutan Inventaris Ruangan</t>
        </is>
      </c>
      <c r="I777" s="5">
        <f>Penyusutan!M777</f>
        <v/>
      </c>
      <c r="J777" s="3" t="inlineStr"/>
      <c r="K777" s="3" t="inlineStr">
        <is>
          <t>Akumulasi Penyusutan Inventaris Ruangan</t>
        </is>
      </c>
      <c r="L777" s="5">
        <f>Penyusutan!M777</f>
        <v/>
      </c>
      <c r="M777" s="3">
        <f>IF(E777="","","Penyusutan "&amp;E777&amp;" periode "&amp;C777)</f>
        <v/>
      </c>
    </row>
    <row r="778">
      <c r="A778" s="3">
        <f>IF(Penyusutan!D778="","","JRN-"&amp;TEXT(ROW()-1,"0000"))</f>
        <v/>
      </c>
      <c r="B778" s="4" t="n">
        <v>46022</v>
      </c>
      <c r="C778" s="3">
        <f>Penyusutan!B778</f>
        <v/>
      </c>
      <c r="D778" s="3">
        <f>Penyusutan!C778</f>
        <v/>
      </c>
      <c r="E778" s="3">
        <f>Penyusutan!D778</f>
        <v/>
      </c>
      <c r="F778" s="3" t="inlineStr">
        <is>
          <t>Inventaris Ruangan</t>
        </is>
      </c>
      <c r="G778" s="3" t="inlineStr"/>
      <c r="H778" s="3" t="inlineStr">
        <is>
          <t>Beban Penyusutan Inventaris Ruangan</t>
        </is>
      </c>
      <c r="I778" s="5">
        <f>Penyusutan!M778</f>
        <v/>
      </c>
      <c r="J778" s="3" t="inlineStr"/>
      <c r="K778" s="3" t="inlineStr">
        <is>
          <t>Akumulasi Penyusutan Inventaris Ruangan</t>
        </is>
      </c>
      <c r="L778" s="5">
        <f>Penyusutan!M778</f>
        <v/>
      </c>
      <c r="M778" s="3">
        <f>IF(E778="","","Penyusutan "&amp;E778&amp;" periode "&amp;C778)</f>
        <v/>
      </c>
    </row>
    <row r="779">
      <c r="A779" s="3">
        <f>IF(Penyusutan!D779="","","JRN-"&amp;TEXT(ROW()-1,"0000"))</f>
        <v/>
      </c>
      <c r="B779" s="4" t="n">
        <v>46022</v>
      </c>
      <c r="C779" s="3">
        <f>Penyusutan!B779</f>
        <v/>
      </c>
      <c r="D779" s="3">
        <f>Penyusutan!C779</f>
        <v/>
      </c>
      <c r="E779" s="3">
        <f>Penyusutan!D779</f>
        <v/>
      </c>
      <c r="F779" s="3" t="inlineStr">
        <is>
          <t>Inventaris Ruangan</t>
        </is>
      </c>
      <c r="G779" s="3" t="inlineStr"/>
      <c r="H779" s="3" t="inlineStr">
        <is>
          <t>Beban Penyusutan Inventaris Ruangan</t>
        </is>
      </c>
      <c r="I779" s="5">
        <f>Penyusutan!M779</f>
        <v/>
      </c>
      <c r="J779" s="3" t="inlineStr"/>
      <c r="K779" s="3" t="inlineStr">
        <is>
          <t>Akumulasi Penyusutan Inventaris Ruangan</t>
        </is>
      </c>
      <c r="L779" s="5">
        <f>Penyusutan!M779</f>
        <v/>
      </c>
      <c r="M779" s="3">
        <f>IF(E779="","","Penyusutan "&amp;E779&amp;" periode "&amp;C779)</f>
        <v/>
      </c>
    </row>
    <row r="780">
      <c r="A780" s="3">
        <f>IF(Penyusutan!D780="","","JRN-"&amp;TEXT(ROW()-1,"0000"))</f>
        <v/>
      </c>
      <c r="B780" s="4" t="n">
        <v>46022</v>
      </c>
      <c r="C780" s="3">
        <f>Penyusutan!B780</f>
        <v/>
      </c>
      <c r="D780" s="3">
        <f>Penyusutan!C780</f>
        <v/>
      </c>
      <c r="E780" s="3">
        <f>Penyusutan!D780</f>
        <v/>
      </c>
      <c r="F780" s="3" t="inlineStr">
        <is>
          <t>Inventaris Ruangan</t>
        </is>
      </c>
      <c r="G780" s="3" t="inlineStr"/>
      <c r="H780" s="3" t="inlineStr">
        <is>
          <t>Beban Penyusutan Inventaris Ruangan</t>
        </is>
      </c>
      <c r="I780" s="5">
        <f>Penyusutan!M780</f>
        <v/>
      </c>
      <c r="J780" s="3" t="inlineStr"/>
      <c r="K780" s="3" t="inlineStr">
        <is>
          <t>Akumulasi Penyusutan Inventaris Ruangan</t>
        </is>
      </c>
      <c r="L780" s="5">
        <f>Penyusutan!M780</f>
        <v/>
      </c>
      <c r="M780" s="3">
        <f>IF(E780="","","Penyusutan "&amp;E780&amp;" periode "&amp;C780)</f>
        <v/>
      </c>
    </row>
    <row r="781">
      <c r="A781" s="3">
        <f>IF(Penyusutan!D781="","","JRN-"&amp;TEXT(ROW()-1,"0000"))</f>
        <v/>
      </c>
      <c r="B781" s="4" t="n">
        <v>46022</v>
      </c>
      <c r="C781" s="3">
        <f>Penyusutan!B781</f>
        <v/>
      </c>
      <c r="D781" s="3">
        <f>Penyusutan!C781</f>
        <v/>
      </c>
      <c r="E781" s="3">
        <f>Penyusutan!D781</f>
        <v/>
      </c>
      <c r="F781" s="3" t="inlineStr">
        <is>
          <t>Inventaris Ruangan</t>
        </is>
      </c>
      <c r="G781" s="3" t="inlineStr"/>
      <c r="H781" s="3" t="inlineStr">
        <is>
          <t>Beban Penyusutan Inventaris Ruangan</t>
        </is>
      </c>
      <c r="I781" s="5">
        <f>Penyusutan!M781</f>
        <v/>
      </c>
      <c r="J781" s="3" t="inlineStr"/>
      <c r="K781" s="3" t="inlineStr">
        <is>
          <t>Akumulasi Penyusutan Inventaris Ruangan</t>
        </is>
      </c>
      <c r="L781" s="5">
        <f>Penyusutan!M781</f>
        <v/>
      </c>
      <c r="M781" s="3">
        <f>IF(E781="","","Penyusutan "&amp;E781&amp;" periode "&amp;C781)</f>
        <v/>
      </c>
    </row>
    <row r="782">
      <c r="A782" s="3">
        <f>IF(Penyusutan!D782="","","JRN-"&amp;TEXT(ROW()-1,"0000"))</f>
        <v/>
      </c>
      <c r="B782" s="4" t="n">
        <v>46022</v>
      </c>
      <c r="C782" s="3">
        <f>Penyusutan!B782</f>
        <v/>
      </c>
      <c r="D782" s="3">
        <f>Penyusutan!C782</f>
        <v/>
      </c>
      <c r="E782" s="3">
        <f>Penyusutan!D782</f>
        <v/>
      </c>
      <c r="F782" s="3" t="inlineStr">
        <is>
          <t>Inventaris Ruangan</t>
        </is>
      </c>
      <c r="G782" s="3" t="inlineStr"/>
      <c r="H782" s="3" t="inlineStr">
        <is>
          <t>Beban Penyusutan Inventaris Ruangan</t>
        </is>
      </c>
      <c r="I782" s="5">
        <f>Penyusutan!M782</f>
        <v/>
      </c>
      <c r="J782" s="3" t="inlineStr"/>
      <c r="K782" s="3" t="inlineStr">
        <is>
          <t>Akumulasi Penyusutan Inventaris Ruangan</t>
        </is>
      </c>
      <c r="L782" s="5">
        <f>Penyusutan!M782</f>
        <v/>
      </c>
      <c r="M782" s="3">
        <f>IF(E782="","","Penyusutan "&amp;E782&amp;" periode "&amp;C782)</f>
        <v/>
      </c>
    </row>
    <row r="783">
      <c r="A783" s="3">
        <f>IF(Penyusutan!D783="","","JRN-"&amp;TEXT(ROW()-1,"0000"))</f>
        <v/>
      </c>
      <c r="B783" s="4" t="n">
        <v>46022</v>
      </c>
      <c r="C783" s="3">
        <f>Penyusutan!B783</f>
        <v/>
      </c>
      <c r="D783" s="3">
        <f>Penyusutan!C783</f>
        <v/>
      </c>
      <c r="E783" s="3">
        <f>Penyusutan!D783</f>
        <v/>
      </c>
      <c r="F783" s="3" t="inlineStr">
        <is>
          <t>Inventaris Ruangan</t>
        </is>
      </c>
      <c r="G783" s="3" t="inlineStr"/>
      <c r="H783" s="3" t="inlineStr">
        <is>
          <t>Beban Penyusutan Inventaris Ruangan</t>
        </is>
      </c>
      <c r="I783" s="5">
        <f>Penyusutan!M783</f>
        <v/>
      </c>
      <c r="J783" s="3" t="inlineStr"/>
      <c r="K783" s="3" t="inlineStr">
        <is>
          <t>Akumulasi Penyusutan Inventaris Ruangan</t>
        </is>
      </c>
      <c r="L783" s="5">
        <f>Penyusutan!M783</f>
        <v/>
      </c>
      <c r="M783" s="3">
        <f>IF(E783="","","Penyusutan "&amp;E783&amp;" periode "&amp;C783)</f>
        <v/>
      </c>
    </row>
    <row r="784">
      <c r="A784" s="3">
        <f>IF(Penyusutan!D784="","","JRN-"&amp;TEXT(ROW()-1,"0000"))</f>
        <v/>
      </c>
      <c r="B784" s="4" t="n">
        <v>46022</v>
      </c>
      <c r="C784" s="3">
        <f>Penyusutan!B784</f>
        <v/>
      </c>
      <c r="D784" s="3">
        <f>Penyusutan!C784</f>
        <v/>
      </c>
      <c r="E784" s="3">
        <f>Penyusutan!D784</f>
        <v/>
      </c>
      <c r="F784" s="3" t="inlineStr">
        <is>
          <t>Inventaris Ruangan</t>
        </is>
      </c>
      <c r="G784" s="3" t="inlineStr"/>
      <c r="H784" s="3" t="inlineStr">
        <is>
          <t>Beban Penyusutan Inventaris Ruangan</t>
        </is>
      </c>
      <c r="I784" s="5">
        <f>Penyusutan!M784</f>
        <v/>
      </c>
      <c r="J784" s="3" t="inlineStr"/>
      <c r="K784" s="3" t="inlineStr">
        <is>
          <t>Akumulasi Penyusutan Inventaris Ruangan</t>
        </is>
      </c>
      <c r="L784" s="5">
        <f>Penyusutan!M784</f>
        <v/>
      </c>
      <c r="M784" s="3">
        <f>IF(E784="","","Penyusutan "&amp;E784&amp;" periode "&amp;C784)</f>
        <v/>
      </c>
    </row>
    <row r="785">
      <c r="A785" s="3">
        <f>IF(Penyusutan!D785="","","JRN-"&amp;TEXT(ROW()-1,"0000"))</f>
        <v/>
      </c>
      <c r="B785" s="4" t="n">
        <v>46022</v>
      </c>
      <c r="C785" s="3">
        <f>Penyusutan!B785</f>
        <v/>
      </c>
      <c r="D785" s="3">
        <f>Penyusutan!C785</f>
        <v/>
      </c>
      <c r="E785" s="3">
        <f>Penyusutan!D785</f>
        <v/>
      </c>
      <c r="F785" s="3" t="inlineStr">
        <is>
          <t>Inventaris Ruangan</t>
        </is>
      </c>
      <c r="G785" s="3" t="inlineStr"/>
      <c r="H785" s="3" t="inlineStr">
        <is>
          <t>Beban Penyusutan Inventaris Ruangan</t>
        </is>
      </c>
      <c r="I785" s="5">
        <f>Penyusutan!M785</f>
        <v/>
      </c>
      <c r="J785" s="3" t="inlineStr"/>
      <c r="K785" s="3" t="inlineStr">
        <is>
          <t>Akumulasi Penyusutan Inventaris Ruangan</t>
        </is>
      </c>
      <c r="L785" s="5">
        <f>Penyusutan!M785</f>
        <v/>
      </c>
      <c r="M785" s="3">
        <f>IF(E785="","","Penyusutan "&amp;E785&amp;" periode "&amp;C785)</f>
        <v/>
      </c>
    </row>
    <row r="786">
      <c r="A786" s="3">
        <f>IF(Penyusutan!D786="","","JRN-"&amp;TEXT(ROW()-1,"0000"))</f>
        <v/>
      </c>
      <c r="B786" s="4" t="n">
        <v>46022</v>
      </c>
      <c r="C786" s="3">
        <f>Penyusutan!B786</f>
        <v/>
      </c>
      <c r="D786" s="3">
        <f>Penyusutan!C786</f>
        <v/>
      </c>
      <c r="E786" s="3">
        <f>Penyusutan!D786</f>
        <v/>
      </c>
      <c r="F786" s="3" t="inlineStr">
        <is>
          <t>Inventaris Ruangan</t>
        </is>
      </c>
      <c r="G786" s="3" t="inlineStr"/>
      <c r="H786" s="3" t="inlineStr">
        <is>
          <t>Beban Penyusutan Inventaris Ruangan</t>
        </is>
      </c>
      <c r="I786" s="5">
        <f>Penyusutan!M786</f>
        <v/>
      </c>
      <c r="J786" s="3" t="inlineStr"/>
      <c r="K786" s="3" t="inlineStr">
        <is>
          <t>Akumulasi Penyusutan Inventaris Ruangan</t>
        </is>
      </c>
      <c r="L786" s="5">
        <f>Penyusutan!M786</f>
        <v/>
      </c>
      <c r="M786" s="3">
        <f>IF(E786="","","Penyusutan "&amp;E786&amp;" periode "&amp;C786)</f>
        <v/>
      </c>
    </row>
    <row r="787">
      <c r="A787" s="3">
        <f>IF(Penyusutan!D787="","","JRN-"&amp;TEXT(ROW()-1,"0000"))</f>
        <v/>
      </c>
      <c r="B787" s="4" t="n">
        <v>46022</v>
      </c>
      <c r="C787" s="3">
        <f>Penyusutan!B787</f>
        <v/>
      </c>
      <c r="D787" s="3">
        <f>Penyusutan!C787</f>
        <v/>
      </c>
      <c r="E787" s="3">
        <f>Penyusutan!D787</f>
        <v/>
      </c>
      <c r="F787" s="3" t="inlineStr">
        <is>
          <t>Inventaris Ruangan</t>
        </is>
      </c>
      <c r="G787" s="3" t="inlineStr"/>
      <c r="H787" s="3" t="inlineStr">
        <is>
          <t>Beban Penyusutan Inventaris Ruangan</t>
        </is>
      </c>
      <c r="I787" s="5">
        <f>Penyusutan!M787</f>
        <v/>
      </c>
      <c r="J787" s="3" t="inlineStr"/>
      <c r="K787" s="3" t="inlineStr">
        <is>
          <t>Akumulasi Penyusutan Inventaris Ruangan</t>
        </is>
      </c>
      <c r="L787" s="5">
        <f>Penyusutan!M787</f>
        <v/>
      </c>
      <c r="M787" s="3">
        <f>IF(E787="","","Penyusutan "&amp;E787&amp;" periode "&amp;C787)</f>
        <v/>
      </c>
    </row>
    <row r="788">
      <c r="A788" s="3">
        <f>IF(Penyusutan!D788="","","JRN-"&amp;TEXT(ROW()-1,"0000"))</f>
        <v/>
      </c>
      <c r="B788" s="4" t="n">
        <v>46022</v>
      </c>
      <c r="C788" s="3">
        <f>Penyusutan!B788</f>
        <v/>
      </c>
      <c r="D788" s="3">
        <f>Penyusutan!C788</f>
        <v/>
      </c>
      <c r="E788" s="3">
        <f>Penyusutan!D788</f>
        <v/>
      </c>
      <c r="F788" s="3" t="inlineStr">
        <is>
          <t>Inventaris Ruangan</t>
        </is>
      </c>
      <c r="G788" s="3" t="inlineStr"/>
      <c r="H788" s="3" t="inlineStr">
        <is>
          <t>Beban Penyusutan Inventaris Ruangan</t>
        </is>
      </c>
      <c r="I788" s="5">
        <f>Penyusutan!M788</f>
        <v/>
      </c>
      <c r="J788" s="3" t="inlineStr"/>
      <c r="K788" s="3" t="inlineStr">
        <is>
          <t>Akumulasi Penyusutan Inventaris Ruangan</t>
        </is>
      </c>
      <c r="L788" s="5">
        <f>Penyusutan!M788</f>
        <v/>
      </c>
      <c r="M788" s="3">
        <f>IF(E788="","","Penyusutan "&amp;E788&amp;" periode "&amp;C788)</f>
        <v/>
      </c>
    </row>
    <row r="789">
      <c r="A789" s="3">
        <f>IF(Penyusutan!D789="","","JRN-"&amp;TEXT(ROW()-1,"0000"))</f>
        <v/>
      </c>
      <c r="B789" s="4" t="n">
        <v>46022</v>
      </c>
      <c r="C789" s="3">
        <f>Penyusutan!B789</f>
        <v/>
      </c>
      <c r="D789" s="3">
        <f>Penyusutan!C789</f>
        <v/>
      </c>
      <c r="E789" s="3">
        <f>Penyusutan!D789</f>
        <v/>
      </c>
      <c r="F789" s="3" t="inlineStr">
        <is>
          <t>Inventaris Ruangan</t>
        </is>
      </c>
      <c r="G789" s="3" t="inlineStr"/>
      <c r="H789" s="3" t="inlineStr">
        <is>
          <t>Beban Penyusutan Inventaris Ruangan</t>
        </is>
      </c>
      <c r="I789" s="5">
        <f>Penyusutan!M789</f>
        <v/>
      </c>
      <c r="J789" s="3" t="inlineStr"/>
      <c r="K789" s="3" t="inlineStr">
        <is>
          <t>Akumulasi Penyusutan Inventaris Ruangan</t>
        </is>
      </c>
      <c r="L789" s="5">
        <f>Penyusutan!M789</f>
        <v/>
      </c>
      <c r="M789" s="3">
        <f>IF(E789="","","Penyusutan "&amp;E789&amp;" periode "&amp;C789)</f>
        <v/>
      </c>
    </row>
    <row r="790">
      <c r="A790" s="3">
        <f>IF(Penyusutan!D790="","","JRN-"&amp;TEXT(ROW()-1,"0000"))</f>
        <v/>
      </c>
      <c r="B790" s="4" t="n">
        <v>46022</v>
      </c>
      <c r="C790" s="3">
        <f>Penyusutan!B790</f>
        <v/>
      </c>
      <c r="D790" s="3">
        <f>Penyusutan!C790</f>
        <v/>
      </c>
      <c r="E790" s="3">
        <f>Penyusutan!D790</f>
        <v/>
      </c>
      <c r="F790" s="3" t="inlineStr">
        <is>
          <t>Inventaris Ruangan</t>
        </is>
      </c>
      <c r="G790" s="3" t="inlineStr"/>
      <c r="H790" s="3" t="inlineStr">
        <is>
          <t>Beban Penyusutan Inventaris Ruangan</t>
        </is>
      </c>
      <c r="I790" s="5">
        <f>Penyusutan!M790</f>
        <v/>
      </c>
      <c r="J790" s="3" t="inlineStr"/>
      <c r="K790" s="3" t="inlineStr">
        <is>
          <t>Akumulasi Penyusutan Inventaris Ruangan</t>
        </is>
      </c>
      <c r="L790" s="5">
        <f>Penyusutan!M790</f>
        <v/>
      </c>
      <c r="M790" s="3">
        <f>IF(E790="","","Penyusutan "&amp;E790&amp;" periode "&amp;C790)</f>
        <v/>
      </c>
    </row>
    <row r="791">
      <c r="A791" s="3">
        <f>IF(Penyusutan!D791="","","JRN-"&amp;TEXT(ROW()-1,"0000"))</f>
        <v/>
      </c>
      <c r="B791" s="4" t="n">
        <v>46022</v>
      </c>
      <c r="C791" s="3">
        <f>Penyusutan!B791</f>
        <v/>
      </c>
      <c r="D791" s="3">
        <f>Penyusutan!C791</f>
        <v/>
      </c>
      <c r="E791" s="3">
        <f>Penyusutan!D791</f>
        <v/>
      </c>
      <c r="F791" s="3" t="inlineStr">
        <is>
          <t>Inventaris Ruangan</t>
        </is>
      </c>
      <c r="G791" s="3" t="inlineStr"/>
      <c r="H791" s="3" t="inlineStr">
        <is>
          <t>Beban Penyusutan Inventaris Ruangan</t>
        </is>
      </c>
      <c r="I791" s="5">
        <f>Penyusutan!M791</f>
        <v/>
      </c>
      <c r="J791" s="3" t="inlineStr"/>
      <c r="K791" s="3" t="inlineStr">
        <is>
          <t>Akumulasi Penyusutan Inventaris Ruangan</t>
        </is>
      </c>
      <c r="L791" s="5">
        <f>Penyusutan!M791</f>
        <v/>
      </c>
      <c r="M791" s="3">
        <f>IF(E791="","","Penyusutan "&amp;E791&amp;" periode "&amp;C791)</f>
        <v/>
      </c>
    </row>
    <row r="792">
      <c r="A792" s="3">
        <f>IF(Penyusutan!D792="","","JRN-"&amp;TEXT(ROW()-1,"0000"))</f>
        <v/>
      </c>
      <c r="B792" s="4" t="n">
        <v>46022</v>
      </c>
      <c r="C792" s="3">
        <f>Penyusutan!B792</f>
        <v/>
      </c>
      <c r="D792" s="3">
        <f>Penyusutan!C792</f>
        <v/>
      </c>
      <c r="E792" s="3">
        <f>Penyusutan!D792</f>
        <v/>
      </c>
      <c r="F792" s="3" t="inlineStr">
        <is>
          <t>Inventaris Ruangan</t>
        </is>
      </c>
      <c r="G792" s="3" t="inlineStr"/>
      <c r="H792" s="3" t="inlineStr">
        <is>
          <t>Beban Penyusutan Inventaris Ruangan</t>
        </is>
      </c>
      <c r="I792" s="5">
        <f>Penyusutan!M792</f>
        <v/>
      </c>
      <c r="J792" s="3" t="inlineStr"/>
      <c r="K792" s="3" t="inlineStr">
        <is>
          <t>Akumulasi Penyusutan Inventaris Ruangan</t>
        </is>
      </c>
      <c r="L792" s="5">
        <f>Penyusutan!M792</f>
        <v/>
      </c>
      <c r="M792" s="3">
        <f>IF(E792="","","Penyusutan "&amp;E792&amp;" periode "&amp;C792)</f>
        <v/>
      </c>
    </row>
    <row r="793">
      <c r="A793" s="3">
        <f>IF(Penyusutan!D793="","","JRN-"&amp;TEXT(ROW()-1,"0000"))</f>
        <v/>
      </c>
      <c r="B793" s="4" t="n">
        <v>46022</v>
      </c>
      <c r="C793" s="3">
        <f>Penyusutan!B793</f>
        <v/>
      </c>
      <c r="D793" s="3">
        <f>Penyusutan!C793</f>
        <v/>
      </c>
      <c r="E793" s="3">
        <f>Penyusutan!D793</f>
        <v/>
      </c>
      <c r="F793" s="3" t="inlineStr">
        <is>
          <t>Inventaris Ruangan</t>
        </is>
      </c>
      <c r="G793" s="3" t="inlineStr"/>
      <c r="H793" s="3" t="inlineStr">
        <is>
          <t>Beban Penyusutan Inventaris Ruangan</t>
        </is>
      </c>
      <c r="I793" s="5">
        <f>Penyusutan!M793</f>
        <v/>
      </c>
      <c r="J793" s="3" t="inlineStr"/>
      <c r="K793" s="3" t="inlineStr">
        <is>
          <t>Akumulasi Penyusutan Inventaris Ruangan</t>
        </is>
      </c>
      <c r="L793" s="5">
        <f>Penyusutan!M793</f>
        <v/>
      </c>
      <c r="M793" s="3">
        <f>IF(E793="","","Penyusutan "&amp;E793&amp;" periode "&amp;C793)</f>
        <v/>
      </c>
    </row>
    <row r="794">
      <c r="A794" s="3">
        <f>IF(Penyusutan!D794="","","JRN-"&amp;TEXT(ROW()-1,"0000"))</f>
        <v/>
      </c>
      <c r="B794" s="4" t="n">
        <v>46022</v>
      </c>
      <c r="C794" s="3">
        <f>Penyusutan!B794</f>
        <v/>
      </c>
      <c r="D794" s="3">
        <f>Penyusutan!C794</f>
        <v/>
      </c>
      <c r="E794" s="3">
        <f>Penyusutan!D794</f>
        <v/>
      </c>
      <c r="F794" s="3" t="inlineStr">
        <is>
          <t>Inventaris Ruangan</t>
        </is>
      </c>
      <c r="G794" s="3" t="inlineStr"/>
      <c r="H794" s="3" t="inlineStr">
        <is>
          <t>Beban Penyusutan Inventaris Ruangan</t>
        </is>
      </c>
      <c r="I794" s="5">
        <f>Penyusutan!M794</f>
        <v/>
      </c>
      <c r="J794" s="3" t="inlineStr"/>
      <c r="K794" s="3" t="inlineStr">
        <is>
          <t>Akumulasi Penyusutan Inventaris Ruangan</t>
        </is>
      </c>
      <c r="L794" s="5">
        <f>Penyusutan!M794</f>
        <v/>
      </c>
      <c r="M794" s="3">
        <f>IF(E794="","","Penyusutan "&amp;E794&amp;" periode "&amp;C794)</f>
        <v/>
      </c>
    </row>
    <row r="795">
      <c r="A795" s="3">
        <f>IF(Penyusutan!D795="","","JRN-"&amp;TEXT(ROW()-1,"0000"))</f>
        <v/>
      </c>
      <c r="B795" s="4" t="n">
        <v>46022</v>
      </c>
      <c r="C795" s="3">
        <f>Penyusutan!B795</f>
        <v/>
      </c>
      <c r="D795" s="3">
        <f>Penyusutan!C795</f>
        <v/>
      </c>
      <c r="E795" s="3">
        <f>Penyusutan!D795</f>
        <v/>
      </c>
      <c r="F795" s="3" t="inlineStr">
        <is>
          <t>Inventaris Ruangan</t>
        </is>
      </c>
      <c r="G795" s="3" t="inlineStr"/>
      <c r="H795" s="3" t="inlineStr">
        <is>
          <t>Beban Penyusutan Inventaris Ruangan</t>
        </is>
      </c>
      <c r="I795" s="5">
        <f>Penyusutan!M795</f>
        <v/>
      </c>
      <c r="J795" s="3" t="inlineStr"/>
      <c r="K795" s="3" t="inlineStr">
        <is>
          <t>Akumulasi Penyusutan Inventaris Ruangan</t>
        </is>
      </c>
      <c r="L795" s="5">
        <f>Penyusutan!M795</f>
        <v/>
      </c>
      <c r="M795" s="3">
        <f>IF(E795="","","Penyusutan "&amp;E795&amp;" periode "&amp;C795)</f>
        <v/>
      </c>
    </row>
    <row r="796">
      <c r="A796" s="3">
        <f>IF(Penyusutan!D796="","","JRN-"&amp;TEXT(ROW()-1,"0000"))</f>
        <v/>
      </c>
      <c r="B796" s="4" t="n">
        <v>46022</v>
      </c>
      <c r="C796" s="3">
        <f>Penyusutan!B796</f>
        <v/>
      </c>
      <c r="D796" s="3">
        <f>Penyusutan!C796</f>
        <v/>
      </c>
      <c r="E796" s="3">
        <f>Penyusutan!D796</f>
        <v/>
      </c>
      <c r="F796" s="3" t="inlineStr">
        <is>
          <t>Inventaris Ruangan</t>
        </is>
      </c>
      <c r="G796" s="3" t="inlineStr"/>
      <c r="H796" s="3" t="inlineStr">
        <is>
          <t>Beban Penyusutan Inventaris Ruangan</t>
        </is>
      </c>
      <c r="I796" s="5">
        <f>Penyusutan!M796</f>
        <v/>
      </c>
      <c r="J796" s="3" t="inlineStr"/>
      <c r="K796" s="3" t="inlineStr">
        <is>
          <t>Akumulasi Penyusutan Inventaris Ruangan</t>
        </is>
      </c>
      <c r="L796" s="5">
        <f>Penyusutan!M796</f>
        <v/>
      </c>
      <c r="M796" s="3">
        <f>IF(E796="","","Penyusutan "&amp;E796&amp;" periode "&amp;C796)</f>
        <v/>
      </c>
    </row>
    <row r="797">
      <c r="A797" s="3">
        <f>IF(Penyusutan!D797="","","JRN-"&amp;TEXT(ROW()-1,"0000"))</f>
        <v/>
      </c>
      <c r="B797" s="4" t="n">
        <v>46022</v>
      </c>
      <c r="C797" s="3">
        <f>Penyusutan!B797</f>
        <v/>
      </c>
      <c r="D797" s="3">
        <f>Penyusutan!C797</f>
        <v/>
      </c>
      <c r="E797" s="3">
        <f>Penyusutan!D797</f>
        <v/>
      </c>
      <c r="F797" s="3" t="inlineStr">
        <is>
          <t>Inventaris Ruangan</t>
        </is>
      </c>
      <c r="G797" s="3" t="inlineStr"/>
      <c r="H797" s="3" t="inlineStr">
        <is>
          <t>Beban Penyusutan Inventaris Ruangan</t>
        </is>
      </c>
      <c r="I797" s="5">
        <f>Penyusutan!M797</f>
        <v/>
      </c>
      <c r="J797" s="3" t="inlineStr"/>
      <c r="K797" s="3" t="inlineStr">
        <is>
          <t>Akumulasi Penyusutan Inventaris Ruangan</t>
        </is>
      </c>
      <c r="L797" s="5">
        <f>Penyusutan!M797</f>
        <v/>
      </c>
      <c r="M797" s="3">
        <f>IF(E797="","","Penyusutan "&amp;E797&amp;" periode "&amp;C797)</f>
        <v/>
      </c>
    </row>
    <row r="798">
      <c r="A798" s="3">
        <f>IF(Penyusutan!D798="","","JRN-"&amp;TEXT(ROW()-1,"0000"))</f>
        <v/>
      </c>
      <c r="B798" s="4" t="n">
        <v>46022</v>
      </c>
      <c r="C798" s="3">
        <f>Penyusutan!B798</f>
        <v/>
      </c>
      <c r="D798" s="3">
        <f>Penyusutan!C798</f>
        <v/>
      </c>
      <c r="E798" s="3">
        <f>Penyusutan!D798</f>
        <v/>
      </c>
      <c r="F798" s="3" t="inlineStr">
        <is>
          <t>Inventaris Ruangan</t>
        </is>
      </c>
      <c r="G798" s="3" t="inlineStr"/>
      <c r="H798" s="3" t="inlineStr">
        <is>
          <t>Beban Penyusutan Inventaris Ruangan</t>
        </is>
      </c>
      <c r="I798" s="5">
        <f>Penyusutan!M798</f>
        <v/>
      </c>
      <c r="J798" s="3" t="inlineStr"/>
      <c r="K798" s="3" t="inlineStr">
        <is>
          <t>Akumulasi Penyusutan Inventaris Ruangan</t>
        </is>
      </c>
      <c r="L798" s="5">
        <f>Penyusutan!M798</f>
        <v/>
      </c>
      <c r="M798" s="3">
        <f>IF(E798="","","Penyusutan "&amp;E798&amp;" periode "&amp;C798)</f>
        <v/>
      </c>
    </row>
    <row r="799">
      <c r="A799" s="3">
        <f>IF(Penyusutan!D799="","","JRN-"&amp;TEXT(ROW()-1,"0000"))</f>
        <v/>
      </c>
      <c r="B799" s="4" t="n">
        <v>46022</v>
      </c>
      <c r="C799" s="3">
        <f>Penyusutan!B799</f>
        <v/>
      </c>
      <c r="D799" s="3">
        <f>Penyusutan!C799</f>
        <v/>
      </c>
      <c r="E799" s="3">
        <f>Penyusutan!D799</f>
        <v/>
      </c>
      <c r="F799" s="3" t="inlineStr">
        <is>
          <t>Inventaris Ruangan</t>
        </is>
      </c>
      <c r="G799" s="3" t="inlineStr"/>
      <c r="H799" s="3" t="inlineStr">
        <is>
          <t>Beban Penyusutan Inventaris Ruangan</t>
        </is>
      </c>
      <c r="I799" s="5">
        <f>Penyusutan!M799</f>
        <v/>
      </c>
      <c r="J799" s="3" t="inlineStr"/>
      <c r="K799" s="3" t="inlineStr">
        <is>
          <t>Akumulasi Penyusutan Inventaris Ruangan</t>
        </is>
      </c>
      <c r="L799" s="5">
        <f>Penyusutan!M799</f>
        <v/>
      </c>
      <c r="M799" s="3">
        <f>IF(E799="","","Penyusutan "&amp;E799&amp;" periode "&amp;C799)</f>
        <v/>
      </c>
    </row>
    <row r="800">
      <c r="A800" s="3">
        <f>IF(Penyusutan!D800="","","JRN-"&amp;TEXT(ROW()-1,"0000"))</f>
        <v/>
      </c>
      <c r="B800" s="4" t="n">
        <v>46022</v>
      </c>
      <c r="C800" s="3">
        <f>Penyusutan!B800</f>
        <v/>
      </c>
      <c r="D800" s="3">
        <f>Penyusutan!C800</f>
        <v/>
      </c>
      <c r="E800" s="3">
        <f>Penyusutan!D800</f>
        <v/>
      </c>
      <c r="F800" s="3" t="inlineStr">
        <is>
          <t>Inventaris Ruangan</t>
        </is>
      </c>
      <c r="G800" s="3" t="inlineStr"/>
      <c r="H800" s="3" t="inlineStr">
        <is>
          <t>Beban Penyusutan Inventaris Ruangan</t>
        </is>
      </c>
      <c r="I800" s="5">
        <f>Penyusutan!M800</f>
        <v/>
      </c>
      <c r="J800" s="3" t="inlineStr"/>
      <c r="K800" s="3" t="inlineStr">
        <is>
          <t>Akumulasi Penyusutan Inventaris Ruangan</t>
        </is>
      </c>
      <c r="L800" s="5">
        <f>Penyusutan!M800</f>
        <v/>
      </c>
      <c r="M800" s="3">
        <f>IF(E800="","","Penyusutan "&amp;E800&amp;" periode "&amp;C800)</f>
        <v/>
      </c>
    </row>
    <row r="801">
      <c r="A801" s="3">
        <f>IF(Penyusutan!D801="","","JRN-"&amp;TEXT(ROW()-1,"0000"))</f>
        <v/>
      </c>
      <c r="B801" s="4" t="n">
        <v>46022</v>
      </c>
      <c r="C801" s="3">
        <f>Penyusutan!B801</f>
        <v/>
      </c>
      <c r="D801" s="3">
        <f>Penyusutan!C801</f>
        <v/>
      </c>
      <c r="E801" s="3">
        <f>Penyusutan!D801</f>
        <v/>
      </c>
      <c r="F801" s="3" t="inlineStr">
        <is>
          <t>Inventaris Ruangan</t>
        </is>
      </c>
      <c r="G801" s="3" t="inlineStr"/>
      <c r="H801" s="3" t="inlineStr">
        <is>
          <t>Beban Penyusutan Inventaris Ruangan</t>
        </is>
      </c>
      <c r="I801" s="5">
        <f>Penyusutan!M801</f>
        <v/>
      </c>
      <c r="J801" s="3" t="inlineStr"/>
      <c r="K801" s="3" t="inlineStr">
        <is>
          <t>Akumulasi Penyusutan Inventaris Ruangan</t>
        </is>
      </c>
      <c r="L801" s="5">
        <f>Penyusutan!M801</f>
        <v/>
      </c>
      <c r="M801" s="3">
        <f>IF(E801="","","Penyusutan "&amp;E801&amp;" periode "&amp;C801)</f>
        <v/>
      </c>
    </row>
    <row r="802">
      <c r="A802" s="3">
        <f>IF(Penyusutan!D802="","","JRN-"&amp;TEXT(ROW()-1,"0000"))</f>
        <v/>
      </c>
      <c r="B802" s="4" t="n">
        <v>46022</v>
      </c>
      <c r="C802" s="3">
        <f>Penyusutan!B802</f>
        <v/>
      </c>
      <c r="D802" s="3">
        <f>Penyusutan!C802</f>
        <v/>
      </c>
      <c r="E802" s="3">
        <f>Penyusutan!D802</f>
        <v/>
      </c>
      <c r="F802" s="3" t="inlineStr">
        <is>
          <t>Inventaris Ruangan</t>
        </is>
      </c>
      <c r="G802" s="3" t="inlineStr"/>
      <c r="H802" s="3" t="inlineStr">
        <is>
          <t>Beban Penyusutan Inventaris Ruangan</t>
        </is>
      </c>
      <c r="I802" s="5">
        <f>Penyusutan!M802</f>
        <v/>
      </c>
      <c r="J802" s="3" t="inlineStr"/>
      <c r="K802" s="3" t="inlineStr">
        <is>
          <t>Akumulasi Penyusutan Inventaris Ruangan</t>
        </is>
      </c>
      <c r="L802" s="5">
        <f>Penyusutan!M802</f>
        <v/>
      </c>
      <c r="M802" s="3">
        <f>IF(E802="","","Penyusutan "&amp;E802&amp;" periode "&amp;C802)</f>
        <v/>
      </c>
    </row>
    <row r="803">
      <c r="A803" s="3">
        <f>IF(Penyusutan!D803="","","JRN-"&amp;TEXT(ROW()-1,"0000"))</f>
        <v/>
      </c>
      <c r="B803" s="4" t="n">
        <v>46022</v>
      </c>
      <c r="C803" s="3">
        <f>Penyusutan!B803</f>
        <v/>
      </c>
      <c r="D803" s="3">
        <f>Penyusutan!C803</f>
        <v/>
      </c>
      <c r="E803" s="3">
        <f>Penyusutan!D803</f>
        <v/>
      </c>
      <c r="F803" s="3" t="inlineStr">
        <is>
          <t>Inventaris Ruangan</t>
        </is>
      </c>
      <c r="G803" s="3" t="inlineStr"/>
      <c r="H803" s="3" t="inlineStr">
        <is>
          <t>Beban Penyusutan Inventaris Ruangan</t>
        </is>
      </c>
      <c r="I803" s="5">
        <f>Penyusutan!M803</f>
        <v/>
      </c>
      <c r="J803" s="3" t="inlineStr"/>
      <c r="K803" s="3" t="inlineStr">
        <is>
          <t>Akumulasi Penyusutan Inventaris Ruangan</t>
        </is>
      </c>
      <c r="L803" s="5">
        <f>Penyusutan!M803</f>
        <v/>
      </c>
      <c r="M803" s="3">
        <f>IF(E803="","","Penyusutan "&amp;E803&amp;" periode "&amp;C803)</f>
        <v/>
      </c>
    </row>
    <row r="804">
      <c r="A804" s="3">
        <f>IF(Penyusutan!D804="","","JRN-"&amp;TEXT(ROW()-1,"0000"))</f>
        <v/>
      </c>
      <c r="B804" s="4" t="n">
        <v>46022</v>
      </c>
      <c r="C804" s="3">
        <f>Penyusutan!B804</f>
        <v/>
      </c>
      <c r="D804" s="3">
        <f>Penyusutan!C804</f>
        <v/>
      </c>
      <c r="E804" s="3">
        <f>Penyusutan!D804</f>
        <v/>
      </c>
      <c r="F804" s="3" t="inlineStr">
        <is>
          <t>Inventaris Ruangan</t>
        </is>
      </c>
      <c r="G804" s="3" t="inlineStr"/>
      <c r="H804" s="3" t="inlineStr">
        <is>
          <t>Beban Penyusutan Inventaris Ruangan</t>
        </is>
      </c>
      <c r="I804" s="5">
        <f>Penyusutan!M804</f>
        <v/>
      </c>
      <c r="J804" s="3" t="inlineStr"/>
      <c r="K804" s="3" t="inlineStr">
        <is>
          <t>Akumulasi Penyusutan Inventaris Ruangan</t>
        </is>
      </c>
      <c r="L804" s="5">
        <f>Penyusutan!M804</f>
        <v/>
      </c>
      <c r="M804" s="3">
        <f>IF(E804="","","Penyusutan "&amp;E804&amp;" periode "&amp;C804)</f>
        <v/>
      </c>
    </row>
    <row r="805">
      <c r="A805" s="3">
        <f>IF(Penyusutan!D805="","","JRN-"&amp;TEXT(ROW()-1,"0000"))</f>
        <v/>
      </c>
      <c r="B805" s="4" t="n">
        <v>46022</v>
      </c>
      <c r="C805" s="3">
        <f>Penyusutan!B805</f>
        <v/>
      </c>
      <c r="D805" s="3">
        <f>Penyusutan!C805</f>
        <v/>
      </c>
      <c r="E805" s="3">
        <f>Penyusutan!D805</f>
        <v/>
      </c>
      <c r="F805" s="3" t="inlineStr">
        <is>
          <t>Inventaris Ruangan</t>
        </is>
      </c>
      <c r="G805" s="3" t="inlineStr"/>
      <c r="H805" s="3" t="inlineStr">
        <is>
          <t>Beban Penyusutan Inventaris Ruangan</t>
        </is>
      </c>
      <c r="I805" s="5">
        <f>Penyusutan!M805</f>
        <v/>
      </c>
      <c r="J805" s="3" t="inlineStr"/>
      <c r="K805" s="3" t="inlineStr">
        <is>
          <t>Akumulasi Penyusutan Inventaris Ruangan</t>
        </is>
      </c>
      <c r="L805" s="5">
        <f>Penyusutan!M805</f>
        <v/>
      </c>
      <c r="M805" s="3">
        <f>IF(E805="","","Penyusutan "&amp;E805&amp;" periode "&amp;C805)</f>
        <v/>
      </c>
    </row>
    <row r="806">
      <c r="A806" s="3">
        <f>IF(Penyusutan!D806="","","JRN-"&amp;TEXT(ROW()-1,"0000"))</f>
        <v/>
      </c>
      <c r="B806" s="4" t="n">
        <v>46022</v>
      </c>
      <c r="C806" s="3">
        <f>Penyusutan!B806</f>
        <v/>
      </c>
      <c r="D806" s="3">
        <f>Penyusutan!C806</f>
        <v/>
      </c>
      <c r="E806" s="3">
        <f>Penyusutan!D806</f>
        <v/>
      </c>
      <c r="F806" s="3" t="inlineStr">
        <is>
          <t>Inventaris Ruangan</t>
        </is>
      </c>
      <c r="G806" s="3" t="inlineStr"/>
      <c r="H806" s="3" t="inlineStr">
        <is>
          <t>Beban Penyusutan Inventaris Ruangan</t>
        </is>
      </c>
      <c r="I806" s="5">
        <f>Penyusutan!M806</f>
        <v/>
      </c>
      <c r="J806" s="3" t="inlineStr"/>
      <c r="K806" s="3" t="inlineStr">
        <is>
          <t>Akumulasi Penyusutan Inventaris Ruangan</t>
        </is>
      </c>
      <c r="L806" s="5">
        <f>Penyusutan!M806</f>
        <v/>
      </c>
      <c r="M806" s="3">
        <f>IF(E806="","","Penyusutan "&amp;E806&amp;" periode "&amp;C806)</f>
        <v/>
      </c>
    </row>
    <row r="807">
      <c r="A807" s="3">
        <f>IF(Penyusutan!D807="","","JRN-"&amp;TEXT(ROW()-1,"0000"))</f>
        <v/>
      </c>
      <c r="B807" s="4" t="n">
        <v>46022</v>
      </c>
      <c r="C807" s="3">
        <f>Penyusutan!B807</f>
        <v/>
      </c>
      <c r="D807" s="3">
        <f>Penyusutan!C807</f>
        <v/>
      </c>
      <c r="E807" s="3">
        <f>Penyusutan!D807</f>
        <v/>
      </c>
      <c r="F807" s="3" t="inlineStr">
        <is>
          <t>Inventaris Ruangan</t>
        </is>
      </c>
      <c r="G807" s="3" t="inlineStr"/>
      <c r="H807" s="3" t="inlineStr">
        <is>
          <t>Beban Penyusutan Inventaris Ruangan</t>
        </is>
      </c>
      <c r="I807" s="5">
        <f>Penyusutan!M807</f>
        <v/>
      </c>
      <c r="J807" s="3" t="inlineStr"/>
      <c r="K807" s="3" t="inlineStr">
        <is>
          <t>Akumulasi Penyusutan Inventaris Ruangan</t>
        </is>
      </c>
      <c r="L807" s="5">
        <f>Penyusutan!M807</f>
        <v/>
      </c>
      <c r="M807" s="3">
        <f>IF(E807="","","Penyusutan "&amp;E807&amp;" periode "&amp;C807)</f>
        <v/>
      </c>
    </row>
    <row r="808">
      <c r="A808" s="3">
        <f>IF(Penyusutan!D808="","","JRN-"&amp;TEXT(ROW()-1,"0000"))</f>
        <v/>
      </c>
      <c r="B808" s="4" t="n">
        <v>46022</v>
      </c>
      <c r="C808" s="3">
        <f>Penyusutan!B808</f>
        <v/>
      </c>
      <c r="D808" s="3">
        <f>Penyusutan!C808</f>
        <v/>
      </c>
      <c r="E808" s="3">
        <f>Penyusutan!D808</f>
        <v/>
      </c>
      <c r="F808" s="3" t="inlineStr">
        <is>
          <t>Inventaris Ruangan</t>
        </is>
      </c>
      <c r="G808" s="3" t="inlineStr"/>
      <c r="H808" s="3" t="inlineStr">
        <is>
          <t>Beban Penyusutan Inventaris Ruangan</t>
        </is>
      </c>
      <c r="I808" s="5">
        <f>Penyusutan!M808</f>
        <v/>
      </c>
      <c r="J808" s="3" t="inlineStr"/>
      <c r="K808" s="3" t="inlineStr">
        <is>
          <t>Akumulasi Penyusutan Inventaris Ruangan</t>
        </is>
      </c>
      <c r="L808" s="5">
        <f>Penyusutan!M808</f>
        <v/>
      </c>
      <c r="M808" s="3">
        <f>IF(E808="","","Penyusutan "&amp;E808&amp;" periode "&amp;C808)</f>
        <v/>
      </c>
    </row>
    <row r="809">
      <c r="A809" s="3">
        <f>IF(Penyusutan!D809="","","JRN-"&amp;TEXT(ROW()-1,"0000"))</f>
        <v/>
      </c>
      <c r="B809" s="4" t="n">
        <v>46022</v>
      </c>
      <c r="C809" s="3">
        <f>Penyusutan!B809</f>
        <v/>
      </c>
      <c r="D809" s="3">
        <f>Penyusutan!C809</f>
        <v/>
      </c>
      <c r="E809" s="3">
        <f>Penyusutan!D809</f>
        <v/>
      </c>
      <c r="F809" s="3" t="inlineStr">
        <is>
          <t>Inventaris Ruangan</t>
        </is>
      </c>
      <c r="G809" s="3" t="inlineStr"/>
      <c r="H809" s="3" t="inlineStr">
        <is>
          <t>Beban Penyusutan Inventaris Ruangan</t>
        </is>
      </c>
      <c r="I809" s="5">
        <f>Penyusutan!M809</f>
        <v/>
      </c>
      <c r="J809" s="3" t="inlineStr"/>
      <c r="K809" s="3" t="inlineStr">
        <is>
          <t>Akumulasi Penyusutan Inventaris Ruangan</t>
        </is>
      </c>
      <c r="L809" s="5">
        <f>Penyusutan!M809</f>
        <v/>
      </c>
      <c r="M809" s="3">
        <f>IF(E809="","","Penyusutan "&amp;E809&amp;" periode "&amp;C809)</f>
        <v/>
      </c>
    </row>
    <row r="810">
      <c r="A810" s="3">
        <f>IF(Penyusutan!D810="","","JRN-"&amp;TEXT(ROW()-1,"0000"))</f>
        <v/>
      </c>
      <c r="B810" s="4" t="n">
        <v>46022</v>
      </c>
      <c r="C810" s="3">
        <f>Penyusutan!B810</f>
        <v/>
      </c>
      <c r="D810" s="3">
        <f>Penyusutan!C810</f>
        <v/>
      </c>
      <c r="E810" s="3">
        <f>Penyusutan!D810</f>
        <v/>
      </c>
      <c r="F810" s="3" t="inlineStr">
        <is>
          <t>Inventaris Ruangan</t>
        </is>
      </c>
      <c r="G810" s="3" t="inlineStr"/>
      <c r="H810" s="3" t="inlineStr">
        <is>
          <t>Beban Penyusutan Inventaris Ruangan</t>
        </is>
      </c>
      <c r="I810" s="5">
        <f>Penyusutan!M810</f>
        <v/>
      </c>
      <c r="J810" s="3" t="inlineStr"/>
      <c r="K810" s="3" t="inlineStr">
        <is>
          <t>Akumulasi Penyusutan Inventaris Ruangan</t>
        </is>
      </c>
      <c r="L810" s="5">
        <f>Penyusutan!M810</f>
        <v/>
      </c>
      <c r="M810" s="3">
        <f>IF(E810="","","Penyusutan "&amp;E810&amp;" periode "&amp;C810)</f>
        <v/>
      </c>
    </row>
    <row r="811">
      <c r="A811" s="3">
        <f>IF(Penyusutan!D811="","","JRN-"&amp;TEXT(ROW()-1,"0000"))</f>
        <v/>
      </c>
      <c r="B811" s="4" t="n">
        <v>46022</v>
      </c>
      <c r="C811" s="3">
        <f>Penyusutan!B811</f>
        <v/>
      </c>
      <c r="D811" s="3">
        <f>Penyusutan!C811</f>
        <v/>
      </c>
      <c r="E811" s="3">
        <f>Penyusutan!D811</f>
        <v/>
      </c>
      <c r="F811" s="3" t="inlineStr">
        <is>
          <t>Inventaris Ruangan</t>
        </is>
      </c>
      <c r="G811" s="3" t="inlineStr"/>
      <c r="H811" s="3" t="inlineStr">
        <is>
          <t>Beban Penyusutan Inventaris Ruangan</t>
        </is>
      </c>
      <c r="I811" s="5">
        <f>Penyusutan!M811</f>
        <v/>
      </c>
      <c r="J811" s="3" t="inlineStr"/>
      <c r="K811" s="3" t="inlineStr">
        <is>
          <t>Akumulasi Penyusutan Inventaris Ruangan</t>
        </is>
      </c>
      <c r="L811" s="5">
        <f>Penyusutan!M811</f>
        <v/>
      </c>
      <c r="M811" s="3">
        <f>IF(E811="","","Penyusutan "&amp;E811&amp;" periode "&amp;C811)</f>
        <v/>
      </c>
    </row>
    <row r="812">
      <c r="A812" s="3">
        <f>IF(Penyusutan!D812="","","JRN-"&amp;TEXT(ROW()-1,"0000"))</f>
        <v/>
      </c>
      <c r="B812" s="4" t="n">
        <v>46022</v>
      </c>
      <c r="C812" s="3">
        <f>Penyusutan!B812</f>
        <v/>
      </c>
      <c r="D812" s="3">
        <f>Penyusutan!C812</f>
        <v/>
      </c>
      <c r="E812" s="3">
        <f>Penyusutan!D812</f>
        <v/>
      </c>
      <c r="F812" s="3" t="inlineStr">
        <is>
          <t>Inventaris Ruangan</t>
        </is>
      </c>
      <c r="G812" s="3" t="inlineStr"/>
      <c r="H812" s="3" t="inlineStr">
        <is>
          <t>Beban Penyusutan Inventaris Ruangan</t>
        </is>
      </c>
      <c r="I812" s="5">
        <f>Penyusutan!M812</f>
        <v/>
      </c>
      <c r="J812" s="3" t="inlineStr"/>
      <c r="K812" s="3" t="inlineStr">
        <is>
          <t>Akumulasi Penyusutan Inventaris Ruangan</t>
        </is>
      </c>
      <c r="L812" s="5">
        <f>Penyusutan!M812</f>
        <v/>
      </c>
      <c r="M812" s="3">
        <f>IF(E812="","","Penyusutan "&amp;E812&amp;" periode "&amp;C812)</f>
        <v/>
      </c>
    </row>
    <row r="813">
      <c r="A813" s="3">
        <f>IF(Penyusutan!D813="","","JRN-"&amp;TEXT(ROW()-1,"0000"))</f>
        <v/>
      </c>
      <c r="B813" s="4" t="n">
        <v>46022</v>
      </c>
      <c r="C813" s="3">
        <f>Penyusutan!B813</f>
        <v/>
      </c>
      <c r="D813" s="3">
        <f>Penyusutan!C813</f>
        <v/>
      </c>
      <c r="E813" s="3">
        <f>Penyusutan!D813</f>
        <v/>
      </c>
      <c r="F813" s="3" t="inlineStr">
        <is>
          <t>Inventaris Ruangan</t>
        </is>
      </c>
      <c r="G813" s="3" t="inlineStr"/>
      <c r="H813" s="3" t="inlineStr">
        <is>
          <t>Beban Penyusutan Inventaris Ruangan</t>
        </is>
      </c>
      <c r="I813" s="5">
        <f>Penyusutan!M813</f>
        <v/>
      </c>
      <c r="J813" s="3" t="inlineStr"/>
      <c r="K813" s="3" t="inlineStr">
        <is>
          <t>Akumulasi Penyusutan Inventaris Ruangan</t>
        </is>
      </c>
      <c r="L813" s="5">
        <f>Penyusutan!M813</f>
        <v/>
      </c>
      <c r="M813" s="3">
        <f>IF(E813="","","Penyusutan "&amp;E813&amp;" periode "&amp;C813)</f>
        <v/>
      </c>
    </row>
    <row r="814">
      <c r="A814" s="3">
        <f>IF(Penyusutan!D814="","","JRN-"&amp;TEXT(ROW()-1,"0000"))</f>
        <v/>
      </c>
      <c r="B814" s="4" t="n">
        <v>46022</v>
      </c>
      <c r="C814" s="3">
        <f>Penyusutan!B814</f>
        <v/>
      </c>
      <c r="D814" s="3">
        <f>Penyusutan!C814</f>
        <v/>
      </c>
      <c r="E814" s="3">
        <f>Penyusutan!D814</f>
        <v/>
      </c>
      <c r="F814" s="3" t="inlineStr">
        <is>
          <t>Inventaris Ruangan</t>
        </is>
      </c>
      <c r="G814" s="3" t="inlineStr"/>
      <c r="H814" s="3" t="inlineStr">
        <is>
          <t>Beban Penyusutan Inventaris Ruangan</t>
        </is>
      </c>
      <c r="I814" s="5">
        <f>Penyusutan!M814</f>
        <v/>
      </c>
      <c r="J814" s="3" t="inlineStr"/>
      <c r="K814" s="3" t="inlineStr">
        <is>
          <t>Akumulasi Penyusutan Inventaris Ruangan</t>
        </is>
      </c>
      <c r="L814" s="5">
        <f>Penyusutan!M814</f>
        <v/>
      </c>
      <c r="M814" s="3">
        <f>IF(E814="","","Penyusutan "&amp;E814&amp;" periode "&amp;C814)</f>
        <v/>
      </c>
    </row>
    <row r="815">
      <c r="A815" s="3">
        <f>IF(Penyusutan!D815="","","JRN-"&amp;TEXT(ROW()-1,"0000"))</f>
        <v/>
      </c>
      <c r="B815" s="4" t="n">
        <v>46022</v>
      </c>
      <c r="C815" s="3">
        <f>Penyusutan!B815</f>
        <v/>
      </c>
      <c r="D815" s="3">
        <f>Penyusutan!C815</f>
        <v/>
      </c>
      <c r="E815" s="3">
        <f>Penyusutan!D815</f>
        <v/>
      </c>
      <c r="F815" s="3" t="inlineStr">
        <is>
          <t>Inventaris Ruangan</t>
        </is>
      </c>
      <c r="G815" s="3" t="inlineStr"/>
      <c r="H815" s="3" t="inlineStr">
        <is>
          <t>Beban Penyusutan Inventaris Ruangan</t>
        </is>
      </c>
      <c r="I815" s="5">
        <f>Penyusutan!M815</f>
        <v/>
      </c>
      <c r="J815" s="3" t="inlineStr"/>
      <c r="K815" s="3" t="inlineStr">
        <is>
          <t>Akumulasi Penyusutan Inventaris Ruangan</t>
        </is>
      </c>
      <c r="L815" s="5">
        <f>Penyusutan!M815</f>
        <v/>
      </c>
      <c r="M815" s="3">
        <f>IF(E815="","","Penyusutan "&amp;E815&amp;" periode "&amp;C815)</f>
        <v/>
      </c>
    </row>
    <row r="816">
      <c r="A816" s="3">
        <f>IF(Penyusutan!D816="","","JRN-"&amp;TEXT(ROW()-1,"0000"))</f>
        <v/>
      </c>
      <c r="B816" s="4" t="n">
        <v>46022</v>
      </c>
      <c r="C816" s="3">
        <f>Penyusutan!B816</f>
        <v/>
      </c>
      <c r="D816" s="3">
        <f>Penyusutan!C816</f>
        <v/>
      </c>
      <c r="E816" s="3">
        <f>Penyusutan!D816</f>
        <v/>
      </c>
      <c r="F816" s="3" t="inlineStr">
        <is>
          <t>Inventaris Ruangan</t>
        </is>
      </c>
      <c r="G816" s="3" t="inlineStr"/>
      <c r="H816" s="3" t="inlineStr">
        <is>
          <t>Beban Penyusutan Inventaris Ruangan</t>
        </is>
      </c>
      <c r="I816" s="5">
        <f>Penyusutan!M816</f>
        <v/>
      </c>
      <c r="J816" s="3" t="inlineStr"/>
      <c r="K816" s="3" t="inlineStr">
        <is>
          <t>Akumulasi Penyusutan Inventaris Ruangan</t>
        </is>
      </c>
      <c r="L816" s="5">
        <f>Penyusutan!M816</f>
        <v/>
      </c>
      <c r="M816" s="3">
        <f>IF(E816="","","Penyusutan "&amp;E816&amp;" periode "&amp;C816)</f>
        <v/>
      </c>
    </row>
    <row r="817">
      <c r="A817" s="3">
        <f>IF(Penyusutan!D817="","","JRN-"&amp;TEXT(ROW()-1,"0000"))</f>
        <v/>
      </c>
      <c r="B817" s="4" t="n">
        <v>46022</v>
      </c>
      <c r="C817" s="3">
        <f>Penyusutan!B817</f>
        <v/>
      </c>
      <c r="D817" s="3">
        <f>Penyusutan!C817</f>
        <v/>
      </c>
      <c r="E817" s="3">
        <f>Penyusutan!D817</f>
        <v/>
      </c>
      <c r="F817" s="3" t="inlineStr">
        <is>
          <t>Inventaris Ruangan</t>
        </is>
      </c>
      <c r="G817" s="3" t="inlineStr"/>
      <c r="H817" s="3" t="inlineStr">
        <is>
          <t>Beban Penyusutan Inventaris Ruangan</t>
        </is>
      </c>
      <c r="I817" s="5">
        <f>Penyusutan!M817</f>
        <v/>
      </c>
      <c r="J817" s="3" t="inlineStr"/>
      <c r="K817" s="3" t="inlineStr">
        <is>
          <t>Akumulasi Penyusutan Inventaris Ruangan</t>
        </is>
      </c>
      <c r="L817" s="5">
        <f>Penyusutan!M817</f>
        <v/>
      </c>
      <c r="M817" s="3">
        <f>IF(E817="","","Penyusutan "&amp;E817&amp;" periode "&amp;C817)</f>
        <v/>
      </c>
    </row>
    <row r="818">
      <c r="A818" s="3">
        <f>IF(Penyusutan!D818="","","JRN-"&amp;TEXT(ROW()-1,"0000"))</f>
        <v/>
      </c>
      <c r="B818" s="4" t="n">
        <v>46022</v>
      </c>
      <c r="C818" s="3">
        <f>Penyusutan!B818</f>
        <v/>
      </c>
      <c r="D818" s="3">
        <f>Penyusutan!C818</f>
        <v/>
      </c>
      <c r="E818" s="3">
        <f>Penyusutan!D818</f>
        <v/>
      </c>
      <c r="F818" s="3" t="inlineStr">
        <is>
          <t>Inventaris Ruangan</t>
        </is>
      </c>
      <c r="G818" s="3" t="inlineStr"/>
      <c r="H818" s="3" t="inlineStr">
        <is>
          <t>Beban Penyusutan Inventaris Ruangan</t>
        </is>
      </c>
      <c r="I818" s="5">
        <f>Penyusutan!M818</f>
        <v/>
      </c>
      <c r="J818" s="3" t="inlineStr"/>
      <c r="K818" s="3" t="inlineStr">
        <is>
          <t>Akumulasi Penyusutan Inventaris Ruangan</t>
        </is>
      </c>
      <c r="L818" s="5">
        <f>Penyusutan!M818</f>
        <v/>
      </c>
      <c r="M818" s="3">
        <f>IF(E818="","","Penyusutan "&amp;E818&amp;" periode "&amp;C818)</f>
        <v/>
      </c>
    </row>
    <row r="819">
      <c r="A819" s="3">
        <f>IF(Penyusutan!D819="","","JRN-"&amp;TEXT(ROW()-1,"0000"))</f>
        <v/>
      </c>
      <c r="B819" s="4" t="n">
        <v>46022</v>
      </c>
      <c r="C819" s="3">
        <f>Penyusutan!B819</f>
        <v/>
      </c>
      <c r="D819" s="3">
        <f>Penyusutan!C819</f>
        <v/>
      </c>
      <c r="E819" s="3">
        <f>Penyusutan!D819</f>
        <v/>
      </c>
      <c r="F819" s="3" t="inlineStr">
        <is>
          <t>Inventaris Ruangan</t>
        </is>
      </c>
      <c r="G819" s="3" t="inlineStr"/>
      <c r="H819" s="3" t="inlineStr">
        <is>
          <t>Beban Penyusutan Inventaris Ruangan</t>
        </is>
      </c>
      <c r="I819" s="5">
        <f>Penyusutan!M819</f>
        <v/>
      </c>
      <c r="J819" s="3" t="inlineStr"/>
      <c r="K819" s="3" t="inlineStr">
        <is>
          <t>Akumulasi Penyusutan Inventaris Ruangan</t>
        </is>
      </c>
      <c r="L819" s="5">
        <f>Penyusutan!M819</f>
        <v/>
      </c>
      <c r="M819" s="3">
        <f>IF(E819="","","Penyusutan "&amp;E819&amp;" periode "&amp;C819)</f>
        <v/>
      </c>
    </row>
    <row r="820">
      <c r="A820" s="3">
        <f>IF(Penyusutan!D820="","","JRN-"&amp;TEXT(ROW()-1,"0000"))</f>
        <v/>
      </c>
      <c r="B820" s="4" t="n">
        <v>46022</v>
      </c>
      <c r="C820" s="3">
        <f>Penyusutan!B820</f>
        <v/>
      </c>
      <c r="D820" s="3">
        <f>Penyusutan!C820</f>
        <v/>
      </c>
      <c r="E820" s="3">
        <f>Penyusutan!D820</f>
        <v/>
      </c>
      <c r="F820" s="3" t="inlineStr">
        <is>
          <t>Inventaris Ruangan</t>
        </is>
      </c>
      <c r="G820" s="3" t="inlineStr"/>
      <c r="H820" s="3" t="inlineStr">
        <is>
          <t>Beban Penyusutan Inventaris Ruangan</t>
        </is>
      </c>
      <c r="I820" s="5">
        <f>Penyusutan!M820</f>
        <v/>
      </c>
      <c r="J820" s="3" t="inlineStr"/>
      <c r="K820" s="3" t="inlineStr">
        <is>
          <t>Akumulasi Penyusutan Inventaris Ruangan</t>
        </is>
      </c>
      <c r="L820" s="5">
        <f>Penyusutan!M820</f>
        <v/>
      </c>
      <c r="M820" s="3">
        <f>IF(E820="","","Penyusutan "&amp;E820&amp;" periode "&amp;C820)</f>
        <v/>
      </c>
    </row>
    <row r="821">
      <c r="A821" s="3">
        <f>IF(Penyusutan!D821="","","JRN-"&amp;TEXT(ROW()-1,"0000"))</f>
        <v/>
      </c>
      <c r="B821" s="4" t="n">
        <v>46022</v>
      </c>
      <c r="C821" s="3">
        <f>Penyusutan!B821</f>
        <v/>
      </c>
      <c r="D821" s="3">
        <f>Penyusutan!C821</f>
        <v/>
      </c>
      <c r="E821" s="3">
        <f>Penyusutan!D821</f>
        <v/>
      </c>
      <c r="F821" s="3" t="inlineStr">
        <is>
          <t>Inventaris Ruangan</t>
        </is>
      </c>
      <c r="G821" s="3" t="inlineStr"/>
      <c r="H821" s="3" t="inlineStr">
        <is>
          <t>Beban Penyusutan Inventaris Ruangan</t>
        </is>
      </c>
      <c r="I821" s="5">
        <f>Penyusutan!M821</f>
        <v/>
      </c>
      <c r="J821" s="3" t="inlineStr"/>
      <c r="K821" s="3" t="inlineStr">
        <is>
          <t>Akumulasi Penyusutan Inventaris Ruangan</t>
        </is>
      </c>
      <c r="L821" s="5">
        <f>Penyusutan!M821</f>
        <v/>
      </c>
      <c r="M821" s="3">
        <f>IF(E821="","","Penyusutan "&amp;E821&amp;" periode "&amp;C821)</f>
        <v/>
      </c>
    </row>
    <row r="822">
      <c r="A822" s="3">
        <f>IF(Penyusutan!D822="","","JRN-"&amp;TEXT(ROW()-1,"0000"))</f>
        <v/>
      </c>
      <c r="B822" s="4" t="n">
        <v>46022</v>
      </c>
      <c r="C822" s="3">
        <f>Penyusutan!B822</f>
        <v/>
      </c>
      <c r="D822" s="3">
        <f>Penyusutan!C822</f>
        <v/>
      </c>
      <c r="E822" s="3">
        <f>Penyusutan!D822</f>
        <v/>
      </c>
      <c r="F822" s="3" t="inlineStr">
        <is>
          <t>Inventaris Ruangan</t>
        </is>
      </c>
      <c r="G822" s="3" t="inlineStr"/>
      <c r="H822" s="3" t="inlineStr">
        <is>
          <t>Beban Penyusutan Inventaris Ruangan</t>
        </is>
      </c>
      <c r="I822" s="5">
        <f>Penyusutan!M822</f>
        <v/>
      </c>
      <c r="J822" s="3" t="inlineStr"/>
      <c r="K822" s="3" t="inlineStr">
        <is>
          <t>Akumulasi Penyusutan Inventaris Ruangan</t>
        </is>
      </c>
      <c r="L822" s="5">
        <f>Penyusutan!M822</f>
        <v/>
      </c>
      <c r="M822" s="3">
        <f>IF(E822="","","Penyusutan "&amp;E822&amp;" periode "&amp;C822)</f>
        <v/>
      </c>
    </row>
    <row r="823">
      <c r="A823" s="3">
        <f>IF(Penyusutan!D823="","","JRN-"&amp;TEXT(ROW()-1,"0000"))</f>
        <v/>
      </c>
      <c r="B823" s="4" t="n">
        <v>46022</v>
      </c>
      <c r="C823" s="3">
        <f>Penyusutan!B823</f>
        <v/>
      </c>
      <c r="D823" s="3">
        <f>Penyusutan!C823</f>
        <v/>
      </c>
      <c r="E823" s="3">
        <f>Penyusutan!D823</f>
        <v/>
      </c>
      <c r="F823" s="3" t="inlineStr">
        <is>
          <t>Inventaris Ruangan</t>
        </is>
      </c>
      <c r="G823" s="3" t="inlineStr"/>
      <c r="H823" s="3" t="inlineStr">
        <is>
          <t>Beban Penyusutan Inventaris Ruangan</t>
        </is>
      </c>
      <c r="I823" s="5">
        <f>Penyusutan!M823</f>
        <v/>
      </c>
      <c r="J823" s="3" t="inlineStr"/>
      <c r="K823" s="3" t="inlineStr">
        <is>
          <t>Akumulasi Penyusutan Inventaris Ruangan</t>
        </is>
      </c>
      <c r="L823" s="5">
        <f>Penyusutan!M823</f>
        <v/>
      </c>
      <c r="M823" s="3">
        <f>IF(E823="","","Penyusutan "&amp;E823&amp;" periode "&amp;C823)</f>
        <v/>
      </c>
    </row>
    <row r="824">
      <c r="A824" s="3">
        <f>IF(Penyusutan!D824="","","JRN-"&amp;TEXT(ROW()-1,"0000"))</f>
        <v/>
      </c>
      <c r="B824" s="4" t="n">
        <v>46022</v>
      </c>
      <c r="C824" s="3">
        <f>Penyusutan!B824</f>
        <v/>
      </c>
      <c r="D824" s="3">
        <f>Penyusutan!C824</f>
        <v/>
      </c>
      <c r="E824" s="3">
        <f>Penyusutan!D824</f>
        <v/>
      </c>
      <c r="F824" s="3" t="inlineStr">
        <is>
          <t>Inventaris Ruangan</t>
        </is>
      </c>
      <c r="G824" s="3" t="inlineStr"/>
      <c r="H824" s="3" t="inlineStr">
        <is>
          <t>Beban Penyusutan Inventaris Ruangan</t>
        </is>
      </c>
      <c r="I824" s="5">
        <f>Penyusutan!M824</f>
        <v/>
      </c>
      <c r="J824" s="3" t="inlineStr"/>
      <c r="K824" s="3" t="inlineStr">
        <is>
          <t>Akumulasi Penyusutan Inventaris Ruangan</t>
        </is>
      </c>
      <c r="L824" s="5">
        <f>Penyusutan!M824</f>
        <v/>
      </c>
      <c r="M824" s="3">
        <f>IF(E824="","","Penyusutan "&amp;E824&amp;" periode "&amp;C824)</f>
        <v/>
      </c>
    </row>
    <row r="825">
      <c r="A825" s="3">
        <f>IF(Penyusutan!D825="","","JRN-"&amp;TEXT(ROW()-1,"0000"))</f>
        <v/>
      </c>
      <c r="B825" s="4" t="n">
        <v>46022</v>
      </c>
      <c r="C825" s="3">
        <f>Penyusutan!B825</f>
        <v/>
      </c>
      <c r="D825" s="3">
        <f>Penyusutan!C825</f>
        <v/>
      </c>
      <c r="E825" s="3">
        <f>Penyusutan!D825</f>
        <v/>
      </c>
      <c r="F825" s="3" t="inlineStr">
        <is>
          <t>Inventaris Ruangan</t>
        </is>
      </c>
      <c r="G825" s="3" t="inlineStr"/>
      <c r="H825" s="3" t="inlineStr">
        <is>
          <t>Beban Penyusutan Inventaris Ruangan</t>
        </is>
      </c>
      <c r="I825" s="5">
        <f>Penyusutan!M825</f>
        <v/>
      </c>
      <c r="J825" s="3" t="inlineStr"/>
      <c r="K825" s="3" t="inlineStr">
        <is>
          <t>Akumulasi Penyusutan Inventaris Ruangan</t>
        </is>
      </c>
      <c r="L825" s="5">
        <f>Penyusutan!M825</f>
        <v/>
      </c>
      <c r="M825" s="3">
        <f>IF(E825="","","Penyusutan "&amp;E825&amp;" periode "&amp;C825)</f>
        <v/>
      </c>
    </row>
    <row r="826">
      <c r="A826" s="3">
        <f>IF(Penyusutan!D826="","","JRN-"&amp;TEXT(ROW()-1,"0000"))</f>
        <v/>
      </c>
      <c r="B826" s="4" t="n">
        <v>46022</v>
      </c>
      <c r="C826" s="3">
        <f>Penyusutan!B826</f>
        <v/>
      </c>
      <c r="D826" s="3">
        <f>Penyusutan!C826</f>
        <v/>
      </c>
      <c r="E826" s="3">
        <f>Penyusutan!D826</f>
        <v/>
      </c>
      <c r="F826" s="3" t="inlineStr">
        <is>
          <t>Inventaris Ruangan</t>
        </is>
      </c>
      <c r="G826" s="3" t="inlineStr"/>
      <c r="H826" s="3" t="inlineStr">
        <is>
          <t>Beban Penyusutan Inventaris Ruangan</t>
        </is>
      </c>
      <c r="I826" s="5">
        <f>Penyusutan!M826</f>
        <v/>
      </c>
      <c r="J826" s="3" t="inlineStr"/>
      <c r="K826" s="3" t="inlineStr">
        <is>
          <t>Akumulasi Penyusutan Inventaris Ruangan</t>
        </is>
      </c>
      <c r="L826" s="5">
        <f>Penyusutan!M826</f>
        <v/>
      </c>
      <c r="M826" s="3">
        <f>IF(E826="","","Penyusutan "&amp;E826&amp;" periode "&amp;C826)</f>
        <v/>
      </c>
    </row>
    <row r="827">
      <c r="A827" s="3">
        <f>IF(Penyusutan!D827="","","JRN-"&amp;TEXT(ROW()-1,"0000"))</f>
        <v/>
      </c>
      <c r="B827" s="4" t="n">
        <v>46022</v>
      </c>
      <c r="C827" s="3">
        <f>Penyusutan!B827</f>
        <v/>
      </c>
      <c r="D827" s="3">
        <f>Penyusutan!C827</f>
        <v/>
      </c>
      <c r="E827" s="3">
        <f>Penyusutan!D827</f>
        <v/>
      </c>
      <c r="F827" s="3" t="inlineStr">
        <is>
          <t>Inventaris Ruangan</t>
        </is>
      </c>
      <c r="G827" s="3" t="inlineStr"/>
      <c r="H827" s="3" t="inlineStr">
        <is>
          <t>Beban Penyusutan Inventaris Ruangan</t>
        </is>
      </c>
      <c r="I827" s="5">
        <f>Penyusutan!M827</f>
        <v/>
      </c>
      <c r="J827" s="3" t="inlineStr"/>
      <c r="K827" s="3" t="inlineStr">
        <is>
          <t>Akumulasi Penyusutan Inventaris Ruangan</t>
        </is>
      </c>
      <c r="L827" s="5">
        <f>Penyusutan!M827</f>
        <v/>
      </c>
      <c r="M827" s="3">
        <f>IF(E827="","","Penyusutan "&amp;E827&amp;" periode "&amp;C827)</f>
        <v/>
      </c>
    </row>
    <row r="828">
      <c r="A828" s="3">
        <f>IF(Penyusutan!D828="","","JRN-"&amp;TEXT(ROW()-1,"0000"))</f>
        <v/>
      </c>
      <c r="B828" s="4" t="n">
        <v>46022</v>
      </c>
      <c r="C828" s="3">
        <f>Penyusutan!B828</f>
        <v/>
      </c>
      <c r="D828" s="3">
        <f>Penyusutan!C828</f>
        <v/>
      </c>
      <c r="E828" s="3">
        <f>Penyusutan!D828</f>
        <v/>
      </c>
      <c r="F828" s="3" t="inlineStr">
        <is>
          <t>Inventaris Ruangan</t>
        </is>
      </c>
      <c r="G828" s="3" t="inlineStr"/>
      <c r="H828" s="3" t="inlineStr">
        <is>
          <t>Beban Penyusutan Inventaris Ruangan</t>
        </is>
      </c>
      <c r="I828" s="5">
        <f>Penyusutan!M828</f>
        <v/>
      </c>
      <c r="J828" s="3" t="inlineStr"/>
      <c r="K828" s="3" t="inlineStr">
        <is>
          <t>Akumulasi Penyusutan Inventaris Ruangan</t>
        </is>
      </c>
      <c r="L828" s="5">
        <f>Penyusutan!M828</f>
        <v/>
      </c>
      <c r="M828" s="3">
        <f>IF(E828="","","Penyusutan "&amp;E828&amp;" periode "&amp;C828)</f>
        <v/>
      </c>
    </row>
    <row r="829">
      <c r="A829" s="3">
        <f>IF(Penyusutan!D829="","","JRN-"&amp;TEXT(ROW()-1,"0000"))</f>
        <v/>
      </c>
      <c r="B829" s="4" t="n">
        <v>46022</v>
      </c>
      <c r="C829" s="3">
        <f>Penyusutan!B829</f>
        <v/>
      </c>
      <c r="D829" s="3">
        <f>Penyusutan!C829</f>
        <v/>
      </c>
      <c r="E829" s="3">
        <f>Penyusutan!D829</f>
        <v/>
      </c>
      <c r="F829" s="3" t="inlineStr">
        <is>
          <t>Inventaris Ruangan</t>
        </is>
      </c>
      <c r="G829" s="3" t="inlineStr"/>
      <c r="H829" s="3" t="inlineStr">
        <is>
          <t>Beban Penyusutan Inventaris Ruangan</t>
        </is>
      </c>
      <c r="I829" s="5">
        <f>Penyusutan!M829</f>
        <v/>
      </c>
      <c r="J829" s="3" t="inlineStr"/>
      <c r="K829" s="3" t="inlineStr">
        <is>
          <t>Akumulasi Penyusutan Inventaris Ruangan</t>
        </is>
      </c>
      <c r="L829" s="5">
        <f>Penyusutan!M829</f>
        <v/>
      </c>
      <c r="M829" s="3">
        <f>IF(E829="","","Penyusutan "&amp;E829&amp;" periode "&amp;C829)</f>
        <v/>
      </c>
    </row>
    <row r="830">
      <c r="A830" s="3">
        <f>IF(Penyusutan!D830="","","JRN-"&amp;TEXT(ROW()-1,"0000"))</f>
        <v/>
      </c>
      <c r="B830" s="4" t="n">
        <v>46022</v>
      </c>
      <c r="C830" s="3">
        <f>Penyusutan!B830</f>
        <v/>
      </c>
      <c r="D830" s="3">
        <f>Penyusutan!C830</f>
        <v/>
      </c>
      <c r="E830" s="3">
        <f>Penyusutan!D830</f>
        <v/>
      </c>
      <c r="F830" s="3" t="inlineStr">
        <is>
          <t>Inventaris Ruangan</t>
        </is>
      </c>
      <c r="G830" s="3" t="inlineStr"/>
      <c r="H830" s="3" t="inlineStr">
        <is>
          <t>Beban Penyusutan Inventaris Ruangan</t>
        </is>
      </c>
      <c r="I830" s="5">
        <f>Penyusutan!M830</f>
        <v/>
      </c>
      <c r="J830" s="3" t="inlineStr"/>
      <c r="K830" s="3" t="inlineStr">
        <is>
          <t>Akumulasi Penyusutan Inventaris Ruangan</t>
        </is>
      </c>
      <c r="L830" s="5">
        <f>Penyusutan!M830</f>
        <v/>
      </c>
      <c r="M830" s="3">
        <f>IF(E830="","","Penyusutan "&amp;E830&amp;" periode "&amp;C830)</f>
        <v/>
      </c>
    </row>
    <row r="831">
      <c r="A831" s="3">
        <f>IF(Penyusutan!D831="","","JRN-"&amp;TEXT(ROW()-1,"0000"))</f>
        <v/>
      </c>
      <c r="B831" s="4" t="n">
        <v>46022</v>
      </c>
      <c r="C831" s="3">
        <f>Penyusutan!B831</f>
        <v/>
      </c>
      <c r="D831" s="3">
        <f>Penyusutan!C831</f>
        <v/>
      </c>
      <c r="E831" s="3">
        <f>Penyusutan!D831</f>
        <v/>
      </c>
      <c r="F831" s="3" t="inlineStr">
        <is>
          <t>Inventaris Ruangan</t>
        </is>
      </c>
      <c r="G831" s="3" t="inlineStr"/>
      <c r="H831" s="3" t="inlineStr">
        <is>
          <t>Beban Penyusutan Inventaris Ruangan</t>
        </is>
      </c>
      <c r="I831" s="5">
        <f>Penyusutan!M831</f>
        <v/>
      </c>
      <c r="J831" s="3" t="inlineStr"/>
      <c r="K831" s="3" t="inlineStr">
        <is>
          <t>Akumulasi Penyusutan Inventaris Ruangan</t>
        </is>
      </c>
      <c r="L831" s="5">
        <f>Penyusutan!M831</f>
        <v/>
      </c>
      <c r="M831" s="3">
        <f>IF(E831="","","Penyusutan "&amp;E831&amp;" periode "&amp;C831)</f>
        <v/>
      </c>
    </row>
    <row r="832">
      <c r="A832" s="3">
        <f>IF(Penyusutan!D832="","","JRN-"&amp;TEXT(ROW()-1,"0000"))</f>
        <v/>
      </c>
      <c r="B832" s="4" t="n">
        <v>46022</v>
      </c>
      <c r="C832" s="3">
        <f>Penyusutan!B832</f>
        <v/>
      </c>
      <c r="D832" s="3">
        <f>Penyusutan!C832</f>
        <v/>
      </c>
      <c r="E832" s="3">
        <f>Penyusutan!D832</f>
        <v/>
      </c>
      <c r="F832" s="3" t="inlineStr">
        <is>
          <t>Inventaris Ruangan</t>
        </is>
      </c>
      <c r="G832" s="3" t="inlineStr"/>
      <c r="H832" s="3" t="inlineStr">
        <is>
          <t>Beban Penyusutan Inventaris Ruangan</t>
        </is>
      </c>
      <c r="I832" s="5">
        <f>Penyusutan!M832</f>
        <v/>
      </c>
      <c r="J832" s="3" t="inlineStr"/>
      <c r="K832" s="3" t="inlineStr">
        <is>
          <t>Akumulasi Penyusutan Inventaris Ruangan</t>
        </is>
      </c>
      <c r="L832" s="5">
        <f>Penyusutan!M832</f>
        <v/>
      </c>
      <c r="M832" s="3">
        <f>IF(E832="","","Penyusutan "&amp;E832&amp;" periode "&amp;C832)</f>
        <v/>
      </c>
    </row>
    <row r="833">
      <c r="A833" s="3">
        <f>IF(Penyusutan!D833="","","JRN-"&amp;TEXT(ROW()-1,"0000"))</f>
        <v/>
      </c>
      <c r="B833" s="4" t="n">
        <v>46022</v>
      </c>
      <c r="C833" s="3">
        <f>Penyusutan!B833</f>
        <v/>
      </c>
      <c r="D833" s="3">
        <f>Penyusutan!C833</f>
        <v/>
      </c>
      <c r="E833" s="3">
        <f>Penyusutan!D833</f>
        <v/>
      </c>
      <c r="F833" s="3" t="inlineStr">
        <is>
          <t>Inventaris Ruangan</t>
        </is>
      </c>
      <c r="G833" s="3" t="inlineStr"/>
      <c r="H833" s="3" t="inlineStr">
        <is>
          <t>Beban Penyusutan Inventaris Ruangan</t>
        </is>
      </c>
      <c r="I833" s="5">
        <f>Penyusutan!M833</f>
        <v/>
      </c>
      <c r="J833" s="3" t="inlineStr"/>
      <c r="K833" s="3" t="inlineStr">
        <is>
          <t>Akumulasi Penyusutan Inventaris Ruangan</t>
        </is>
      </c>
      <c r="L833" s="5">
        <f>Penyusutan!M833</f>
        <v/>
      </c>
      <c r="M833" s="3">
        <f>IF(E833="","","Penyusutan "&amp;E833&amp;" periode "&amp;C833)</f>
        <v/>
      </c>
    </row>
    <row r="834">
      <c r="A834" s="3">
        <f>IF(Penyusutan!D834="","","JRN-"&amp;TEXT(ROW()-1,"0000"))</f>
        <v/>
      </c>
      <c r="B834" s="4" t="n">
        <v>46022</v>
      </c>
      <c r="C834" s="3">
        <f>Penyusutan!B834</f>
        <v/>
      </c>
      <c r="D834" s="3">
        <f>Penyusutan!C834</f>
        <v/>
      </c>
      <c r="E834" s="3">
        <f>Penyusutan!D834</f>
        <v/>
      </c>
      <c r="F834" s="3" t="inlineStr">
        <is>
          <t>Inventaris Ruangan</t>
        </is>
      </c>
      <c r="G834" s="3" t="inlineStr"/>
      <c r="H834" s="3" t="inlineStr">
        <is>
          <t>Beban Penyusutan Inventaris Ruangan</t>
        </is>
      </c>
      <c r="I834" s="5">
        <f>Penyusutan!M834</f>
        <v/>
      </c>
      <c r="J834" s="3" t="inlineStr"/>
      <c r="K834" s="3" t="inlineStr">
        <is>
          <t>Akumulasi Penyusutan Inventaris Ruangan</t>
        </is>
      </c>
      <c r="L834" s="5">
        <f>Penyusutan!M834</f>
        <v/>
      </c>
      <c r="M834" s="3">
        <f>IF(E834="","","Penyusutan "&amp;E834&amp;" periode "&amp;C834)</f>
        <v/>
      </c>
    </row>
    <row r="835">
      <c r="A835" s="3">
        <f>IF(Penyusutan!D835="","","JRN-"&amp;TEXT(ROW()-1,"0000"))</f>
        <v/>
      </c>
      <c r="B835" s="4" t="n">
        <v>46022</v>
      </c>
      <c r="C835" s="3">
        <f>Penyusutan!B835</f>
        <v/>
      </c>
      <c r="D835" s="3">
        <f>Penyusutan!C835</f>
        <v/>
      </c>
      <c r="E835" s="3">
        <f>Penyusutan!D835</f>
        <v/>
      </c>
      <c r="F835" s="3" t="inlineStr">
        <is>
          <t>Inventaris Ruangan</t>
        </is>
      </c>
      <c r="G835" s="3" t="inlineStr"/>
      <c r="H835" s="3" t="inlineStr">
        <is>
          <t>Beban Penyusutan Inventaris Ruangan</t>
        </is>
      </c>
      <c r="I835" s="5">
        <f>Penyusutan!M835</f>
        <v/>
      </c>
      <c r="J835" s="3" t="inlineStr"/>
      <c r="K835" s="3" t="inlineStr">
        <is>
          <t>Akumulasi Penyusutan Inventaris Ruangan</t>
        </is>
      </c>
      <c r="L835" s="5">
        <f>Penyusutan!M835</f>
        <v/>
      </c>
      <c r="M835" s="3">
        <f>IF(E835="","","Penyusutan "&amp;E835&amp;" periode "&amp;C835)</f>
        <v/>
      </c>
    </row>
    <row r="836">
      <c r="A836" s="3">
        <f>IF(Penyusutan!D836="","","JRN-"&amp;TEXT(ROW()-1,"0000"))</f>
        <v/>
      </c>
      <c r="B836" s="4" t="n">
        <v>46022</v>
      </c>
      <c r="C836" s="3">
        <f>Penyusutan!B836</f>
        <v/>
      </c>
      <c r="D836" s="3">
        <f>Penyusutan!C836</f>
        <v/>
      </c>
      <c r="E836" s="3">
        <f>Penyusutan!D836</f>
        <v/>
      </c>
      <c r="F836" s="3" t="inlineStr">
        <is>
          <t>Inventaris Ruangan</t>
        </is>
      </c>
      <c r="G836" s="3" t="inlineStr"/>
      <c r="H836" s="3" t="inlineStr">
        <is>
          <t>Beban Penyusutan Inventaris Ruangan</t>
        </is>
      </c>
      <c r="I836" s="5">
        <f>Penyusutan!M836</f>
        <v/>
      </c>
      <c r="J836" s="3" t="inlineStr"/>
      <c r="K836" s="3" t="inlineStr">
        <is>
          <t>Akumulasi Penyusutan Inventaris Ruangan</t>
        </is>
      </c>
      <c r="L836" s="5">
        <f>Penyusutan!M836</f>
        <v/>
      </c>
      <c r="M836" s="3">
        <f>IF(E836="","","Penyusutan "&amp;E836&amp;" periode "&amp;C836)</f>
        <v/>
      </c>
    </row>
    <row r="837">
      <c r="A837" s="3">
        <f>IF(Penyusutan!D837="","","JRN-"&amp;TEXT(ROW()-1,"0000"))</f>
        <v/>
      </c>
      <c r="B837" s="4" t="n">
        <v>46022</v>
      </c>
      <c r="C837" s="3">
        <f>Penyusutan!B837</f>
        <v/>
      </c>
      <c r="D837" s="3">
        <f>Penyusutan!C837</f>
        <v/>
      </c>
      <c r="E837" s="3">
        <f>Penyusutan!D837</f>
        <v/>
      </c>
      <c r="F837" s="3" t="inlineStr">
        <is>
          <t>Inventaris Ruangan</t>
        </is>
      </c>
      <c r="G837" s="3" t="inlineStr"/>
      <c r="H837" s="3" t="inlineStr">
        <is>
          <t>Beban Penyusutan Inventaris Ruangan</t>
        </is>
      </c>
      <c r="I837" s="5">
        <f>Penyusutan!M837</f>
        <v/>
      </c>
      <c r="J837" s="3" t="inlineStr"/>
      <c r="K837" s="3" t="inlineStr">
        <is>
          <t>Akumulasi Penyusutan Inventaris Ruangan</t>
        </is>
      </c>
      <c r="L837" s="5">
        <f>Penyusutan!M837</f>
        <v/>
      </c>
      <c r="M837" s="3">
        <f>IF(E837="","","Penyusutan "&amp;E837&amp;" periode "&amp;C837)</f>
        <v/>
      </c>
    </row>
    <row r="838">
      <c r="A838" s="3">
        <f>IF(Penyusutan!D838="","","JRN-"&amp;TEXT(ROW()-1,"0000"))</f>
        <v/>
      </c>
      <c r="B838" s="4" t="n">
        <v>46022</v>
      </c>
      <c r="C838" s="3">
        <f>Penyusutan!B838</f>
        <v/>
      </c>
      <c r="D838" s="3">
        <f>Penyusutan!C838</f>
        <v/>
      </c>
      <c r="E838" s="3">
        <f>Penyusutan!D838</f>
        <v/>
      </c>
      <c r="F838" s="3" t="inlineStr">
        <is>
          <t>Inventaris Ruangan</t>
        </is>
      </c>
      <c r="G838" s="3" t="inlineStr"/>
      <c r="H838" s="3" t="inlineStr">
        <is>
          <t>Beban Penyusutan Inventaris Ruangan</t>
        </is>
      </c>
      <c r="I838" s="5">
        <f>Penyusutan!M838</f>
        <v/>
      </c>
      <c r="J838" s="3" t="inlineStr"/>
      <c r="K838" s="3" t="inlineStr">
        <is>
          <t>Akumulasi Penyusutan Inventaris Ruangan</t>
        </is>
      </c>
      <c r="L838" s="5">
        <f>Penyusutan!M838</f>
        <v/>
      </c>
      <c r="M838" s="3">
        <f>IF(E838="","","Penyusutan "&amp;E838&amp;" periode "&amp;C838)</f>
        <v/>
      </c>
    </row>
    <row r="839">
      <c r="A839" s="3">
        <f>IF(Penyusutan!D839="","","JRN-"&amp;TEXT(ROW()-1,"0000"))</f>
        <v/>
      </c>
      <c r="B839" s="4" t="n">
        <v>46022</v>
      </c>
      <c r="C839" s="3">
        <f>Penyusutan!B839</f>
        <v/>
      </c>
      <c r="D839" s="3">
        <f>Penyusutan!C839</f>
        <v/>
      </c>
      <c r="E839" s="3">
        <f>Penyusutan!D839</f>
        <v/>
      </c>
      <c r="F839" s="3" t="inlineStr">
        <is>
          <t>Inventaris Ruangan</t>
        </is>
      </c>
      <c r="G839" s="3" t="inlineStr"/>
      <c r="H839" s="3" t="inlineStr">
        <is>
          <t>Beban Penyusutan Inventaris Ruangan</t>
        </is>
      </c>
      <c r="I839" s="5">
        <f>Penyusutan!M839</f>
        <v/>
      </c>
      <c r="J839" s="3" t="inlineStr"/>
      <c r="K839" s="3" t="inlineStr">
        <is>
          <t>Akumulasi Penyusutan Inventaris Ruangan</t>
        </is>
      </c>
      <c r="L839" s="5">
        <f>Penyusutan!M839</f>
        <v/>
      </c>
      <c r="M839" s="3">
        <f>IF(E839="","","Penyusutan "&amp;E839&amp;" periode "&amp;C839)</f>
        <v/>
      </c>
    </row>
    <row r="840">
      <c r="A840" s="3">
        <f>IF(Penyusutan!D840="","","JRN-"&amp;TEXT(ROW()-1,"0000"))</f>
        <v/>
      </c>
      <c r="B840" s="4" t="n">
        <v>46022</v>
      </c>
      <c r="C840" s="3">
        <f>Penyusutan!B840</f>
        <v/>
      </c>
      <c r="D840" s="3">
        <f>Penyusutan!C840</f>
        <v/>
      </c>
      <c r="E840" s="3">
        <f>Penyusutan!D840</f>
        <v/>
      </c>
      <c r="F840" s="3" t="inlineStr">
        <is>
          <t>Inventaris Ruangan</t>
        </is>
      </c>
      <c r="G840" s="3" t="inlineStr"/>
      <c r="H840" s="3" t="inlineStr">
        <is>
          <t>Beban Penyusutan Inventaris Ruangan</t>
        </is>
      </c>
      <c r="I840" s="5">
        <f>Penyusutan!M840</f>
        <v/>
      </c>
      <c r="J840" s="3" t="inlineStr"/>
      <c r="K840" s="3" t="inlineStr">
        <is>
          <t>Akumulasi Penyusutan Inventaris Ruangan</t>
        </is>
      </c>
      <c r="L840" s="5">
        <f>Penyusutan!M840</f>
        <v/>
      </c>
      <c r="M840" s="3">
        <f>IF(E840="","","Penyusutan "&amp;E840&amp;" periode "&amp;C840)</f>
        <v/>
      </c>
    </row>
    <row r="841">
      <c r="A841" s="3">
        <f>IF(Penyusutan!D841="","","JRN-"&amp;TEXT(ROW()-1,"0000"))</f>
        <v/>
      </c>
      <c r="B841" s="4" t="n">
        <v>46022</v>
      </c>
      <c r="C841" s="3">
        <f>Penyusutan!B841</f>
        <v/>
      </c>
      <c r="D841" s="3">
        <f>Penyusutan!C841</f>
        <v/>
      </c>
      <c r="E841" s="3">
        <f>Penyusutan!D841</f>
        <v/>
      </c>
      <c r="F841" s="3" t="inlineStr">
        <is>
          <t>Inventaris Ruangan</t>
        </is>
      </c>
      <c r="G841" s="3" t="inlineStr"/>
      <c r="H841" s="3" t="inlineStr">
        <is>
          <t>Beban Penyusutan Inventaris Ruangan</t>
        </is>
      </c>
      <c r="I841" s="5">
        <f>Penyusutan!M841</f>
        <v/>
      </c>
      <c r="J841" s="3" t="inlineStr"/>
      <c r="K841" s="3" t="inlineStr">
        <is>
          <t>Akumulasi Penyusutan Inventaris Ruangan</t>
        </is>
      </c>
      <c r="L841" s="5">
        <f>Penyusutan!M841</f>
        <v/>
      </c>
      <c r="M841" s="3">
        <f>IF(E841="","","Penyusutan "&amp;E841&amp;" periode "&amp;C841)</f>
        <v/>
      </c>
    </row>
    <row r="842">
      <c r="A842" s="3">
        <f>IF(Penyusutan!D842="","","JRN-"&amp;TEXT(ROW()-1,"0000"))</f>
        <v/>
      </c>
      <c r="B842" s="4" t="n">
        <v>46022</v>
      </c>
      <c r="C842" s="3">
        <f>Penyusutan!B842</f>
        <v/>
      </c>
      <c r="D842" s="3">
        <f>Penyusutan!C842</f>
        <v/>
      </c>
      <c r="E842" s="3">
        <f>Penyusutan!D842</f>
        <v/>
      </c>
      <c r="F842" s="3" t="inlineStr">
        <is>
          <t>Inventaris Ruangan</t>
        </is>
      </c>
      <c r="G842" s="3" t="inlineStr"/>
      <c r="H842" s="3" t="inlineStr">
        <is>
          <t>Beban Penyusutan Inventaris Ruangan</t>
        </is>
      </c>
      <c r="I842" s="5">
        <f>Penyusutan!M842</f>
        <v/>
      </c>
      <c r="J842" s="3" t="inlineStr"/>
      <c r="K842" s="3" t="inlineStr">
        <is>
          <t>Akumulasi Penyusutan Inventaris Ruangan</t>
        </is>
      </c>
      <c r="L842" s="5">
        <f>Penyusutan!M842</f>
        <v/>
      </c>
      <c r="M842" s="3">
        <f>IF(E842="","","Penyusutan "&amp;E842&amp;" periode "&amp;C842)</f>
        <v/>
      </c>
    </row>
    <row r="843">
      <c r="A843" s="3">
        <f>IF(Penyusutan!D843="","","JRN-"&amp;TEXT(ROW()-1,"0000"))</f>
        <v/>
      </c>
      <c r="B843" s="4" t="n">
        <v>46022</v>
      </c>
      <c r="C843" s="3">
        <f>Penyusutan!B843</f>
        <v/>
      </c>
      <c r="D843" s="3">
        <f>Penyusutan!C843</f>
        <v/>
      </c>
      <c r="E843" s="3">
        <f>Penyusutan!D843</f>
        <v/>
      </c>
      <c r="F843" s="3" t="inlineStr">
        <is>
          <t>Inventaris Ruangan</t>
        </is>
      </c>
      <c r="G843" s="3" t="inlineStr"/>
      <c r="H843" s="3" t="inlineStr">
        <is>
          <t>Beban Penyusutan Inventaris Ruangan</t>
        </is>
      </c>
      <c r="I843" s="5">
        <f>Penyusutan!M843</f>
        <v/>
      </c>
      <c r="J843" s="3" t="inlineStr"/>
      <c r="K843" s="3" t="inlineStr">
        <is>
          <t>Akumulasi Penyusutan Inventaris Ruangan</t>
        </is>
      </c>
      <c r="L843" s="5">
        <f>Penyusutan!M843</f>
        <v/>
      </c>
      <c r="M843" s="3">
        <f>IF(E843="","","Penyusutan "&amp;E843&amp;" periode "&amp;C843)</f>
        <v/>
      </c>
    </row>
    <row r="844">
      <c r="A844" s="3">
        <f>IF(Penyusutan!D844="","","JRN-"&amp;TEXT(ROW()-1,"0000"))</f>
        <v/>
      </c>
      <c r="B844" s="4" t="n">
        <v>46022</v>
      </c>
      <c r="C844" s="3">
        <f>Penyusutan!B844</f>
        <v/>
      </c>
      <c r="D844" s="3">
        <f>Penyusutan!C844</f>
        <v/>
      </c>
      <c r="E844" s="3">
        <f>Penyusutan!D844</f>
        <v/>
      </c>
      <c r="F844" s="3" t="inlineStr">
        <is>
          <t>Inventaris Ruangan</t>
        </is>
      </c>
      <c r="G844" s="3" t="inlineStr"/>
      <c r="H844" s="3" t="inlineStr">
        <is>
          <t>Beban Penyusutan Inventaris Ruangan</t>
        </is>
      </c>
      <c r="I844" s="5">
        <f>Penyusutan!M844</f>
        <v/>
      </c>
      <c r="J844" s="3" t="inlineStr"/>
      <c r="K844" s="3" t="inlineStr">
        <is>
          <t>Akumulasi Penyusutan Inventaris Ruangan</t>
        </is>
      </c>
      <c r="L844" s="5">
        <f>Penyusutan!M844</f>
        <v/>
      </c>
      <c r="M844" s="3">
        <f>IF(E844="","","Penyusutan "&amp;E844&amp;" periode "&amp;C844)</f>
        <v/>
      </c>
    </row>
    <row r="845">
      <c r="A845" s="3">
        <f>IF(Penyusutan!D845="","","JRN-"&amp;TEXT(ROW()-1,"0000"))</f>
        <v/>
      </c>
      <c r="B845" s="4" t="n">
        <v>46022</v>
      </c>
      <c r="C845" s="3">
        <f>Penyusutan!B845</f>
        <v/>
      </c>
      <c r="D845" s="3">
        <f>Penyusutan!C845</f>
        <v/>
      </c>
      <c r="E845" s="3">
        <f>Penyusutan!D845</f>
        <v/>
      </c>
      <c r="F845" s="3" t="inlineStr">
        <is>
          <t>Inventaris Ruangan</t>
        </is>
      </c>
      <c r="G845" s="3" t="inlineStr"/>
      <c r="H845" s="3" t="inlineStr">
        <is>
          <t>Beban Penyusutan Inventaris Ruangan</t>
        </is>
      </c>
      <c r="I845" s="5">
        <f>Penyusutan!M845</f>
        <v/>
      </c>
      <c r="J845" s="3" t="inlineStr"/>
      <c r="K845" s="3" t="inlineStr">
        <is>
          <t>Akumulasi Penyusutan Inventaris Ruangan</t>
        </is>
      </c>
      <c r="L845" s="5">
        <f>Penyusutan!M845</f>
        <v/>
      </c>
      <c r="M845" s="3">
        <f>IF(E845="","","Penyusutan "&amp;E845&amp;" periode "&amp;C845)</f>
        <v/>
      </c>
    </row>
    <row r="846">
      <c r="A846" s="3">
        <f>IF(Penyusutan!D846="","","JRN-"&amp;TEXT(ROW()-1,"0000"))</f>
        <v/>
      </c>
      <c r="B846" s="4" t="n">
        <v>46022</v>
      </c>
      <c r="C846" s="3">
        <f>Penyusutan!B846</f>
        <v/>
      </c>
      <c r="D846" s="3">
        <f>Penyusutan!C846</f>
        <v/>
      </c>
      <c r="E846" s="3">
        <f>Penyusutan!D846</f>
        <v/>
      </c>
      <c r="F846" s="3" t="inlineStr">
        <is>
          <t>Inventaris Ruangan</t>
        </is>
      </c>
      <c r="G846" s="3" t="inlineStr"/>
      <c r="H846" s="3" t="inlineStr">
        <is>
          <t>Beban Penyusutan Inventaris Ruangan</t>
        </is>
      </c>
      <c r="I846" s="5">
        <f>Penyusutan!M846</f>
        <v/>
      </c>
      <c r="J846" s="3" t="inlineStr"/>
      <c r="K846" s="3" t="inlineStr">
        <is>
          <t>Akumulasi Penyusutan Inventaris Ruangan</t>
        </is>
      </c>
      <c r="L846" s="5">
        <f>Penyusutan!M846</f>
        <v/>
      </c>
      <c r="M846" s="3">
        <f>IF(E846="","","Penyusutan "&amp;E846&amp;" periode "&amp;C846)</f>
        <v/>
      </c>
    </row>
    <row r="847">
      <c r="A847" s="3">
        <f>IF(Penyusutan!D847="","","JRN-"&amp;TEXT(ROW()-1,"0000"))</f>
        <v/>
      </c>
      <c r="B847" s="4" t="n">
        <v>46022</v>
      </c>
      <c r="C847" s="3">
        <f>Penyusutan!B847</f>
        <v/>
      </c>
      <c r="D847" s="3">
        <f>Penyusutan!C847</f>
        <v/>
      </c>
      <c r="E847" s="3">
        <f>Penyusutan!D847</f>
        <v/>
      </c>
      <c r="F847" s="3" t="inlineStr">
        <is>
          <t>Inventaris Ruangan</t>
        </is>
      </c>
      <c r="G847" s="3" t="inlineStr"/>
      <c r="H847" s="3" t="inlineStr">
        <is>
          <t>Beban Penyusutan Inventaris Ruangan</t>
        </is>
      </c>
      <c r="I847" s="5">
        <f>Penyusutan!M847</f>
        <v/>
      </c>
      <c r="J847" s="3" t="inlineStr"/>
      <c r="K847" s="3" t="inlineStr">
        <is>
          <t>Akumulasi Penyusutan Inventaris Ruangan</t>
        </is>
      </c>
      <c r="L847" s="5">
        <f>Penyusutan!M847</f>
        <v/>
      </c>
      <c r="M847" s="3">
        <f>IF(E847="","","Penyusutan "&amp;E847&amp;" periode "&amp;C847)</f>
        <v/>
      </c>
    </row>
    <row r="848">
      <c r="A848" s="3">
        <f>IF(Penyusutan!D848="","","JRN-"&amp;TEXT(ROW()-1,"0000"))</f>
        <v/>
      </c>
      <c r="B848" s="4" t="n">
        <v>46022</v>
      </c>
      <c r="C848" s="3">
        <f>Penyusutan!B848</f>
        <v/>
      </c>
      <c r="D848" s="3">
        <f>Penyusutan!C848</f>
        <v/>
      </c>
      <c r="E848" s="3">
        <f>Penyusutan!D848</f>
        <v/>
      </c>
      <c r="F848" s="3" t="inlineStr">
        <is>
          <t>Inventaris Ruangan</t>
        </is>
      </c>
      <c r="G848" s="3" t="inlineStr"/>
      <c r="H848" s="3" t="inlineStr">
        <is>
          <t>Beban Penyusutan Inventaris Ruangan</t>
        </is>
      </c>
      <c r="I848" s="5">
        <f>Penyusutan!M848</f>
        <v/>
      </c>
      <c r="J848" s="3" t="inlineStr"/>
      <c r="K848" s="3" t="inlineStr">
        <is>
          <t>Akumulasi Penyusutan Inventaris Ruangan</t>
        </is>
      </c>
      <c r="L848" s="5">
        <f>Penyusutan!M848</f>
        <v/>
      </c>
      <c r="M848" s="3">
        <f>IF(E848="","","Penyusutan "&amp;E848&amp;" periode "&amp;C848)</f>
        <v/>
      </c>
    </row>
    <row r="849">
      <c r="A849" s="3">
        <f>IF(Penyusutan!D849="","","JRN-"&amp;TEXT(ROW()-1,"0000"))</f>
        <v/>
      </c>
      <c r="B849" s="4" t="n">
        <v>46022</v>
      </c>
      <c r="C849" s="3">
        <f>Penyusutan!B849</f>
        <v/>
      </c>
      <c r="D849" s="3">
        <f>Penyusutan!C849</f>
        <v/>
      </c>
      <c r="E849" s="3">
        <f>Penyusutan!D849</f>
        <v/>
      </c>
      <c r="F849" s="3" t="inlineStr">
        <is>
          <t>Inventaris Ruangan</t>
        </is>
      </c>
      <c r="G849" s="3" t="inlineStr"/>
      <c r="H849" s="3" t="inlineStr">
        <is>
          <t>Beban Penyusutan Inventaris Ruangan</t>
        </is>
      </c>
      <c r="I849" s="5">
        <f>Penyusutan!M849</f>
        <v/>
      </c>
      <c r="J849" s="3" t="inlineStr"/>
      <c r="K849" s="3" t="inlineStr">
        <is>
          <t>Akumulasi Penyusutan Inventaris Ruangan</t>
        </is>
      </c>
      <c r="L849" s="5">
        <f>Penyusutan!M849</f>
        <v/>
      </c>
      <c r="M849" s="3">
        <f>IF(E849="","","Penyusutan "&amp;E849&amp;" periode "&amp;C849)</f>
        <v/>
      </c>
    </row>
    <row r="850">
      <c r="A850" s="3">
        <f>IF(Penyusutan!D850="","","JRN-"&amp;TEXT(ROW()-1,"0000"))</f>
        <v/>
      </c>
      <c r="B850" s="4" t="n">
        <v>46022</v>
      </c>
      <c r="C850" s="3">
        <f>Penyusutan!B850</f>
        <v/>
      </c>
      <c r="D850" s="3">
        <f>Penyusutan!C850</f>
        <v/>
      </c>
      <c r="E850" s="3">
        <f>Penyusutan!D850</f>
        <v/>
      </c>
      <c r="F850" s="3" t="inlineStr">
        <is>
          <t>Inventaris Ruangan</t>
        </is>
      </c>
      <c r="G850" s="3" t="inlineStr"/>
      <c r="H850" s="3" t="inlineStr">
        <is>
          <t>Beban Penyusutan Inventaris Ruangan</t>
        </is>
      </c>
      <c r="I850" s="5">
        <f>Penyusutan!M850</f>
        <v/>
      </c>
      <c r="J850" s="3" t="inlineStr"/>
      <c r="K850" s="3" t="inlineStr">
        <is>
          <t>Akumulasi Penyusutan Inventaris Ruangan</t>
        </is>
      </c>
      <c r="L850" s="5">
        <f>Penyusutan!M850</f>
        <v/>
      </c>
      <c r="M850" s="3">
        <f>IF(E850="","","Penyusutan "&amp;E850&amp;" periode "&amp;C850)</f>
        <v/>
      </c>
    </row>
    <row r="851">
      <c r="A851" s="3">
        <f>IF(Penyusutan!D851="","","JRN-"&amp;TEXT(ROW()-1,"0000"))</f>
        <v/>
      </c>
      <c r="B851" s="4" t="n">
        <v>46022</v>
      </c>
      <c r="C851" s="3">
        <f>Penyusutan!B851</f>
        <v/>
      </c>
      <c r="D851" s="3">
        <f>Penyusutan!C851</f>
        <v/>
      </c>
      <c r="E851" s="3">
        <f>Penyusutan!D851</f>
        <v/>
      </c>
      <c r="F851" s="3" t="inlineStr">
        <is>
          <t>Inventaris Ruangan</t>
        </is>
      </c>
      <c r="G851" s="3" t="inlineStr"/>
      <c r="H851" s="3" t="inlineStr">
        <is>
          <t>Beban Penyusutan Inventaris Ruangan</t>
        </is>
      </c>
      <c r="I851" s="5">
        <f>Penyusutan!M851</f>
        <v/>
      </c>
      <c r="J851" s="3" t="inlineStr"/>
      <c r="K851" s="3" t="inlineStr">
        <is>
          <t>Akumulasi Penyusutan Inventaris Ruangan</t>
        </is>
      </c>
      <c r="L851" s="5">
        <f>Penyusutan!M851</f>
        <v/>
      </c>
      <c r="M851" s="3">
        <f>IF(E851="","","Penyusutan "&amp;E851&amp;" periode "&amp;C851)</f>
        <v/>
      </c>
    </row>
    <row r="852">
      <c r="A852" s="3">
        <f>IF(Penyusutan!D852="","","JRN-"&amp;TEXT(ROW()-1,"0000"))</f>
        <v/>
      </c>
      <c r="B852" s="4" t="n">
        <v>46022</v>
      </c>
      <c r="C852" s="3">
        <f>Penyusutan!B852</f>
        <v/>
      </c>
      <c r="D852" s="3">
        <f>Penyusutan!C852</f>
        <v/>
      </c>
      <c r="E852" s="3">
        <f>Penyusutan!D852</f>
        <v/>
      </c>
      <c r="F852" s="3" t="inlineStr">
        <is>
          <t>Inventaris Ruangan</t>
        </is>
      </c>
      <c r="G852" s="3" t="inlineStr"/>
      <c r="H852" s="3" t="inlineStr">
        <is>
          <t>Beban Penyusutan Inventaris Ruangan</t>
        </is>
      </c>
      <c r="I852" s="5">
        <f>Penyusutan!M852</f>
        <v/>
      </c>
      <c r="J852" s="3" t="inlineStr"/>
      <c r="K852" s="3" t="inlineStr">
        <is>
          <t>Akumulasi Penyusutan Inventaris Ruangan</t>
        </is>
      </c>
      <c r="L852" s="5">
        <f>Penyusutan!M852</f>
        <v/>
      </c>
      <c r="M852" s="3">
        <f>IF(E852="","","Penyusutan "&amp;E852&amp;" periode "&amp;C852)</f>
        <v/>
      </c>
    </row>
    <row r="853">
      <c r="A853" s="3">
        <f>IF(Penyusutan!D853="","","JRN-"&amp;TEXT(ROW()-1,"0000"))</f>
        <v/>
      </c>
      <c r="B853" s="4" t="n">
        <v>46022</v>
      </c>
      <c r="C853" s="3">
        <f>Penyusutan!B853</f>
        <v/>
      </c>
      <c r="D853" s="3">
        <f>Penyusutan!C853</f>
        <v/>
      </c>
      <c r="E853" s="3">
        <f>Penyusutan!D853</f>
        <v/>
      </c>
      <c r="F853" s="3" t="inlineStr">
        <is>
          <t>Inventaris Ruangan</t>
        </is>
      </c>
      <c r="G853" s="3" t="inlineStr"/>
      <c r="H853" s="3" t="inlineStr">
        <is>
          <t>Beban Penyusutan Inventaris Ruangan</t>
        </is>
      </c>
      <c r="I853" s="5">
        <f>Penyusutan!M853</f>
        <v/>
      </c>
      <c r="J853" s="3" t="inlineStr"/>
      <c r="K853" s="3" t="inlineStr">
        <is>
          <t>Akumulasi Penyusutan Inventaris Ruangan</t>
        </is>
      </c>
      <c r="L853" s="5">
        <f>Penyusutan!M853</f>
        <v/>
      </c>
      <c r="M853" s="3">
        <f>IF(E853="","","Penyusutan "&amp;E853&amp;" periode "&amp;C853)</f>
        <v/>
      </c>
    </row>
    <row r="854">
      <c r="A854" s="3">
        <f>IF(Penyusutan!D854="","","JRN-"&amp;TEXT(ROW()-1,"0000"))</f>
        <v/>
      </c>
      <c r="B854" s="4" t="n">
        <v>46022</v>
      </c>
      <c r="C854" s="3">
        <f>Penyusutan!B854</f>
        <v/>
      </c>
      <c r="D854" s="3">
        <f>Penyusutan!C854</f>
        <v/>
      </c>
      <c r="E854" s="3">
        <f>Penyusutan!D854</f>
        <v/>
      </c>
      <c r="F854" s="3" t="inlineStr">
        <is>
          <t>Inventaris Ruangan</t>
        </is>
      </c>
      <c r="G854" s="3" t="inlineStr"/>
      <c r="H854" s="3" t="inlineStr">
        <is>
          <t>Beban Penyusutan Inventaris Ruangan</t>
        </is>
      </c>
      <c r="I854" s="5">
        <f>Penyusutan!M854</f>
        <v/>
      </c>
      <c r="J854" s="3" t="inlineStr"/>
      <c r="K854" s="3" t="inlineStr">
        <is>
          <t>Akumulasi Penyusutan Inventaris Ruangan</t>
        </is>
      </c>
      <c r="L854" s="5">
        <f>Penyusutan!M854</f>
        <v/>
      </c>
      <c r="M854" s="3">
        <f>IF(E854="","","Penyusutan "&amp;E854&amp;" periode "&amp;C854)</f>
        <v/>
      </c>
    </row>
    <row r="855">
      <c r="A855" s="3">
        <f>IF(Penyusutan!D855="","","JRN-"&amp;TEXT(ROW()-1,"0000"))</f>
        <v/>
      </c>
      <c r="B855" s="4" t="n">
        <v>46022</v>
      </c>
      <c r="C855" s="3">
        <f>Penyusutan!B855</f>
        <v/>
      </c>
      <c r="D855" s="3">
        <f>Penyusutan!C855</f>
        <v/>
      </c>
      <c r="E855" s="3">
        <f>Penyusutan!D855</f>
        <v/>
      </c>
      <c r="F855" s="3" t="inlineStr">
        <is>
          <t>Inventaris Ruangan</t>
        </is>
      </c>
      <c r="G855" s="3" t="inlineStr"/>
      <c r="H855" s="3" t="inlineStr">
        <is>
          <t>Beban Penyusutan Inventaris Ruangan</t>
        </is>
      </c>
      <c r="I855" s="5">
        <f>Penyusutan!M855</f>
        <v/>
      </c>
      <c r="J855" s="3" t="inlineStr"/>
      <c r="K855" s="3" t="inlineStr">
        <is>
          <t>Akumulasi Penyusutan Inventaris Ruangan</t>
        </is>
      </c>
      <c r="L855" s="5">
        <f>Penyusutan!M855</f>
        <v/>
      </c>
      <c r="M855" s="3">
        <f>IF(E855="","","Penyusutan "&amp;E855&amp;" periode "&amp;C855)</f>
        <v/>
      </c>
    </row>
    <row r="856">
      <c r="A856" s="3">
        <f>IF(Penyusutan!D856="","","JRN-"&amp;TEXT(ROW()-1,"0000"))</f>
        <v/>
      </c>
      <c r="B856" s="4" t="n">
        <v>46022</v>
      </c>
      <c r="C856" s="3">
        <f>Penyusutan!B856</f>
        <v/>
      </c>
      <c r="D856" s="3">
        <f>Penyusutan!C856</f>
        <v/>
      </c>
      <c r="E856" s="3">
        <f>Penyusutan!D856</f>
        <v/>
      </c>
      <c r="F856" s="3" t="inlineStr">
        <is>
          <t>Inventaris Ruangan</t>
        </is>
      </c>
      <c r="G856" s="3" t="inlineStr"/>
      <c r="H856" s="3" t="inlineStr">
        <is>
          <t>Beban Penyusutan Inventaris Ruangan</t>
        </is>
      </c>
      <c r="I856" s="5">
        <f>Penyusutan!M856</f>
        <v/>
      </c>
      <c r="J856" s="3" t="inlineStr"/>
      <c r="K856" s="3" t="inlineStr">
        <is>
          <t>Akumulasi Penyusutan Inventaris Ruangan</t>
        </is>
      </c>
      <c r="L856" s="5">
        <f>Penyusutan!M856</f>
        <v/>
      </c>
      <c r="M856" s="3">
        <f>IF(E856="","","Penyusutan "&amp;E856&amp;" periode "&amp;C856)</f>
        <v/>
      </c>
    </row>
    <row r="857">
      <c r="A857" s="3">
        <f>IF(Penyusutan!D857="","","JRN-"&amp;TEXT(ROW()-1,"0000"))</f>
        <v/>
      </c>
      <c r="B857" s="4" t="n">
        <v>46022</v>
      </c>
      <c r="C857" s="3">
        <f>Penyusutan!B857</f>
        <v/>
      </c>
      <c r="D857" s="3">
        <f>Penyusutan!C857</f>
        <v/>
      </c>
      <c r="E857" s="3">
        <f>Penyusutan!D857</f>
        <v/>
      </c>
      <c r="F857" s="3" t="inlineStr">
        <is>
          <t>Inventaris Ruangan</t>
        </is>
      </c>
      <c r="G857" s="3" t="inlineStr"/>
      <c r="H857" s="3" t="inlineStr">
        <is>
          <t>Beban Penyusutan Inventaris Ruangan</t>
        </is>
      </c>
      <c r="I857" s="5">
        <f>Penyusutan!M857</f>
        <v/>
      </c>
      <c r="J857" s="3" t="inlineStr"/>
      <c r="K857" s="3" t="inlineStr">
        <is>
          <t>Akumulasi Penyusutan Inventaris Ruangan</t>
        </is>
      </c>
      <c r="L857" s="5">
        <f>Penyusutan!M857</f>
        <v/>
      </c>
      <c r="M857" s="3">
        <f>IF(E857="","","Penyusutan "&amp;E857&amp;" periode "&amp;C857)</f>
        <v/>
      </c>
    </row>
    <row r="858">
      <c r="A858" s="3">
        <f>IF(Penyusutan!D858="","","JRN-"&amp;TEXT(ROW()-1,"0000"))</f>
        <v/>
      </c>
      <c r="B858" s="4" t="n">
        <v>46022</v>
      </c>
      <c r="C858" s="3">
        <f>Penyusutan!B858</f>
        <v/>
      </c>
      <c r="D858" s="3">
        <f>Penyusutan!C858</f>
        <v/>
      </c>
      <c r="E858" s="3">
        <f>Penyusutan!D858</f>
        <v/>
      </c>
      <c r="F858" s="3" t="inlineStr">
        <is>
          <t>Inventaris Ruangan</t>
        </is>
      </c>
      <c r="G858" s="3" t="inlineStr"/>
      <c r="H858" s="3" t="inlineStr">
        <is>
          <t>Beban Penyusutan Inventaris Ruangan</t>
        </is>
      </c>
      <c r="I858" s="5">
        <f>Penyusutan!M858</f>
        <v/>
      </c>
      <c r="J858" s="3" t="inlineStr"/>
      <c r="K858" s="3" t="inlineStr">
        <is>
          <t>Akumulasi Penyusutan Inventaris Ruangan</t>
        </is>
      </c>
      <c r="L858" s="5">
        <f>Penyusutan!M858</f>
        <v/>
      </c>
      <c r="M858" s="3">
        <f>IF(E858="","","Penyusutan "&amp;E858&amp;" periode "&amp;C858)</f>
        <v/>
      </c>
    </row>
    <row r="859">
      <c r="A859" s="3">
        <f>IF(Penyusutan!D859="","","JRN-"&amp;TEXT(ROW()-1,"0000"))</f>
        <v/>
      </c>
      <c r="B859" s="4" t="n">
        <v>46022</v>
      </c>
      <c r="C859" s="3">
        <f>Penyusutan!B859</f>
        <v/>
      </c>
      <c r="D859" s="3">
        <f>Penyusutan!C859</f>
        <v/>
      </c>
      <c r="E859" s="3">
        <f>Penyusutan!D859</f>
        <v/>
      </c>
      <c r="F859" s="3" t="inlineStr">
        <is>
          <t>Inventaris Ruangan</t>
        </is>
      </c>
      <c r="G859" s="3" t="inlineStr"/>
      <c r="H859" s="3" t="inlineStr">
        <is>
          <t>Beban Penyusutan Inventaris Ruangan</t>
        </is>
      </c>
      <c r="I859" s="5">
        <f>Penyusutan!M859</f>
        <v/>
      </c>
      <c r="J859" s="3" t="inlineStr"/>
      <c r="K859" s="3" t="inlineStr">
        <is>
          <t>Akumulasi Penyusutan Inventaris Ruangan</t>
        </is>
      </c>
      <c r="L859" s="5">
        <f>Penyusutan!M859</f>
        <v/>
      </c>
      <c r="M859" s="3">
        <f>IF(E859="","","Penyusutan "&amp;E859&amp;" periode "&amp;C859)</f>
        <v/>
      </c>
    </row>
    <row r="860">
      <c r="A860" s="3">
        <f>IF(Penyusutan!D860="","","JRN-"&amp;TEXT(ROW()-1,"0000"))</f>
        <v/>
      </c>
      <c r="B860" s="4" t="n">
        <v>46022</v>
      </c>
      <c r="C860" s="3">
        <f>Penyusutan!B860</f>
        <v/>
      </c>
      <c r="D860" s="3">
        <f>Penyusutan!C860</f>
        <v/>
      </c>
      <c r="E860" s="3">
        <f>Penyusutan!D860</f>
        <v/>
      </c>
      <c r="F860" s="3" t="inlineStr">
        <is>
          <t>Inventaris Ruangan</t>
        </is>
      </c>
      <c r="G860" s="3" t="inlineStr"/>
      <c r="H860" s="3" t="inlineStr">
        <is>
          <t>Beban Penyusutan Inventaris Ruangan</t>
        </is>
      </c>
      <c r="I860" s="5">
        <f>Penyusutan!M860</f>
        <v/>
      </c>
      <c r="J860" s="3" t="inlineStr"/>
      <c r="K860" s="3" t="inlineStr">
        <is>
          <t>Akumulasi Penyusutan Inventaris Ruangan</t>
        </is>
      </c>
      <c r="L860" s="5">
        <f>Penyusutan!M860</f>
        <v/>
      </c>
      <c r="M860" s="3">
        <f>IF(E860="","","Penyusutan "&amp;E860&amp;" periode "&amp;C860)</f>
        <v/>
      </c>
    </row>
    <row r="861">
      <c r="A861" s="3">
        <f>IF(Penyusutan!D861="","","JRN-"&amp;TEXT(ROW()-1,"0000"))</f>
        <v/>
      </c>
      <c r="B861" s="4" t="n">
        <v>46022</v>
      </c>
      <c r="C861" s="3">
        <f>Penyusutan!B861</f>
        <v/>
      </c>
      <c r="D861" s="3">
        <f>Penyusutan!C861</f>
        <v/>
      </c>
      <c r="E861" s="3">
        <f>Penyusutan!D861</f>
        <v/>
      </c>
      <c r="F861" s="3" t="inlineStr">
        <is>
          <t>Inventaris Ruangan</t>
        </is>
      </c>
      <c r="G861" s="3" t="inlineStr"/>
      <c r="H861" s="3" t="inlineStr">
        <is>
          <t>Beban Penyusutan Inventaris Ruangan</t>
        </is>
      </c>
      <c r="I861" s="5">
        <f>Penyusutan!M861</f>
        <v/>
      </c>
      <c r="J861" s="3" t="inlineStr"/>
      <c r="K861" s="3" t="inlineStr">
        <is>
          <t>Akumulasi Penyusutan Inventaris Ruangan</t>
        </is>
      </c>
      <c r="L861" s="5">
        <f>Penyusutan!M861</f>
        <v/>
      </c>
      <c r="M861" s="3">
        <f>IF(E861="","","Penyusutan "&amp;E861&amp;" periode "&amp;C861)</f>
        <v/>
      </c>
    </row>
    <row r="862">
      <c r="A862" s="3">
        <f>IF(Penyusutan!D862="","","JRN-"&amp;TEXT(ROW()-1,"0000"))</f>
        <v/>
      </c>
      <c r="B862" s="4" t="n">
        <v>46022</v>
      </c>
      <c r="C862" s="3">
        <f>Penyusutan!B862</f>
        <v/>
      </c>
      <c r="D862" s="3">
        <f>Penyusutan!C862</f>
        <v/>
      </c>
      <c r="E862" s="3">
        <f>Penyusutan!D862</f>
        <v/>
      </c>
      <c r="F862" s="3" t="inlineStr">
        <is>
          <t>Inventaris Ruangan</t>
        </is>
      </c>
      <c r="G862" s="3" t="inlineStr"/>
      <c r="H862" s="3" t="inlineStr">
        <is>
          <t>Beban Penyusutan Inventaris Ruangan</t>
        </is>
      </c>
      <c r="I862" s="5">
        <f>Penyusutan!M862</f>
        <v/>
      </c>
      <c r="J862" s="3" t="inlineStr"/>
      <c r="K862" s="3" t="inlineStr">
        <is>
          <t>Akumulasi Penyusutan Inventaris Ruangan</t>
        </is>
      </c>
      <c r="L862" s="5">
        <f>Penyusutan!M862</f>
        <v/>
      </c>
      <c r="M862" s="3">
        <f>IF(E862="","","Penyusutan "&amp;E862&amp;" periode "&amp;C862)</f>
        <v/>
      </c>
    </row>
    <row r="863">
      <c r="A863" s="3">
        <f>IF(Penyusutan!D863="","","JRN-"&amp;TEXT(ROW()-1,"0000"))</f>
        <v/>
      </c>
      <c r="B863" s="4" t="n">
        <v>46022</v>
      </c>
      <c r="C863" s="3">
        <f>Penyusutan!B863</f>
        <v/>
      </c>
      <c r="D863" s="3">
        <f>Penyusutan!C863</f>
        <v/>
      </c>
      <c r="E863" s="3">
        <f>Penyusutan!D863</f>
        <v/>
      </c>
      <c r="F863" s="3" t="inlineStr">
        <is>
          <t>Inventaris Ruangan</t>
        </is>
      </c>
      <c r="G863" s="3" t="inlineStr"/>
      <c r="H863" s="3" t="inlineStr">
        <is>
          <t>Beban Penyusutan Inventaris Ruangan</t>
        </is>
      </c>
      <c r="I863" s="5">
        <f>Penyusutan!M863</f>
        <v/>
      </c>
      <c r="J863" s="3" t="inlineStr"/>
      <c r="K863" s="3" t="inlineStr">
        <is>
          <t>Akumulasi Penyusutan Inventaris Ruangan</t>
        </is>
      </c>
      <c r="L863" s="5">
        <f>Penyusutan!M863</f>
        <v/>
      </c>
      <c r="M863" s="3">
        <f>IF(E863="","","Penyusutan "&amp;E863&amp;" periode "&amp;C863)</f>
        <v/>
      </c>
    </row>
    <row r="864">
      <c r="A864" s="3">
        <f>IF(Penyusutan!D864="","","JRN-"&amp;TEXT(ROW()-1,"0000"))</f>
        <v/>
      </c>
      <c r="B864" s="4" t="n">
        <v>46022</v>
      </c>
      <c r="C864" s="3">
        <f>Penyusutan!B864</f>
        <v/>
      </c>
      <c r="D864" s="3">
        <f>Penyusutan!C864</f>
        <v/>
      </c>
      <c r="E864" s="3">
        <f>Penyusutan!D864</f>
        <v/>
      </c>
      <c r="F864" s="3" t="inlineStr">
        <is>
          <t>Inventaris Ruangan</t>
        </is>
      </c>
      <c r="G864" s="3" t="inlineStr"/>
      <c r="H864" s="3" t="inlineStr">
        <is>
          <t>Beban Penyusutan Inventaris Ruangan</t>
        </is>
      </c>
      <c r="I864" s="5">
        <f>Penyusutan!M864</f>
        <v/>
      </c>
      <c r="J864" s="3" t="inlineStr"/>
      <c r="K864" s="3" t="inlineStr">
        <is>
          <t>Akumulasi Penyusutan Inventaris Ruangan</t>
        </is>
      </c>
      <c r="L864" s="5">
        <f>Penyusutan!M864</f>
        <v/>
      </c>
      <c r="M864" s="3">
        <f>IF(E864="","","Penyusutan "&amp;E864&amp;" periode "&amp;C864)</f>
        <v/>
      </c>
    </row>
    <row r="865">
      <c r="A865" s="3">
        <f>IF(Penyusutan!D865="","","JRN-"&amp;TEXT(ROW()-1,"0000"))</f>
        <v/>
      </c>
      <c r="B865" s="4" t="n">
        <v>46022</v>
      </c>
      <c r="C865" s="3">
        <f>Penyusutan!B865</f>
        <v/>
      </c>
      <c r="D865" s="3">
        <f>Penyusutan!C865</f>
        <v/>
      </c>
      <c r="E865" s="3">
        <f>Penyusutan!D865</f>
        <v/>
      </c>
      <c r="F865" s="3" t="inlineStr">
        <is>
          <t>Inventaris Ruangan</t>
        </is>
      </c>
      <c r="G865" s="3" t="inlineStr"/>
      <c r="H865" s="3" t="inlineStr">
        <is>
          <t>Beban Penyusutan Inventaris Ruangan</t>
        </is>
      </c>
      <c r="I865" s="5">
        <f>Penyusutan!M865</f>
        <v/>
      </c>
      <c r="J865" s="3" t="inlineStr"/>
      <c r="K865" s="3" t="inlineStr">
        <is>
          <t>Akumulasi Penyusutan Inventaris Ruangan</t>
        </is>
      </c>
      <c r="L865" s="5">
        <f>Penyusutan!M865</f>
        <v/>
      </c>
      <c r="M865" s="3">
        <f>IF(E865="","","Penyusutan "&amp;E865&amp;" periode "&amp;C865)</f>
        <v/>
      </c>
    </row>
    <row r="866">
      <c r="A866" s="3">
        <f>IF(Penyusutan!D866="","","JRN-"&amp;TEXT(ROW()-1,"0000"))</f>
        <v/>
      </c>
      <c r="B866" s="4" t="n">
        <v>46022</v>
      </c>
      <c r="C866" s="3">
        <f>Penyusutan!B866</f>
        <v/>
      </c>
      <c r="D866" s="3">
        <f>Penyusutan!C866</f>
        <v/>
      </c>
      <c r="E866" s="3">
        <f>Penyusutan!D866</f>
        <v/>
      </c>
      <c r="F866" s="3" t="inlineStr">
        <is>
          <t>Inventaris Ruangan</t>
        </is>
      </c>
      <c r="G866" s="3" t="inlineStr"/>
      <c r="H866" s="3" t="inlineStr">
        <is>
          <t>Beban Penyusutan Inventaris Ruangan</t>
        </is>
      </c>
      <c r="I866" s="5">
        <f>Penyusutan!M866</f>
        <v/>
      </c>
      <c r="J866" s="3" t="inlineStr"/>
      <c r="K866" s="3" t="inlineStr">
        <is>
          <t>Akumulasi Penyusutan Inventaris Ruangan</t>
        </is>
      </c>
      <c r="L866" s="5">
        <f>Penyusutan!M866</f>
        <v/>
      </c>
      <c r="M866" s="3">
        <f>IF(E866="","","Penyusutan "&amp;E866&amp;" periode "&amp;C866)</f>
        <v/>
      </c>
    </row>
    <row r="867">
      <c r="A867" s="3">
        <f>IF(Penyusutan!D867="","","JRN-"&amp;TEXT(ROW()-1,"0000"))</f>
        <v/>
      </c>
      <c r="B867" s="4" t="n">
        <v>46022</v>
      </c>
      <c r="C867" s="3">
        <f>Penyusutan!B867</f>
        <v/>
      </c>
      <c r="D867" s="3">
        <f>Penyusutan!C867</f>
        <v/>
      </c>
      <c r="E867" s="3">
        <f>Penyusutan!D867</f>
        <v/>
      </c>
      <c r="F867" s="3" t="inlineStr">
        <is>
          <t>Inventaris Ruangan</t>
        </is>
      </c>
      <c r="G867" s="3" t="inlineStr"/>
      <c r="H867" s="3" t="inlineStr">
        <is>
          <t>Beban Penyusutan Inventaris Ruangan</t>
        </is>
      </c>
      <c r="I867" s="5">
        <f>Penyusutan!M867</f>
        <v/>
      </c>
      <c r="J867" s="3" t="inlineStr"/>
      <c r="K867" s="3" t="inlineStr">
        <is>
          <t>Akumulasi Penyusutan Inventaris Ruangan</t>
        </is>
      </c>
      <c r="L867" s="5">
        <f>Penyusutan!M867</f>
        <v/>
      </c>
      <c r="M867" s="3">
        <f>IF(E867="","","Penyusutan "&amp;E867&amp;" periode "&amp;C867)</f>
        <v/>
      </c>
    </row>
    <row r="868">
      <c r="A868" s="3">
        <f>IF(Penyusutan!D868="","","JRN-"&amp;TEXT(ROW()-1,"0000"))</f>
        <v/>
      </c>
      <c r="B868" s="4" t="n">
        <v>46022</v>
      </c>
      <c r="C868" s="3">
        <f>Penyusutan!B868</f>
        <v/>
      </c>
      <c r="D868" s="3">
        <f>Penyusutan!C868</f>
        <v/>
      </c>
      <c r="E868" s="3">
        <f>Penyusutan!D868</f>
        <v/>
      </c>
      <c r="F868" s="3" t="inlineStr">
        <is>
          <t>Inventaris Ruangan</t>
        </is>
      </c>
      <c r="G868" s="3" t="inlineStr"/>
      <c r="H868" s="3" t="inlineStr">
        <is>
          <t>Beban Penyusutan Inventaris Ruangan</t>
        </is>
      </c>
      <c r="I868" s="5">
        <f>Penyusutan!M868</f>
        <v/>
      </c>
      <c r="J868" s="3" t="inlineStr"/>
      <c r="K868" s="3" t="inlineStr">
        <is>
          <t>Akumulasi Penyusutan Inventaris Ruangan</t>
        </is>
      </c>
      <c r="L868" s="5">
        <f>Penyusutan!M868</f>
        <v/>
      </c>
      <c r="M868" s="3">
        <f>IF(E868="","","Penyusutan "&amp;E868&amp;" periode "&amp;C868)</f>
        <v/>
      </c>
    </row>
    <row r="869">
      <c r="A869" s="3">
        <f>IF(Penyusutan!D869="","","JRN-"&amp;TEXT(ROW()-1,"0000"))</f>
        <v/>
      </c>
      <c r="B869" s="4" t="n">
        <v>46022</v>
      </c>
      <c r="C869" s="3">
        <f>Penyusutan!B869</f>
        <v/>
      </c>
      <c r="D869" s="3">
        <f>Penyusutan!C869</f>
        <v/>
      </c>
      <c r="E869" s="3">
        <f>Penyusutan!D869</f>
        <v/>
      </c>
      <c r="F869" s="3" t="inlineStr">
        <is>
          <t>Inventaris Ruangan</t>
        </is>
      </c>
      <c r="G869" s="3" t="inlineStr"/>
      <c r="H869" s="3" t="inlineStr">
        <is>
          <t>Beban Penyusutan Inventaris Ruangan</t>
        </is>
      </c>
      <c r="I869" s="5">
        <f>Penyusutan!M869</f>
        <v/>
      </c>
      <c r="J869" s="3" t="inlineStr"/>
      <c r="K869" s="3" t="inlineStr">
        <is>
          <t>Akumulasi Penyusutan Inventaris Ruangan</t>
        </is>
      </c>
      <c r="L869" s="5">
        <f>Penyusutan!M869</f>
        <v/>
      </c>
      <c r="M869" s="3">
        <f>IF(E869="","","Penyusutan "&amp;E869&amp;" periode "&amp;C869)</f>
        <v/>
      </c>
    </row>
    <row r="870">
      <c r="A870" s="3">
        <f>IF(Penyusutan!D870="","","JRN-"&amp;TEXT(ROW()-1,"0000"))</f>
        <v/>
      </c>
      <c r="B870" s="4" t="n">
        <v>46022</v>
      </c>
      <c r="C870" s="3">
        <f>Penyusutan!B870</f>
        <v/>
      </c>
      <c r="D870" s="3">
        <f>Penyusutan!C870</f>
        <v/>
      </c>
      <c r="E870" s="3">
        <f>Penyusutan!D870</f>
        <v/>
      </c>
      <c r="F870" s="3" t="inlineStr">
        <is>
          <t>Inventaris Ruangan</t>
        </is>
      </c>
      <c r="G870" s="3" t="inlineStr"/>
      <c r="H870" s="3" t="inlineStr">
        <is>
          <t>Beban Penyusutan Inventaris Ruangan</t>
        </is>
      </c>
      <c r="I870" s="5">
        <f>Penyusutan!M870</f>
        <v/>
      </c>
      <c r="J870" s="3" t="inlineStr"/>
      <c r="K870" s="3" t="inlineStr">
        <is>
          <t>Akumulasi Penyusutan Inventaris Ruangan</t>
        </is>
      </c>
      <c r="L870" s="5">
        <f>Penyusutan!M870</f>
        <v/>
      </c>
      <c r="M870" s="3">
        <f>IF(E870="","","Penyusutan "&amp;E870&amp;" periode "&amp;C870)</f>
        <v/>
      </c>
    </row>
    <row r="871">
      <c r="A871" s="3">
        <f>IF(Penyusutan!D871="","","JRN-"&amp;TEXT(ROW()-1,"0000"))</f>
        <v/>
      </c>
      <c r="B871" s="4" t="n">
        <v>46022</v>
      </c>
      <c r="C871" s="3">
        <f>Penyusutan!B871</f>
        <v/>
      </c>
      <c r="D871" s="3">
        <f>Penyusutan!C871</f>
        <v/>
      </c>
      <c r="E871" s="3">
        <f>Penyusutan!D871</f>
        <v/>
      </c>
      <c r="F871" s="3" t="inlineStr">
        <is>
          <t>Inventaris Ruangan</t>
        </is>
      </c>
      <c r="G871" s="3" t="inlineStr"/>
      <c r="H871" s="3" t="inlineStr">
        <is>
          <t>Beban Penyusutan Inventaris Ruangan</t>
        </is>
      </c>
      <c r="I871" s="5">
        <f>Penyusutan!M871</f>
        <v/>
      </c>
      <c r="J871" s="3" t="inlineStr"/>
      <c r="K871" s="3" t="inlineStr">
        <is>
          <t>Akumulasi Penyusutan Inventaris Ruangan</t>
        </is>
      </c>
      <c r="L871" s="5">
        <f>Penyusutan!M871</f>
        <v/>
      </c>
      <c r="M871" s="3">
        <f>IF(E871="","","Penyusutan "&amp;E871&amp;" periode "&amp;C871)</f>
        <v/>
      </c>
    </row>
    <row r="872">
      <c r="A872" s="3">
        <f>IF(Penyusutan!D872="","","JRN-"&amp;TEXT(ROW()-1,"0000"))</f>
        <v/>
      </c>
      <c r="B872" s="4" t="n">
        <v>46022</v>
      </c>
      <c r="C872" s="3">
        <f>Penyusutan!B872</f>
        <v/>
      </c>
      <c r="D872" s="3">
        <f>Penyusutan!C872</f>
        <v/>
      </c>
      <c r="E872" s="3">
        <f>Penyusutan!D872</f>
        <v/>
      </c>
      <c r="F872" s="3" t="inlineStr">
        <is>
          <t>Inventaris Ruangan</t>
        </is>
      </c>
      <c r="G872" s="3" t="inlineStr"/>
      <c r="H872" s="3" t="inlineStr">
        <is>
          <t>Beban Penyusutan Inventaris Ruangan</t>
        </is>
      </c>
      <c r="I872" s="5">
        <f>Penyusutan!M872</f>
        <v/>
      </c>
      <c r="J872" s="3" t="inlineStr"/>
      <c r="K872" s="3" t="inlineStr">
        <is>
          <t>Akumulasi Penyusutan Inventaris Ruangan</t>
        </is>
      </c>
      <c r="L872" s="5">
        <f>Penyusutan!M872</f>
        <v/>
      </c>
      <c r="M872" s="3">
        <f>IF(E872="","","Penyusutan "&amp;E872&amp;" periode "&amp;C872)</f>
        <v/>
      </c>
    </row>
    <row r="873">
      <c r="A873" s="3">
        <f>IF(Penyusutan!D873="","","JRN-"&amp;TEXT(ROW()-1,"0000"))</f>
        <v/>
      </c>
      <c r="B873" s="4" t="n">
        <v>46022</v>
      </c>
      <c r="C873" s="3">
        <f>Penyusutan!B873</f>
        <v/>
      </c>
      <c r="D873" s="3">
        <f>Penyusutan!C873</f>
        <v/>
      </c>
      <c r="E873" s="3">
        <f>Penyusutan!D873</f>
        <v/>
      </c>
      <c r="F873" s="3" t="inlineStr">
        <is>
          <t>Inventaris Ruangan</t>
        </is>
      </c>
      <c r="G873" s="3" t="inlineStr"/>
      <c r="H873" s="3" t="inlineStr">
        <is>
          <t>Beban Penyusutan Inventaris Ruangan</t>
        </is>
      </c>
      <c r="I873" s="5">
        <f>Penyusutan!M873</f>
        <v/>
      </c>
      <c r="J873" s="3" t="inlineStr"/>
      <c r="K873" s="3" t="inlineStr">
        <is>
          <t>Akumulasi Penyusutan Inventaris Ruangan</t>
        </is>
      </c>
      <c r="L873" s="5">
        <f>Penyusutan!M873</f>
        <v/>
      </c>
      <c r="M873" s="3">
        <f>IF(E873="","","Penyusutan "&amp;E873&amp;" periode "&amp;C873)</f>
        <v/>
      </c>
    </row>
    <row r="874">
      <c r="A874" s="3">
        <f>IF(Penyusutan!D874="","","JRN-"&amp;TEXT(ROW()-1,"0000"))</f>
        <v/>
      </c>
      <c r="B874" s="4" t="n">
        <v>46022</v>
      </c>
      <c r="C874" s="3">
        <f>Penyusutan!B874</f>
        <v/>
      </c>
      <c r="D874" s="3">
        <f>Penyusutan!C874</f>
        <v/>
      </c>
      <c r="E874" s="3">
        <f>Penyusutan!D874</f>
        <v/>
      </c>
      <c r="F874" s="3" t="inlineStr">
        <is>
          <t>Inventaris Ruangan</t>
        </is>
      </c>
      <c r="G874" s="3" t="inlineStr"/>
      <c r="H874" s="3" t="inlineStr">
        <is>
          <t>Beban Penyusutan Inventaris Ruangan</t>
        </is>
      </c>
      <c r="I874" s="5">
        <f>Penyusutan!M874</f>
        <v/>
      </c>
      <c r="J874" s="3" t="inlineStr"/>
      <c r="K874" s="3" t="inlineStr">
        <is>
          <t>Akumulasi Penyusutan Inventaris Ruangan</t>
        </is>
      </c>
      <c r="L874" s="5">
        <f>Penyusutan!M874</f>
        <v/>
      </c>
      <c r="M874" s="3">
        <f>IF(E874="","","Penyusutan "&amp;E874&amp;" periode "&amp;C874)</f>
        <v/>
      </c>
    </row>
    <row r="875">
      <c r="A875" s="3">
        <f>IF(Penyusutan!D875="","","JRN-"&amp;TEXT(ROW()-1,"0000"))</f>
        <v/>
      </c>
      <c r="B875" s="4" t="n">
        <v>46022</v>
      </c>
      <c r="C875" s="3">
        <f>Penyusutan!B875</f>
        <v/>
      </c>
      <c r="D875" s="3">
        <f>Penyusutan!C875</f>
        <v/>
      </c>
      <c r="E875" s="3">
        <f>Penyusutan!D875</f>
        <v/>
      </c>
      <c r="F875" s="3" t="inlineStr">
        <is>
          <t>Inventaris Ruangan</t>
        </is>
      </c>
      <c r="G875" s="3" t="inlineStr"/>
      <c r="H875" s="3" t="inlineStr">
        <is>
          <t>Beban Penyusutan Inventaris Ruangan</t>
        </is>
      </c>
      <c r="I875" s="5">
        <f>Penyusutan!M875</f>
        <v/>
      </c>
      <c r="J875" s="3" t="inlineStr"/>
      <c r="K875" s="3" t="inlineStr">
        <is>
          <t>Akumulasi Penyusutan Inventaris Ruangan</t>
        </is>
      </c>
      <c r="L875" s="5">
        <f>Penyusutan!M875</f>
        <v/>
      </c>
      <c r="M875" s="3">
        <f>IF(E875="","","Penyusutan "&amp;E875&amp;" periode "&amp;C875)</f>
        <v/>
      </c>
    </row>
    <row r="876">
      <c r="A876" s="3">
        <f>IF(Penyusutan!D876="","","JRN-"&amp;TEXT(ROW()-1,"0000"))</f>
        <v/>
      </c>
      <c r="B876" s="4" t="n">
        <v>46022</v>
      </c>
      <c r="C876" s="3">
        <f>Penyusutan!B876</f>
        <v/>
      </c>
      <c r="D876" s="3">
        <f>Penyusutan!C876</f>
        <v/>
      </c>
      <c r="E876" s="3">
        <f>Penyusutan!D876</f>
        <v/>
      </c>
      <c r="F876" s="3" t="inlineStr">
        <is>
          <t>Inventaris Ruangan</t>
        </is>
      </c>
      <c r="G876" s="3" t="inlineStr"/>
      <c r="H876" s="3" t="inlineStr">
        <is>
          <t>Beban Penyusutan Inventaris Ruangan</t>
        </is>
      </c>
      <c r="I876" s="5">
        <f>Penyusutan!M876</f>
        <v/>
      </c>
      <c r="J876" s="3" t="inlineStr"/>
      <c r="K876" s="3" t="inlineStr">
        <is>
          <t>Akumulasi Penyusutan Inventaris Ruangan</t>
        </is>
      </c>
      <c r="L876" s="5">
        <f>Penyusutan!M876</f>
        <v/>
      </c>
      <c r="M876" s="3">
        <f>IF(E876="","","Penyusutan "&amp;E876&amp;" periode "&amp;C876)</f>
        <v/>
      </c>
    </row>
    <row r="877">
      <c r="A877" s="3">
        <f>IF(Penyusutan!D877="","","JRN-"&amp;TEXT(ROW()-1,"0000"))</f>
        <v/>
      </c>
      <c r="B877" s="4" t="n">
        <v>46022</v>
      </c>
      <c r="C877" s="3">
        <f>Penyusutan!B877</f>
        <v/>
      </c>
      <c r="D877" s="3">
        <f>Penyusutan!C877</f>
        <v/>
      </c>
      <c r="E877" s="3">
        <f>Penyusutan!D877</f>
        <v/>
      </c>
      <c r="F877" s="3" t="inlineStr">
        <is>
          <t>Inventaris Ruangan</t>
        </is>
      </c>
      <c r="G877" s="3" t="inlineStr"/>
      <c r="H877" s="3" t="inlineStr">
        <is>
          <t>Beban Penyusutan Inventaris Ruangan</t>
        </is>
      </c>
      <c r="I877" s="5">
        <f>Penyusutan!M877</f>
        <v/>
      </c>
      <c r="J877" s="3" t="inlineStr"/>
      <c r="K877" s="3" t="inlineStr">
        <is>
          <t>Akumulasi Penyusutan Inventaris Ruangan</t>
        </is>
      </c>
      <c r="L877" s="5">
        <f>Penyusutan!M877</f>
        <v/>
      </c>
      <c r="M877" s="3">
        <f>IF(E877="","","Penyusutan "&amp;E877&amp;" periode "&amp;C877)</f>
        <v/>
      </c>
    </row>
    <row r="878">
      <c r="A878" s="3">
        <f>IF(Penyusutan!D878="","","JRN-"&amp;TEXT(ROW()-1,"0000"))</f>
        <v/>
      </c>
      <c r="B878" s="4" t="n">
        <v>46022</v>
      </c>
      <c r="C878" s="3">
        <f>Penyusutan!B878</f>
        <v/>
      </c>
      <c r="D878" s="3">
        <f>Penyusutan!C878</f>
        <v/>
      </c>
      <c r="E878" s="3">
        <f>Penyusutan!D878</f>
        <v/>
      </c>
      <c r="F878" s="3" t="inlineStr">
        <is>
          <t>Inventaris Ruangan</t>
        </is>
      </c>
      <c r="G878" s="3" t="inlineStr"/>
      <c r="H878" s="3" t="inlineStr">
        <is>
          <t>Beban Penyusutan Inventaris Ruangan</t>
        </is>
      </c>
      <c r="I878" s="5">
        <f>Penyusutan!M878</f>
        <v/>
      </c>
      <c r="J878" s="3" t="inlineStr"/>
      <c r="K878" s="3" t="inlineStr">
        <is>
          <t>Akumulasi Penyusutan Inventaris Ruangan</t>
        </is>
      </c>
      <c r="L878" s="5">
        <f>Penyusutan!M878</f>
        <v/>
      </c>
      <c r="M878" s="3">
        <f>IF(E878="","","Penyusutan "&amp;E878&amp;" periode "&amp;C878)</f>
        <v/>
      </c>
    </row>
    <row r="879">
      <c r="A879" s="3">
        <f>IF(Penyusutan!D879="","","JRN-"&amp;TEXT(ROW()-1,"0000"))</f>
        <v/>
      </c>
      <c r="B879" s="4" t="n">
        <v>46022</v>
      </c>
      <c r="C879" s="3">
        <f>Penyusutan!B879</f>
        <v/>
      </c>
      <c r="D879" s="3">
        <f>Penyusutan!C879</f>
        <v/>
      </c>
      <c r="E879" s="3">
        <f>Penyusutan!D879</f>
        <v/>
      </c>
      <c r="F879" s="3" t="inlineStr">
        <is>
          <t>Inventaris Ruangan</t>
        </is>
      </c>
      <c r="G879" s="3" t="inlineStr"/>
      <c r="H879" s="3" t="inlineStr">
        <is>
          <t>Beban Penyusutan Inventaris Ruangan</t>
        </is>
      </c>
      <c r="I879" s="5">
        <f>Penyusutan!M879</f>
        <v/>
      </c>
      <c r="J879" s="3" t="inlineStr"/>
      <c r="K879" s="3" t="inlineStr">
        <is>
          <t>Akumulasi Penyusutan Inventaris Ruangan</t>
        </is>
      </c>
      <c r="L879" s="5">
        <f>Penyusutan!M879</f>
        <v/>
      </c>
      <c r="M879" s="3">
        <f>IF(E879="","","Penyusutan "&amp;E879&amp;" periode "&amp;C879)</f>
        <v/>
      </c>
    </row>
    <row r="880">
      <c r="A880" s="3">
        <f>IF(Penyusutan!D880="","","JRN-"&amp;TEXT(ROW()-1,"0000"))</f>
        <v/>
      </c>
      <c r="B880" s="4" t="n">
        <v>46022</v>
      </c>
      <c r="C880" s="3">
        <f>Penyusutan!B880</f>
        <v/>
      </c>
      <c r="D880" s="3">
        <f>Penyusutan!C880</f>
        <v/>
      </c>
      <c r="E880" s="3">
        <f>Penyusutan!D880</f>
        <v/>
      </c>
      <c r="F880" s="3" t="inlineStr">
        <is>
          <t>Inventaris Ruangan</t>
        </is>
      </c>
      <c r="G880" s="3" t="inlineStr"/>
      <c r="H880" s="3" t="inlineStr">
        <is>
          <t>Beban Penyusutan Inventaris Ruangan</t>
        </is>
      </c>
      <c r="I880" s="5">
        <f>Penyusutan!M880</f>
        <v/>
      </c>
      <c r="J880" s="3" t="inlineStr"/>
      <c r="K880" s="3" t="inlineStr">
        <is>
          <t>Akumulasi Penyusutan Inventaris Ruangan</t>
        </is>
      </c>
      <c r="L880" s="5">
        <f>Penyusutan!M880</f>
        <v/>
      </c>
      <c r="M880" s="3">
        <f>IF(E880="","","Penyusutan "&amp;E880&amp;" periode "&amp;C880)</f>
        <v/>
      </c>
    </row>
    <row r="881">
      <c r="A881" s="3">
        <f>IF(Penyusutan!D881="","","JRN-"&amp;TEXT(ROW()-1,"0000"))</f>
        <v/>
      </c>
      <c r="B881" s="4" t="n">
        <v>46022</v>
      </c>
      <c r="C881" s="3">
        <f>Penyusutan!B881</f>
        <v/>
      </c>
      <c r="D881" s="3">
        <f>Penyusutan!C881</f>
        <v/>
      </c>
      <c r="E881" s="3">
        <f>Penyusutan!D881</f>
        <v/>
      </c>
      <c r="F881" s="3" t="inlineStr">
        <is>
          <t>Inventaris Ruangan</t>
        </is>
      </c>
      <c r="G881" s="3" t="inlineStr"/>
      <c r="H881" s="3" t="inlineStr">
        <is>
          <t>Beban Penyusutan Inventaris Ruangan</t>
        </is>
      </c>
      <c r="I881" s="5">
        <f>Penyusutan!M881</f>
        <v/>
      </c>
      <c r="J881" s="3" t="inlineStr"/>
      <c r="K881" s="3" t="inlineStr">
        <is>
          <t>Akumulasi Penyusutan Inventaris Ruangan</t>
        </is>
      </c>
      <c r="L881" s="5">
        <f>Penyusutan!M881</f>
        <v/>
      </c>
      <c r="M881" s="3">
        <f>IF(E881="","","Penyusutan "&amp;E881&amp;" periode "&amp;C881)</f>
        <v/>
      </c>
    </row>
    <row r="882">
      <c r="A882" s="3">
        <f>IF(Penyusutan!D882="","","JRN-"&amp;TEXT(ROW()-1,"0000"))</f>
        <v/>
      </c>
      <c r="B882" s="4" t="n">
        <v>46022</v>
      </c>
      <c r="C882" s="3">
        <f>Penyusutan!B882</f>
        <v/>
      </c>
      <c r="D882" s="3">
        <f>Penyusutan!C882</f>
        <v/>
      </c>
      <c r="E882" s="3">
        <f>Penyusutan!D882</f>
        <v/>
      </c>
      <c r="F882" s="3" t="inlineStr">
        <is>
          <t>Inventaris Ruangan</t>
        </is>
      </c>
      <c r="G882" s="3" t="inlineStr"/>
      <c r="H882" s="3" t="inlineStr">
        <is>
          <t>Beban Penyusutan Inventaris Ruangan</t>
        </is>
      </c>
      <c r="I882" s="5">
        <f>Penyusutan!M882</f>
        <v/>
      </c>
      <c r="J882" s="3" t="inlineStr"/>
      <c r="K882" s="3" t="inlineStr">
        <is>
          <t>Akumulasi Penyusutan Inventaris Ruangan</t>
        </is>
      </c>
      <c r="L882" s="5">
        <f>Penyusutan!M882</f>
        <v/>
      </c>
      <c r="M882" s="3">
        <f>IF(E882="","","Penyusutan "&amp;E882&amp;" periode "&amp;C882)</f>
        <v/>
      </c>
    </row>
    <row r="883">
      <c r="A883" s="3">
        <f>IF(Penyusutan!D883="","","JRN-"&amp;TEXT(ROW()-1,"0000"))</f>
        <v/>
      </c>
      <c r="B883" s="4" t="n">
        <v>46022</v>
      </c>
      <c r="C883" s="3">
        <f>Penyusutan!B883</f>
        <v/>
      </c>
      <c r="D883" s="3">
        <f>Penyusutan!C883</f>
        <v/>
      </c>
      <c r="E883" s="3">
        <f>Penyusutan!D883</f>
        <v/>
      </c>
      <c r="F883" s="3" t="inlineStr">
        <is>
          <t>Inventaris Ruangan</t>
        </is>
      </c>
      <c r="G883" s="3" t="inlineStr"/>
      <c r="H883" s="3" t="inlineStr">
        <is>
          <t>Beban Penyusutan Inventaris Ruangan</t>
        </is>
      </c>
      <c r="I883" s="5">
        <f>Penyusutan!M883</f>
        <v/>
      </c>
      <c r="J883" s="3" t="inlineStr"/>
      <c r="K883" s="3" t="inlineStr">
        <is>
          <t>Akumulasi Penyusutan Inventaris Ruangan</t>
        </is>
      </c>
      <c r="L883" s="5">
        <f>Penyusutan!M883</f>
        <v/>
      </c>
      <c r="M883" s="3">
        <f>IF(E883="","","Penyusutan "&amp;E883&amp;" periode "&amp;C883)</f>
        <v/>
      </c>
    </row>
    <row r="884">
      <c r="A884" s="3">
        <f>IF(Penyusutan!D884="","","JRN-"&amp;TEXT(ROW()-1,"0000"))</f>
        <v/>
      </c>
      <c r="B884" s="4" t="n">
        <v>46022</v>
      </c>
      <c r="C884" s="3">
        <f>Penyusutan!B884</f>
        <v/>
      </c>
      <c r="D884" s="3">
        <f>Penyusutan!C884</f>
        <v/>
      </c>
      <c r="E884" s="3">
        <f>Penyusutan!D884</f>
        <v/>
      </c>
      <c r="F884" s="3" t="inlineStr">
        <is>
          <t>Inventaris Ruangan</t>
        </is>
      </c>
      <c r="G884" s="3" t="inlineStr"/>
      <c r="H884" s="3" t="inlineStr">
        <is>
          <t>Beban Penyusutan Inventaris Ruangan</t>
        </is>
      </c>
      <c r="I884" s="5">
        <f>Penyusutan!M884</f>
        <v/>
      </c>
      <c r="J884" s="3" t="inlineStr"/>
      <c r="K884" s="3" t="inlineStr">
        <is>
          <t>Akumulasi Penyusutan Inventaris Ruangan</t>
        </is>
      </c>
      <c r="L884" s="5">
        <f>Penyusutan!M884</f>
        <v/>
      </c>
      <c r="M884" s="3">
        <f>IF(E884="","","Penyusutan "&amp;E884&amp;" periode "&amp;C884)</f>
        <v/>
      </c>
    </row>
    <row r="885">
      <c r="A885" s="3">
        <f>IF(Penyusutan!D885="","","JRN-"&amp;TEXT(ROW()-1,"0000"))</f>
        <v/>
      </c>
      <c r="B885" s="4" t="n">
        <v>46022</v>
      </c>
      <c r="C885" s="3">
        <f>Penyusutan!B885</f>
        <v/>
      </c>
      <c r="D885" s="3">
        <f>Penyusutan!C885</f>
        <v/>
      </c>
      <c r="E885" s="3">
        <f>Penyusutan!D885</f>
        <v/>
      </c>
      <c r="F885" s="3" t="inlineStr">
        <is>
          <t>Inventaris Ruangan</t>
        </is>
      </c>
      <c r="G885" s="3" t="inlineStr"/>
      <c r="H885" s="3" t="inlineStr">
        <is>
          <t>Beban Penyusutan Inventaris Ruangan</t>
        </is>
      </c>
      <c r="I885" s="5">
        <f>Penyusutan!M885</f>
        <v/>
      </c>
      <c r="J885" s="3" t="inlineStr"/>
      <c r="K885" s="3" t="inlineStr">
        <is>
          <t>Akumulasi Penyusutan Inventaris Ruangan</t>
        </is>
      </c>
      <c r="L885" s="5">
        <f>Penyusutan!M885</f>
        <v/>
      </c>
      <c r="M885" s="3">
        <f>IF(E885="","","Penyusutan "&amp;E885&amp;" periode "&amp;C885)</f>
        <v/>
      </c>
    </row>
    <row r="886">
      <c r="A886" s="3">
        <f>IF(Penyusutan!D886="","","JRN-"&amp;TEXT(ROW()-1,"0000"))</f>
        <v/>
      </c>
      <c r="B886" s="4" t="n">
        <v>46022</v>
      </c>
      <c r="C886" s="3">
        <f>Penyusutan!B886</f>
        <v/>
      </c>
      <c r="D886" s="3">
        <f>Penyusutan!C886</f>
        <v/>
      </c>
      <c r="E886" s="3">
        <f>Penyusutan!D886</f>
        <v/>
      </c>
      <c r="F886" s="3" t="inlineStr">
        <is>
          <t>Inventaris Ruangan</t>
        </is>
      </c>
      <c r="G886" s="3" t="inlineStr"/>
      <c r="H886" s="3" t="inlineStr">
        <is>
          <t>Beban Penyusutan Inventaris Ruangan</t>
        </is>
      </c>
      <c r="I886" s="5">
        <f>Penyusutan!M886</f>
        <v/>
      </c>
      <c r="J886" s="3" t="inlineStr"/>
      <c r="K886" s="3" t="inlineStr">
        <is>
          <t>Akumulasi Penyusutan Inventaris Ruangan</t>
        </is>
      </c>
      <c r="L886" s="5">
        <f>Penyusutan!M886</f>
        <v/>
      </c>
      <c r="M886" s="3">
        <f>IF(E886="","","Penyusutan "&amp;E886&amp;" periode "&amp;C886)</f>
        <v/>
      </c>
    </row>
    <row r="887">
      <c r="A887" s="3">
        <f>IF(Penyusutan!D887="","","JRN-"&amp;TEXT(ROW()-1,"0000"))</f>
        <v/>
      </c>
      <c r="B887" s="4" t="n">
        <v>46022</v>
      </c>
      <c r="C887" s="3">
        <f>Penyusutan!B887</f>
        <v/>
      </c>
      <c r="D887" s="3">
        <f>Penyusutan!C887</f>
        <v/>
      </c>
      <c r="E887" s="3">
        <f>Penyusutan!D887</f>
        <v/>
      </c>
      <c r="F887" s="3" t="inlineStr">
        <is>
          <t>Inventaris Ruangan</t>
        </is>
      </c>
      <c r="G887" s="3" t="inlineStr"/>
      <c r="H887" s="3" t="inlineStr">
        <is>
          <t>Beban Penyusutan Inventaris Ruangan</t>
        </is>
      </c>
      <c r="I887" s="5">
        <f>Penyusutan!M887</f>
        <v/>
      </c>
      <c r="J887" s="3" t="inlineStr"/>
      <c r="K887" s="3" t="inlineStr">
        <is>
          <t>Akumulasi Penyusutan Inventaris Ruangan</t>
        </is>
      </c>
      <c r="L887" s="5">
        <f>Penyusutan!M887</f>
        <v/>
      </c>
      <c r="M887" s="3">
        <f>IF(E887="","","Penyusutan "&amp;E887&amp;" periode "&amp;C887)</f>
        <v/>
      </c>
    </row>
    <row r="888">
      <c r="A888" s="3">
        <f>IF(Penyusutan!D888="","","JRN-"&amp;TEXT(ROW()-1,"0000"))</f>
        <v/>
      </c>
      <c r="B888" s="4" t="n">
        <v>46022</v>
      </c>
      <c r="C888" s="3">
        <f>Penyusutan!B888</f>
        <v/>
      </c>
      <c r="D888" s="3">
        <f>Penyusutan!C888</f>
        <v/>
      </c>
      <c r="E888" s="3">
        <f>Penyusutan!D888</f>
        <v/>
      </c>
      <c r="F888" s="3" t="inlineStr">
        <is>
          <t>Inventaris Ruangan</t>
        </is>
      </c>
      <c r="G888" s="3" t="inlineStr"/>
      <c r="H888" s="3" t="inlineStr">
        <is>
          <t>Beban Penyusutan Inventaris Ruangan</t>
        </is>
      </c>
      <c r="I888" s="5">
        <f>Penyusutan!M888</f>
        <v/>
      </c>
      <c r="J888" s="3" t="inlineStr"/>
      <c r="K888" s="3" t="inlineStr">
        <is>
          <t>Akumulasi Penyusutan Inventaris Ruangan</t>
        </is>
      </c>
      <c r="L888" s="5">
        <f>Penyusutan!M888</f>
        <v/>
      </c>
      <c r="M888" s="3">
        <f>IF(E888="","","Penyusutan "&amp;E888&amp;" periode "&amp;C888)</f>
        <v/>
      </c>
    </row>
    <row r="889">
      <c r="A889" s="3">
        <f>IF(Penyusutan!D889="","","JRN-"&amp;TEXT(ROW()-1,"0000"))</f>
        <v/>
      </c>
      <c r="B889" s="4" t="n">
        <v>46022</v>
      </c>
      <c r="C889" s="3">
        <f>Penyusutan!B889</f>
        <v/>
      </c>
      <c r="D889" s="3">
        <f>Penyusutan!C889</f>
        <v/>
      </c>
      <c r="E889" s="3">
        <f>Penyusutan!D889</f>
        <v/>
      </c>
      <c r="F889" s="3" t="inlineStr">
        <is>
          <t>Inventaris Ruangan</t>
        </is>
      </c>
      <c r="G889" s="3" t="inlineStr"/>
      <c r="H889" s="3" t="inlineStr">
        <is>
          <t>Beban Penyusutan Inventaris Ruangan</t>
        </is>
      </c>
      <c r="I889" s="5">
        <f>Penyusutan!M889</f>
        <v/>
      </c>
      <c r="J889" s="3" t="inlineStr"/>
      <c r="K889" s="3" t="inlineStr">
        <is>
          <t>Akumulasi Penyusutan Inventaris Ruangan</t>
        </is>
      </c>
      <c r="L889" s="5">
        <f>Penyusutan!M889</f>
        <v/>
      </c>
      <c r="M889" s="3">
        <f>IF(E889="","","Penyusutan "&amp;E889&amp;" periode "&amp;C889)</f>
        <v/>
      </c>
    </row>
    <row r="890">
      <c r="A890" s="3">
        <f>IF(Penyusutan!D890="","","JRN-"&amp;TEXT(ROW()-1,"0000"))</f>
        <v/>
      </c>
      <c r="B890" s="4" t="n">
        <v>46022</v>
      </c>
      <c r="C890" s="3">
        <f>Penyusutan!B890</f>
        <v/>
      </c>
      <c r="D890" s="3">
        <f>Penyusutan!C890</f>
        <v/>
      </c>
      <c r="E890" s="3">
        <f>Penyusutan!D890</f>
        <v/>
      </c>
      <c r="F890" s="3" t="inlineStr">
        <is>
          <t>Inventaris Ruangan</t>
        </is>
      </c>
      <c r="G890" s="3" t="inlineStr"/>
      <c r="H890" s="3" t="inlineStr">
        <is>
          <t>Beban Penyusutan Inventaris Ruangan</t>
        </is>
      </c>
      <c r="I890" s="5">
        <f>Penyusutan!M890</f>
        <v/>
      </c>
      <c r="J890" s="3" t="inlineStr"/>
      <c r="K890" s="3" t="inlineStr">
        <is>
          <t>Akumulasi Penyusutan Inventaris Ruangan</t>
        </is>
      </c>
      <c r="L890" s="5">
        <f>Penyusutan!M890</f>
        <v/>
      </c>
      <c r="M890" s="3">
        <f>IF(E890="","","Penyusutan "&amp;E890&amp;" periode "&amp;C890)</f>
        <v/>
      </c>
    </row>
    <row r="891">
      <c r="A891" s="3">
        <f>IF(Penyusutan!D891="","","JRN-"&amp;TEXT(ROW()-1,"0000"))</f>
        <v/>
      </c>
      <c r="B891" s="4" t="n">
        <v>46022</v>
      </c>
      <c r="C891" s="3">
        <f>Penyusutan!B891</f>
        <v/>
      </c>
      <c r="D891" s="3">
        <f>Penyusutan!C891</f>
        <v/>
      </c>
      <c r="E891" s="3">
        <f>Penyusutan!D891</f>
        <v/>
      </c>
      <c r="F891" s="3" t="inlineStr">
        <is>
          <t>Inventaris Ruangan</t>
        </is>
      </c>
      <c r="G891" s="3" t="inlineStr"/>
      <c r="H891" s="3" t="inlineStr">
        <is>
          <t>Beban Penyusutan Inventaris Ruangan</t>
        </is>
      </c>
      <c r="I891" s="5">
        <f>Penyusutan!M891</f>
        <v/>
      </c>
      <c r="J891" s="3" t="inlineStr"/>
      <c r="K891" s="3" t="inlineStr">
        <is>
          <t>Akumulasi Penyusutan Inventaris Ruangan</t>
        </is>
      </c>
      <c r="L891" s="5">
        <f>Penyusutan!M891</f>
        <v/>
      </c>
      <c r="M891" s="3">
        <f>IF(E891="","","Penyusutan "&amp;E891&amp;" periode "&amp;C891)</f>
        <v/>
      </c>
    </row>
    <row r="892">
      <c r="A892" s="3">
        <f>IF(Penyusutan!D892="","","JRN-"&amp;TEXT(ROW()-1,"0000"))</f>
        <v/>
      </c>
      <c r="B892" s="4" t="n">
        <v>46022</v>
      </c>
      <c r="C892" s="3">
        <f>Penyusutan!B892</f>
        <v/>
      </c>
      <c r="D892" s="3">
        <f>Penyusutan!C892</f>
        <v/>
      </c>
      <c r="E892" s="3">
        <f>Penyusutan!D892</f>
        <v/>
      </c>
      <c r="F892" s="3" t="inlineStr">
        <is>
          <t>Inventaris Ruangan</t>
        </is>
      </c>
      <c r="G892" s="3" t="inlineStr"/>
      <c r="H892" s="3" t="inlineStr">
        <is>
          <t>Beban Penyusutan Inventaris Ruangan</t>
        </is>
      </c>
      <c r="I892" s="5">
        <f>Penyusutan!M892</f>
        <v/>
      </c>
      <c r="J892" s="3" t="inlineStr"/>
      <c r="K892" s="3" t="inlineStr">
        <is>
          <t>Akumulasi Penyusutan Inventaris Ruangan</t>
        </is>
      </c>
      <c r="L892" s="5">
        <f>Penyusutan!M892</f>
        <v/>
      </c>
      <c r="M892" s="3">
        <f>IF(E892="","","Penyusutan "&amp;E892&amp;" periode "&amp;C892)</f>
        <v/>
      </c>
    </row>
  </sheetData>
  <autoFilter ref="A1:M89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1" t="inlineStr">
        <is>
          <t>Jenis Referensi</t>
        </is>
      </c>
      <c r="B1" s="11" t="inlineStr">
        <is>
          <t>Nilai</t>
        </is>
      </c>
    </row>
    <row r="2">
      <c r="A2" s="9" t="inlineStr">
        <is>
          <t>Kondisi</t>
        </is>
      </c>
      <c r="B2" s="9" t="inlineStr">
        <is>
          <t>Baik</t>
        </is>
      </c>
    </row>
    <row r="3">
      <c r="A3" s="9" t="inlineStr">
        <is>
          <t>Kondisi</t>
        </is>
      </c>
      <c r="B3" s="9" t="inlineStr">
        <is>
          <t>Kurang Baik</t>
        </is>
      </c>
    </row>
    <row r="4">
      <c r="A4" s="9" t="inlineStr">
        <is>
          <t>Kondisi</t>
        </is>
      </c>
      <c r="B4" s="9" t="inlineStr">
        <is>
          <t>Rusak Ringan</t>
        </is>
      </c>
    </row>
    <row r="5">
      <c r="A5" s="9" t="inlineStr">
        <is>
          <t>Kondisi</t>
        </is>
      </c>
      <c r="B5" s="9" t="inlineStr">
        <is>
          <t>Rusak Berat</t>
        </is>
      </c>
    </row>
    <row r="6">
      <c r="A6" s="9" t="inlineStr">
        <is>
          <t>Kondisi</t>
        </is>
      </c>
      <c r="B6" s="9" t="inlineStr">
        <is>
          <t>Dalam Perbaikan</t>
        </is>
      </c>
    </row>
    <row r="7">
      <c r="A7" s="9" t="inlineStr">
        <is>
          <t>Kondisi</t>
        </is>
      </c>
      <c r="B7" s="9" t="inlineStr">
        <is>
          <t>Hilang</t>
        </is>
      </c>
    </row>
    <row r="8">
      <c r="A8" s="9" t="inlineStr">
        <is>
          <t>Status</t>
        </is>
      </c>
      <c r="B8" s="9" t="inlineStr">
        <is>
          <t>Aktif</t>
        </is>
      </c>
    </row>
    <row r="9">
      <c r="A9" s="9" t="inlineStr">
        <is>
          <t>Status</t>
        </is>
      </c>
      <c r="B9" s="9" t="inlineStr">
        <is>
          <t>Tidak Aktif</t>
        </is>
      </c>
    </row>
    <row r="10">
      <c r="A10" s="9" t="inlineStr">
        <is>
          <t>Status</t>
        </is>
      </c>
      <c r="B10" s="9" t="inlineStr">
        <is>
          <t>Dipindahkan</t>
        </is>
      </c>
    </row>
    <row r="11">
      <c r="A11" s="9" t="inlineStr">
        <is>
          <t>Status</t>
        </is>
      </c>
      <c r="B11" s="9" t="inlineStr">
        <is>
          <t>Dihapuskan</t>
        </is>
      </c>
    </row>
    <row r="12">
      <c r="A12" s="9" t="inlineStr">
        <is>
          <t>Status</t>
        </is>
      </c>
      <c r="B12" s="9" t="inlineStr">
        <is>
          <t>Dijual</t>
        </is>
      </c>
    </row>
    <row r="13">
      <c r="A13" s="9" t="inlineStr">
        <is>
          <t>Metode Penyusutan</t>
        </is>
      </c>
      <c r="B13" s="9" t="inlineStr">
        <is>
          <t>Garis Lurus</t>
        </is>
      </c>
    </row>
    <row r="14">
      <c r="A14" s="9" t="inlineStr">
        <is>
          <t>Metode Penyusutan</t>
        </is>
      </c>
      <c r="B14" s="9" t="inlineStr">
        <is>
          <t>Saldo Menurun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2026-06-07T13:04:04Z</dcterms:created>
  <dcterms:modified xmlns:dcterms="http://purl.org/dc/terms/" xmlns:xsi="http://www.w3.org/2001/XMLSchema-instance" xsi:type="dcterms:W3CDTF">2026-06-07T13:04:05Z</dcterms:modified>
</cp:coreProperties>
</file>