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e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nyusutan" sheetId="3" state="visible" r:id="rId3"/>
    <sheet xmlns:r="http://schemas.openxmlformats.org/officeDocument/2006/relationships" name="Jurnal Penyusutan" sheetId="4" state="visible" r:id="rId4"/>
    <sheet xmlns:r="http://schemas.openxmlformats.org/officeDocument/2006/relationships" name="Referensi" sheetId="5" state="visible" r:id="rId5"/>
  </sheets>
  <definedNames>
    <definedName name="_xlnm._FilterDatabase" localSheetId="0" hidden="1">'Data Aset'!$A$3:$AB$5</definedName>
    <definedName name="_xlnm._FilterDatabase" localSheetId="2" hidden="1">'Penyusutan'!$A$1:$Q$3</definedName>
    <definedName name="_xlnm._FilterDatabase" localSheetId="3" hidden="1">'Jurnal Penyusutan'!$A$1:$M$3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Rekap Kendaraan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</f>
            </numRef>
          </cat>
          <val>
            <numRef>
              <f>'Dashboard'!$B$7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Kendaraan" displayName="Tbl_Kendaraan" ref="A3:AB5" headerRowCount="1">
  <autoFilter ref="A3:AB5"/>
  <tableColumns count="28">
    <tableColumn id="1" name="No"/>
    <tableColumn id="2" name="Kode Aset"/>
    <tableColumn id="3" name="Unit"/>
    <tableColumn id="4" name="Jenis Kendaraan"/>
    <tableColumn id="5" name="Nama Kendaraan"/>
    <tableColumn id="6" name="Merk"/>
    <tableColumn id="7" name="Tipe/Model"/>
    <tableColumn id="8" name="Tahun Kendaraan"/>
    <tableColumn id="9" name="Warna"/>
    <tableColumn id="10" name="Nomor Polisi"/>
    <tableColumn id="11" name="Nomor Rangka"/>
    <tableColumn id="12" name="Nomor Mesin"/>
    <tableColumn id="13" name="BPKB Atas Nama"/>
    <tableColumn id="14" name="STNK Berlaku Sampai"/>
    <tableColumn id="15" name="Pajak Berlaku Sampai"/>
    <tableColumn id="16" name="Kilometer"/>
    <tableColumn id="17" name="Tanggal Perolehan"/>
    <tableColumn id="18" name="Tahun Perolehan"/>
    <tableColumn id="19" name="Harga Perolehan"/>
    <tableColumn id="20" name="Kode Akun Aset"/>
    <tableColumn id="21" name="Umur Manfaat"/>
    <tableColumn id="22" name="Akum. Penyusutan"/>
    <tableColumn id="23" name="Nilai Buku"/>
    <tableColumn id="24" name="Pengguna/PIC"/>
    <tableColumn id="25" name="Kondisi"/>
    <tableColumn id="26" name="Status"/>
    <tableColumn id="27" name="Keterangan"/>
    <tableColumn id="28" name="Sumber Dat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7" customWidth="1" min="4" max="4"/>
    <col width="16" customWidth="1" min="5" max="5"/>
    <col width="12" customWidth="1" min="6" max="6"/>
    <col width="12" customWidth="1" min="7" max="7"/>
    <col width="17" customWidth="1" min="8" max="8"/>
    <col width="12" customWidth="1" min="9" max="9"/>
    <col width="14" customWidth="1" min="10" max="10"/>
    <col width="14" customWidth="1" min="11" max="11"/>
    <col width="13" customWidth="1" min="12" max="12"/>
    <col width="16" customWidth="1" min="13" max="13"/>
    <col width="21" customWidth="1" min="14" max="14"/>
    <col width="22" customWidth="1" min="15" max="15"/>
    <col width="12" customWidth="1" min="16" max="16"/>
    <col width="19" customWidth="1" min="17" max="17"/>
    <col width="17" customWidth="1" min="18" max="18"/>
    <col width="17" customWidth="1" min="19" max="19"/>
    <col width="16" customWidth="1" min="20" max="20"/>
    <col width="14" customWidth="1" min="21" max="21"/>
    <col width="18" customWidth="1" min="22" max="22"/>
    <col width="12" customWidth="1" min="23" max="23"/>
    <col width="14" customWidth="1" min="24" max="24"/>
    <col width="12" customWidth="1" min="25" max="25"/>
    <col width="12" customWidth="1" min="26" max="26"/>
    <col width="32" customWidth="1" min="27" max="27"/>
    <col width="32" customWidth="1" min="28" max="28"/>
  </cols>
  <sheetData>
    <row r="1">
      <c r="A1" s="1" t="inlineStr">
        <is>
          <t>TEMPLATE DATA ASET - KENDARAAN</t>
        </is>
      </c>
    </row>
    <row r="3">
      <c r="A3" s="2" t="inlineStr">
        <is>
          <t>No</t>
        </is>
      </c>
      <c r="B3" s="2" t="inlineStr">
        <is>
          <t>Kode Aset</t>
        </is>
      </c>
      <c r="C3" s="2" t="inlineStr">
        <is>
          <t>Unit</t>
        </is>
      </c>
      <c r="D3" s="2" t="inlineStr">
        <is>
          <t>Jenis Kendaraan</t>
        </is>
      </c>
      <c r="E3" s="2" t="inlineStr">
        <is>
          <t>Nama Kendaraan</t>
        </is>
      </c>
      <c r="F3" s="2" t="inlineStr">
        <is>
          <t>Merk</t>
        </is>
      </c>
      <c r="G3" s="2" t="inlineStr">
        <is>
          <t>Tipe/Model</t>
        </is>
      </c>
      <c r="H3" s="2" t="inlineStr">
        <is>
          <t>Tahun Kendaraan</t>
        </is>
      </c>
      <c r="I3" s="2" t="inlineStr">
        <is>
          <t>Warna</t>
        </is>
      </c>
      <c r="J3" s="2" t="inlineStr">
        <is>
          <t>Nomor Polisi</t>
        </is>
      </c>
      <c r="K3" s="2" t="inlineStr">
        <is>
          <t>Nomor Rangka</t>
        </is>
      </c>
      <c r="L3" s="2" t="inlineStr">
        <is>
          <t>Nomor Mesin</t>
        </is>
      </c>
      <c r="M3" s="2" t="inlineStr">
        <is>
          <t>BPKB Atas Nama</t>
        </is>
      </c>
      <c r="N3" s="2" t="inlineStr">
        <is>
          <t>STNK Berlaku Sampai</t>
        </is>
      </c>
      <c r="O3" s="2" t="inlineStr">
        <is>
          <t>Pajak Berlaku Sampai</t>
        </is>
      </c>
      <c r="P3" s="2" t="inlineStr">
        <is>
          <t>Kilometer</t>
        </is>
      </c>
      <c r="Q3" s="2" t="inlineStr">
        <is>
          <t>Tanggal Perolehan</t>
        </is>
      </c>
      <c r="R3" s="2" t="inlineStr">
        <is>
          <t>Tahun Perolehan</t>
        </is>
      </c>
      <c r="S3" s="2" t="inlineStr">
        <is>
          <t>Harga Perolehan</t>
        </is>
      </c>
      <c r="T3" s="2" t="inlineStr">
        <is>
          <t>Kode Akun Aset</t>
        </is>
      </c>
      <c r="U3" s="2" t="inlineStr">
        <is>
          <t>Umur Manfaat</t>
        </is>
      </c>
      <c r="V3" s="2" t="inlineStr">
        <is>
          <t>Akum. Penyusutan</t>
        </is>
      </c>
      <c r="W3" s="2" t="inlineStr">
        <is>
          <t>Nilai Buku</t>
        </is>
      </c>
      <c r="X3" s="2" t="inlineStr">
        <is>
          <t>Pengguna/PIC</t>
        </is>
      </c>
      <c r="Y3" s="2" t="inlineStr">
        <is>
          <t>Kondisi</t>
        </is>
      </c>
      <c r="Z3" s="2" t="inlineStr">
        <is>
          <t>Status</t>
        </is>
      </c>
      <c r="AA3" s="2" t="inlineStr">
        <is>
          <t>Keterangan</t>
        </is>
      </c>
      <c r="AB3" s="2" t="inlineStr">
        <is>
          <t>Sumber Data</t>
        </is>
      </c>
    </row>
    <row r="4">
      <c r="A4" s="3" t="n">
        <v>1</v>
      </c>
      <c r="B4" s="3" t="n"/>
      <c r="C4" s="3" t="inlineStr">
        <is>
          <t>YPIK PAM JAYA</t>
        </is>
      </c>
      <c r="D4" s="3" t="inlineStr">
        <is>
          <t>Mobil</t>
        </is>
      </c>
      <c r="E4" s="3" t="inlineStr">
        <is>
          <t>GRAN MAX I</t>
        </is>
      </c>
      <c r="F4" s="3" t="n"/>
      <c r="G4" s="3" t="inlineStr">
        <is>
          <t>GRAN MAX I</t>
        </is>
      </c>
      <c r="H4" s="3" t="n">
        <v>2014</v>
      </c>
      <c r="I4" s="3" t="inlineStr">
        <is>
          <t>SILVER</t>
        </is>
      </c>
      <c r="J4" s="3" t="inlineStr">
        <is>
          <t>B 1190 KZH</t>
        </is>
      </c>
      <c r="K4" s="3" t="inlineStr">
        <is>
          <t>MHKV3CA3JEKO1225</t>
        </is>
      </c>
      <c r="L4" s="3" t="inlineStr">
        <is>
          <t>DEE 7769</t>
        </is>
      </c>
      <c r="M4" s="3" t="n"/>
      <c r="N4" s="4" t="n"/>
      <c r="O4" s="4" t="n"/>
      <c r="P4" s="3" t="n"/>
      <c r="Q4" s="4" t="n"/>
      <c r="R4" s="3" t="n">
        <v>2014</v>
      </c>
      <c r="S4" s="5" t="n">
        <v>127325000</v>
      </c>
      <c r="T4" s="3" t="n"/>
      <c r="U4" s="3" t="n">
        <v>8</v>
      </c>
      <c r="V4" s="5" t="n">
        <v>127324999</v>
      </c>
      <c r="W4" s="5" t="n">
        <v>1</v>
      </c>
      <c r="X4" s="3" t="n"/>
      <c r="Y4" s="3" t="n"/>
      <c r="Z4" s="3" t="inlineStr">
        <is>
          <t>Aktif</t>
        </is>
      </c>
      <c r="AA4" s="3" t="n"/>
      <c r="AB4" s="3" t="inlineStr">
        <is>
          <t>LIST ASSET YPIK 2025(1).xlsx | Kendaraan Bermotor</t>
        </is>
      </c>
    </row>
    <row r="5">
      <c r="A5" s="3" t="n">
        <v>2</v>
      </c>
      <c r="B5" s="3" t="n"/>
      <c r="C5" s="3" t="inlineStr">
        <is>
          <t>YPIK PAM JAYA</t>
        </is>
      </c>
      <c r="D5" s="3" t="inlineStr">
        <is>
          <t>Mobil</t>
        </is>
      </c>
      <c r="E5" s="3" t="inlineStr">
        <is>
          <t>GRAN MAX II</t>
        </is>
      </c>
      <c r="F5" s="3" t="n"/>
      <c r="G5" s="3" t="inlineStr">
        <is>
          <t>GRAN MAX II</t>
        </is>
      </c>
      <c r="H5" s="3" t="n">
        <v>2017</v>
      </c>
      <c r="I5" s="3" t="inlineStr">
        <is>
          <t>SILVER</t>
        </is>
      </c>
      <c r="J5" s="3" t="inlineStr">
        <is>
          <t>B 2414 KFO</t>
        </is>
      </c>
      <c r="K5" s="3" t="inlineStr">
        <is>
          <t>S401RV-ZMDEJJ HJ</t>
        </is>
      </c>
      <c r="L5" s="3" t="inlineStr">
        <is>
          <t>K3MG98445</t>
        </is>
      </c>
      <c r="M5" s="3" t="n"/>
      <c r="N5" s="4" t="n"/>
      <c r="O5" s="4" t="n"/>
      <c r="P5" s="3" t="n"/>
      <c r="Q5" s="4" t="n"/>
      <c r="R5" s="3" t="n">
        <v>2017</v>
      </c>
      <c r="S5" s="5" t="n">
        <v>145925000</v>
      </c>
      <c r="T5" s="3" t="n"/>
      <c r="U5" s="3" t="n">
        <v>8</v>
      </c>
      <c r="V5" s="5" t="n">
        <v>145924999</v>
      </c>
      <c r="W5" s="5" t="n">
        <v>1</v>
      </c>
      <c r="X5" s="3" t="n"/>
      <c r="Y5" s="3" t="n"/>
      <c r="Z5" s="3" t="inlineStr">
        <is>
          <t>Aktif</t>
        </is>
      </c>
      <c r="AA5" s="3" t="n"/>
      <c r="AB5" s="3" t="inlineStr">
        <is>
          <t>LIST ASSET YPIK 2025(1).xlsx | Kendaraan Bermotor</t>
        </is>
      </c>
    </row>
  </sheetData>
  <autoFilter ref="A3:AB5"/>
  <mergeCells count="1">
    <mergeCell ref="A1:AB1"/>
  </mergeCells>
  <dataValidations count="2">
    <dataValidation sqref="Y4:Y2000" showDropDown="0" showInputMessage="0" showErrorMessage="0" allowBlank="1" type="list">
      <formula1>"Baik,Kurang Baik,Rusak Ringan,Rusak Berat,Dalam Perbaikan,Hilang"</formula1>
    </dataValidation>
    <dataValidation sqref="Z4:Z2000" showDropDown="0" showInputMessage="0" showErrorMessage="0" allowBlank="1" type="list">
      <formula1>"Aktif,Tidak Aktif,Dipindahkan,Dihapuskan,Dijual"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6" t="inlineStr">
        <is>
          <t>Dashboard Kendaraan</t>
        </is>
      </c>
    </row>
    <row r="2"/>
    <row r="3">
      <c r="A3" s="7" t="inlineStr">
        <is>
          <t>Total Baris Data</t>
        </is>
      </c>
      <c r="B3" s="7" t="n">
        <v>2</v>
      </c>
    </row>
    <row r="4">
      <c r="A4" s="7" t="inlineStr">
        <is>
          <t>Total Harga Perolehan</t>
        </is>
      </c>
      <c r="B4" s="8">
        <f>SUM('Data Aset'!S4:S5)</f>
        <v/>
      </c>
    </row>
    <row r="5">
      <c r="A5" s="9" t="n"/>
      <c r="B5" s="9" t="n"/>
    </row>
    <row r="6">
      <c r="A6" s="7" t="inlineStr">
        <is>
          <t>Kategori</t>
        </is>
      </c>
      <c r="B6" s="7" t="inlineStr">
        <is>
          <t>Jumlah</t>
        </is>
      </c>
    </row>
    <row r="7">
      <c r="A7" s="9" t="inlineStr">
        <is>
          <t>Kendaraan</t>
        </is>
      </c>
      <c r="B7" s="9" t="n">
        <v>2</v>
      </c>
    </row>
    <row r="8"/>
    <row r="9"/>
    <row r="10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0" t="inlineStr">
        <is>
          <t>No</t>
        </is>
      </c>
      <c r="B1" s="10" t="inlineStr">
        <is>
          <t>Periode Penyusutan</t>
        </is>
      </c>
      <c r="C1" s="10" t="inlineStr">
        <is>
          <t>Kode Aset</t>
        </is>
      </c>
      <c r="D1" s="10" t="inlineStr">
        <is>
          <t>Nama Aset</t>
        </is>
      </c>
      <c r="E1" s="10" t="inlineStr">
        <is>
          <t>Kategori Aset</t>
        </is>
      </c>
      <c r="F1" s="10" t="inlineStr">
        <is>
          <t>Unit</t>
        </is>
      </c>
      <c r="G1" s="10" t="inlineStr">
        <is>
          <t>Tanggal/Tahun Perolehan</t>
        </is>
      </c>
      <c r="H1" s="10" t="inlineStr">
        <is>
          <t>Harga Perolehan</t>
        </is>
      </c>
      <c r="I1" s="10" t="inlineStr">
        <is>
          <t>Umur Manfaat</t>
        </is>
      </c>
      <c r="J1" s="10" t="inlineStr">
        <is>
          <t>Nilai Residu</t>
        </is>
      </c>
      <c r="K1" s="10" t="inlineStr">
        <is>
          <t>Metode Penyusutan</t>
        </is>
      </c>
      <c r="L1" s="10" t="inlineStr">
        <is>
          <t>Beban Penyusutan Bulanan</t>
        </is>
      </c>
      <c r="M1" s="10" t="inlineStr">
        <is>
          <t>Beban Penyusutan Tahunan</t>
        </is>
      </c>
      <c r="N1" s="10" t="inlineStr">
        <is>
          <t>Akumulasi Penyusutan</t>
        </is>
      </c>
      <c r="O1" s="10" t="inlineStr">
        <is>
          <t>Nilai Buku</t>
        </is>
      </c>
      <c r="P1" s="10" t="inlineStr">
        <is>
          <t>Status Penyusutan</t>
        </is>
      </c>
      <c r="Q1" s="10" t="inlineStr">
        <is>
          <t>Keterangan</t>
        </is>
      </c>
    </row>
    <row r="2">
      <c r="A2" s="3" t="n">
        <v>1</v>
      </c>
      <c r="B2" s="3" t="inlineStr">
        <is>
          <t>Desember 2025</t>
        </is>
      </c>
      <c r="C2" s="3">
        <f>'Data Aset'!B4</f>
        <v/>
      </c>
      <c r="D2" s="3" t="n"/>
      <c r="E2" s="3" t="inlineStr">
        <is>
          <t>Kendaraan</t>
        </is>
      </c>
      <c r="F2" s="3">
        <f>'Data Aset'!C4</f>
        <v/>
      </c>
      <c r="G2" s="3">
        <f>'Data Aset'!Q4</f>
        <v/>
      </c>
      <c r="H2" s="5">
        <f>'Data Aset'!S4</f>
        <v/>
      </c>
      <c r="I2" s="3">
        <f>'Data Aset'!U4</f>
        <v/>
      </c>
      <c r="J2" s="5" t="n">
        <v>0</v>
      </c>
      <c r="K2" s="3" t="inlineStr">
        <is>
          <t>Garis Lurus</t>
        </is>
      </c>
      <c r="L2" s="5">
        <f>IFERROR(M2/12,"")</f>
        <v/>
      </c>
      <c r="M2" s="5">
        <f>IFERROR((H2-J2)/I2,"")</f>
        <v/>
      </c>
      <c r="N2" s="5">
        <f>IFERROR(M2,"")</f>
        <v/>
      </c>
      <c r="O2" s="5">
        <f>IFERROR(H2-N2,"")</f>
        <v/>
      </c>
      <c r="P2" s="3" t="inlineStr">
        <is>
          <t>Belum dihitung</t>
        </is>
      </c>
      <c r="Q2" s="3" t="n"/>
    </row>
    <row r="3">
      <c r="A3" s="3" t="n">
        <v>2</v>
      </c>
      <c r="B3" s="3" t="inlineStr">
        <is>
          <t>Desember 2025</t>
        </is>
      </c>
      <c r="C3" s="3">
        <f>'Data Aset'!B5</f>
        <v/>
      </c>
      <c r="D3" s="3" t="n"/>
      <c r="E3" s="3" t="inlineStr">
        <is>
          <t>Kendaraan</t>
        </is>
      </c>
      <c r="F3" s="3">
        <f>'Data Aset'!C5</f>
        <v/>
      </c>
      <c r="G3" s="3">
        <f>'Data Aset'!Q5</f>
        <v/>
      </c>
      <c r="H3" s="5">
        <f>'Data Aset'!S5</f>
        <v/>
      </c>
      <c r="I3" s="3">
        <f>'Data Aset'!U5</f>
        <v/>
      </c>
      <c r="J3" s="5" t="n">
        <v>0</v>
      </c>
      <c r="K3" s="3" t="inlineStr">
        <is>
          <t>Garis Lurus</t>
        </is>
      </c>
      <c r="L3" s="5">
        <f>IFERROR(M3/12,"")</f>
        <v/>
      </c>
      <c r="M3" s="5">
        <f>IFERROR((H3-J3)/I3,"")</f>
        <v/>
      </c>
      <c r="N3" s="5">
        <f>IFERROR(M3,"")</f>
        <v/>
      </c>
      <c r="O3" s="5">
        <f>IFERROR(H3-N3,"")</f>
        <v/>
      </c>
      <c r="P3" s="3" t="inlineStr">
        <is>
          <t>Belum dihitung</t>
        </is>
      </c>
      <c r="Q3" s="3" t="n"/>
    </row>
  </sheetData>
  <autoFilter ref="A1:Q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0" t="inlineStr">
        <is>
          <t>No Jurnal</t>
        </is>
      </c>
      <c r="B1" s="10" t="inlineStr">
        <is>
          <t>Tanggal Jurnal</t>
        </is>
      </c>
      <c r="C1" s="10" t="inlineStr">
        <is>
          <t>Periode</t>
        </is>
      </c>
      <c r="D1" s="10" t="inlineStr">
        <is>
          <t>Kode Aset</t>
        </is>
      </c>
      <c r="E1" s="10" t="inlineStr">
        <is>
          <t>Nama Aset</t>
        </is>
      </c>
      <c r="F1" s="10" t="inlineStr">
        <is>
          <t>Kategori Aset</t>
        </is>
      </c>
      <c r="G1" s="10" t="inlineStr">
        <is>
          <t>Kode Akun Debit</t>
        </is>
      </c>
      <c r="H1" s="10" t="inlineStr">
        <is>
          <t>Nama Akun Debit</t>
        </is>
      </c>
      <c r="I1" s="10" t="inlineStr">
        <is>
          <t>Debit</t>
        </is>
      </c>
      <c r="J1" s="10" t="inlineStr">
        <is>
          <t>Kode Akun Kredit</t>
        </is>
      </c>
      <c r="K1" s="10" t="inlineStr">
        <is>
          <t>Nama Akun Kredit</t>
        </is>
      </c>
      <c r="L1" s="10" t="inlineStr">
        <is>
          <t>Kredit</t>
        </is>
      </c>
      <c r="M1" s="10" t="inlineStr">
        <is>
          <t>Keterangan</t>
        </is>
      </c>
    </row>
    <row r="2">
      <c r="A2" s="3">
        <f>IF(Penyusutan!D2="","","JRN-"&amp;TEXT(ROW()-1,"0000"))</f>
        <v/>
      </c>
      <c r="B2" s="4" t="n">
        <v>46022</v>
      </c>
      <c r="C2" s="3">
        <f>Penyusutan!B2</f>
        <v/>
      </c>
      <c r="D2" s="3">
        <f>Penyusutan!C2</f>
        <v/>
      </c>
      <c r="E2" s="3">
        <f>Penyusutan!D2</f>
        <v/>
      </c>
      <c r="F2" s="3" t="inlineStr">
        <is>
          <t>Kendaraan</t>
        </is>
      </c>
      <c r="G2" s="3" t="inlineStr"/>
      <c r="H2" s="3" t="inlineStr">
        <is>
          <t>Beban Penyusutan Kendaraan</t>
        </is>
      </c>
      <c r="I2" s="5">
        <f>Penyusutan!M2</f>
        <v/>
      </c>
      <c r="J2" s="3" t="inlineStr"/>
      <c r="K2" s="3" t="inlineStr">
        <is>
          <t>Akumulasi Penyusutan Kendaraan</t>
        </is>
      </c>
      <c r="L2" s="5">
        <f>Penyusutan!M2</f>
        <v/>
      </c>
      <c r="M2" s="3">
        <f>IF(E2="","","Penyusutan "&amp;E2&amp;" periode "&amp;C2)</f>
        <v/>
      </c>
    </row>
    <row r="3">
      <c r="A3" s="3">
        <f>IF(Penyusutan!D3="","","JRN-"&amp;TEXT(ROW()-1,"0000"))</f>
        <v/>
      </c>
      <c r="B3" s="4" t="n">
        <v>46022</v>
      </c>
      <c r="C3" s="3">
        <f>Penyusutan!B3</f>
        <v/>
      </c>
      <c r="D3" s="3">
        <f>Penyusutan!C3</f>
        <v/>
      </c>
      <c r="E3" s="3">
        <f>Penyusutan!D3</f>
        <v/>
      </c>
      <c r="F3" s="3" t="inlineStr">
        <is>
          <t>Kendaraan</t>
        </is>
      </c>
      <c r="G3" s="3" t="inlineStr"/>
      <c r="H3" s="3" t="inlineStr">
        <is>
          <t>Beban Penyusutan Kendaraan</t>
        </is>
      </c>
      <c r="I3" s="5">
        <f>Penyusutan!M3</f>
        <v/>
      </c>
      <c r="J3" s="3" t="inlineStr"/>
      <c r="K3" s="3" t="inlineStr">
        <is>
          <t>Akumulasi Penyusutan Kendaraan</t>
        </is>
      </c>
      <c r="L3" s="5">
        <f>Penyusutan!M3</f>
        <v/>
      </c>
      <c r="M3" s="3">
        <f>IF(E3="","","Penyusutan "&amp;E3&amp;" periode "&amp;C3)</f>
        <v/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1" t="inlineStr">
        <is>
          <t>Jenis Referensi</t>
        </is>
      </c>
      <c r="B1" s="11" t="inlineStr">
        <is>
          <t>Nilai</t>
        </is>
      </c>
    </row>
    <row r="2">
      <c r="A2" s="9" t="inlineStr">
        <is>
          <t>Kondisi</t>
        </is>
      </c>
      <c r="B2" s="9" t="inlineStr">
        <is>
          <t>Baik</t>
        </is>
      </c>
    </row>
    <row r="3">
      <c r="A3" s="9" t="inlineStr">
        <is>
          <t>Kondisi</t>
        </is>
      </c>
      <c r="B3" s="9" t="inlineStr">
        <is>
          <t>Kurang Baik</t>
        </is>
      </c>
    </row>
    <row r="4">
      <c r="A4" s="9" t="inlineStr">
        <is>
          <t>Kondisi</t>
        </is>
      </c>
      <c r="B4" s="9" t="inlineStr">
        <is>
          <t>Rusak Ringan</t>
        </is>
      </c>
    </row>
    <row r="5">
      <c r="A5" s="9" t="inlineStr">
        <is>
          <t>Kondisi</t>
        </is>
      </c>
      <c r="B5" s="9" t="inlineStr">
        <is>
          <t>Rusak Berat</t>
        </is>
      </c>
    </row>
    <row r="6">
      <c r="A6" s="9" t="inlineStr">
        <is>
          <t>Kondisi</t>
        </is>
      </c>
      <c r="B6" s="9" t="inlineStr">
        <is>
          <t>Dalam Perbaikan</t>
        </is>
      </c>
    </row>
    <row r="7">
      <c r="A7" s="9" t="inlineStr">
        <is>
          <t>Kondisi</t>
        </is>
      </c>
      <c r="B7" s="9" t="inlineStr">
        <is>
          <t>Hilang</t>
        </is>
      </c>
    </row>
    <row r="8">
      <c r="A8" s="9" t="inlineStr">
        <is>
          <t>Status</t>
        </is>
      </c>
      <c r="B8" s="9" t="inlineStr">
        <is>
          <t>Aktif</t>
        </is>
      </c>
    </row>
    <row r="9">
      <c r="A9" s="9" t="inlineStr">
        <is>
          <t>Status</t>
        </is>
      </c>
      <c r="B9" s="9" t="inlineStr">
        <is>
          <t>Tidak Aktif</t>
        </is>
      </c>
    </row>
    <row r="10">
      <c r="A10" s="9" t="inlineStr">
        <is>
          <t>Status</t>
        </is>
      </c>
      <c r="B10" s="9" t="inlineStr">
        <is>
          <t>Dipindahkan</t>
        </is>
      </c>
    </row>
    <row r="11">
      <c r="A11" s="9" t="inlineStr">
        <is>
          <t>Status</t>
        </is>
      </c>
      <c r="B11" s="9" t="inlineStr">
        <is>
          <t>Dihapuskan</t>
        </is>
      </c>
    </row>
    <row r="12">
      <c r="A12" s="9" t="inlineStr">
        <is>
          <t>Status</t>
        </is>
      </c>
      <c r="B12" s="9" t="inlineStr">
        <is>
          <t>Dijual</t>
        </is>
      </c>
    </row>
    <row r="13">
      <c r="A13" s="9" t="inlineStr">
        <is>
          <t>Metode Penyusutan</t>
        </is>
      </c>
      <c r="B13" s="9" t="inlineStr">
        <is>
          <t>Garis Lurus</t>
        </is>
      </c>
    </row>
    <row r="14">
      <c r="A14" s="9" t="inlineStr">
        <is>
          <t>Metode Penyusutan</t>
        </is>
      </c>
      <c r="B14" s="9" t="inlineStr">
        <is>
          <t>Saldo Menurun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2026-06-07T13:04:04Z</dcterms:created>
  <dcterms:modified xmlns:dcterms="http://purl.org/dc/terms/" xmlns:xsi="http://www.w3.org/2001/XMLSchema-instance" xsi:type="dcterms:W3CDTF">2026-06-07T13:04:04Z</dcterms:modified>
</cp:coreProperties>
</file>